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mc:AlternateContent xmlns:mc="http://schemas.openxmlformats.org/markup-compatibility/2006">
    <mc:Choice Requires="x15">
      <x15ac:absPath xmlns:x15ac="http://schemas.microsoft.com/office/spreadsheetml/2010/11/ac" url="https://tatgroup.sharepoint.com/sites/TEC_U-SLIM879/Shared Documents/General/99_Work/06_Whizen/manage/運用フロー・業務設計/"/>
    </mc:Choice>
  </mc:AlternateContent>
  <xr:revisionPtr revIDLastSave="0" documentId="8_{206A82F4-E985-4045-A8DF-C9DADBEC603C}" xr6:coauthVersionLast="47" xr6:coauthVersionMax="47" xr10:uidLastSave="{00000000-0000-0000-0000-000000000000}"/>
  <bookViews>
    <workbookView xWindow="-108" yWindow="-108" windowWidth="23256" windowHeight="12456" tabRatio="727" firstSheet="3" activeTab="3" xr2:uid="{00000000-000D-0000-FFFF-FFFF00000000}"/>
  </bookViews>
  <sheets>
    <sheet name="【現状】インシデント設計_データ基盤・インフラ" sheetId="2" state="hidden" r:id="rId1"/>
    <sheet name="【現状】インシデント設計_アプリ基盤" sheetId="6" state="hidden" r:id="rId2"/>
    <sheet name="号口運用設計のできている、できていないの調査のサマリー" sheetId="11" r:id="rId3"/>
    <sheet name="号口運用設計（監視・インシデント）" sheetId="15" r:id="rId4"/>
    <sheet name="_old_号口運用設計（監視・インシデント）" sheetId="18" state="hidden" r:id="rId5"/>
    <sheet name="インシデントパターンの考え方" sheetId="12" r:id="rId6"/>
    <sheet name="監視設計の考え方" sheetId="13" state="hidden" r:id="rId7"/>
    <sheet name="閾値一覧" sheetId="16" state="hidden" r:id="rId8"/>
    <sheet name="インシデント発生シナリオ" sheetId="5" state="hidden" r:id="rId9"/>
    <sheet name="インシデントフロー_〈テンプレ〉" sheetId="4" state="hidden" r:id="rId10"/>
    <sheet name="参考資料" sheetId="3" state="hidden" r:id="rId11"/>
    <sheet name="WBS" sheetId="14" r:id="rId12"/>
    <sheet name="メモ" sheetId="19" state="hidden" r:id="rId13"/>
    <sheet name="U-SLIM質問票" sheetId="24" r:id="rId14"/>
    <sheet name="DX道場質問票" sheetId="22" r:id="rId15"/>
    <sheet name="DX道場_追加確認回答表" sheetId="23" r:id="rId16"/>
    <sheet name="U-SLIM_レベル別" sheetId="20" r:id="rId17"/>
    <sheet name="DX道場_レベル別 " sheetId="25" r:id="rId18"/>
  </sheets>
  <definedNames>
    <definedName name="_xlnm._FilterDatabase" localSheetId="4" hidden="1">'_old_号口運用設計（監視・インシデント）'!$B$8:$BW$66</definedName>
    <definedName name="_xlnm._FilterDatabase" localSheetId="3" hidden="1">'号口運用設計（監視・インシデント）'!$B$9:$BW$69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6" l="1" a="1"/>
  <c r="G3" i="16" s="1"/>
  <c r="G16" i="11" l="1"/>
  <c r="G15" i="16" l="1" a="1"/>
  <c r="G15" i="16"/>
  <c r="G293" i="16" a="1"/>
  <c r="G293" i="16"/>
  <c r="G294" i="16" a="1"/>
  <c r="G294" i="16"/>
  <c r="G295" i="16" a="1"/>
  <c r="G295" i="16"/>
  <c r="G296" i="16" a="1"/>
  <c r="G296" i="16"/>
  <c r="G297" i="16" a="1"/>
  <c r="G297" i="16"/>
  <c r="G298" i="16" a="1"/>
  <c r="G298" i="16"/>
  <c r="G299" i="16" a="1"/>
  <c r="G299" i="16"/>
  <c r="G300" i="16" a="1"/>
  <c r="G300" i="16"/>
  <c r="G301" i="16" a="1"/>
  <c r="G301" i="16"/>
  <c r="G302" i="16" a="1"/>
  <c r="G302" i="16"/>
  <c r="G303" i="16" a="1"/>
  <c r="G303" i="16"/>
  <c r="G304" i="16" a="1"/>
  <c r="G304" i="16"/>
  <c r="G305" i="16" a="1"/>
  <c r="G305" i="16"/>
  <c r="G306" i="16" a="1"/>
  <c r="G306" i="16"/>
  <c r="G307" i="16" a="1"/>
  <c r="G307" i="16"/>
  <c r="G308" i="16" a="1"/>
  <c r="G308" i="16"/>
  <c r="G309" i="16" a="1"/>
  <c r="G309" i="16"/>
  <c r="G310" i="16" a="1"/>
  <c r="G310" i="16"/>
  <c r="G311" i="16" a="1"/>
  <c r="G311" i="16"/>
  <c r="G312" i="16" a="1"/>
  <c r="G312" i="16"/>
  <c r="G313" i="16" a="1"/>
  <c r="G313" i="16"/>
  <c r="G314" i="16" a="1"/>
  <c r="G314" i="16"/>
  <c r="G315" i="16" a="1"/>
  <c r="G315" i="16"/>
  <c r="G316" i="16" a="1"/>
  <c r="G316" i="16"/>
  <c r="G317" i="16" a="1"/>
  <c r="G317" i="16"/>
  <c r="G318" i="16" a="1"/>
  <c r="G318" i="16"/>
  <c r="G319" i="16" a="1"/>
  <c r="G319" i="16"/>
  <c r="G320" i="16" a="1"/>
  <c r="G320" i="16"/>
  <c r="G321" i="16" a="1"/>
  <c r="G321" i="16"/>
  <c r="G322" i="16" a="1"/>
  <c r="G322" i="16"/>
  <c r="G323" i="16" a="1"/>
  <c r="G323" i="16"/>
  <c r="G324" i="16" a="1"/>
  <c r="G324" i="16"/>
  <c r="G325" i="16" a="1"/>
  <c r="G325" i="16"/>
  <c r="G326" i="16" a="1"/>
  <c r="G326" i="16"/>
  <c r="G327" i="16" a="1"/>
  <c r="G327" i="16"/>
  <c r="G328" i="16" a="1"/>
  <c r="G328" i="16"/>
  <c r="G329" i="16" a="1"/>
  <c r="G329" i="16"/>
  <c r="G330" i="16" a="1"/>
  <c r="G330" i="16"/>
  <c r="G331" i="16" a="1"/>
  <c r="G331" i="16"/>
  <c r="G332" i="16" a="1"/>
  <c r="G332" i="16"/>
  <c r="G333" i="16" a="1"/>
  <c r="G333" i="16"/>
  <c r="G334" i="16" a="1"/>
  <c r="G334" i="16"/>
  <c r="G335" i="16" a="1"/>
  <c r="G335" i="16"/>
  <c r="G336" i="16" a="1"/>
  <c r="G336" i="16"/>
  <c r="G337" i="16" a="1"/>
  <c r="G337" i="16"/>
  <c r="G338" i="16" a="1"/>
  <c r="G338" i="16"/>
  <c r="G339" i="16" a="1"/>
  <c r="G339" i="16"/>
  <c r="G340" i="16" a="1"/>
  <c r="G340" i="16"/>
  <c r="G341" i="16" a="1"/>
  <c r="G341" i="16"/>
  <c r="G342" i="16" a="1"/>
  <c r="G342" i="16"/>
  <c r="G343" i="16" a="1"/>
  <c r="G343" i="16"/>
  <c r="G344" i="16" a="1"/>
  <c r="G344" i="16"/>
  <c r="G345" i="16" a="1"/>
  <c r="G345" i="16"/>
  <c r="G346" i="16" a="1"/>
  <c r="G346" i="16"/>
  <c r="G347" i="16" a="1"/>
  <c r="G347" i="16"/>
  <c r="G348" i="16" a="1"/>
  <c r="G348" i="16"/>
  <c r="G349" i="16" a="1"/>
  <c r="G349" i="16"/>
  <c r="G350" i="16" a="1"/>
  <c r="G350" i="16"/>
  <c r="G351" i="16" a="1"/>
  <c r="G351" i="16"/>
  <c r="G352" i="16" a="1"/>
  <c r="G352" i="16"/>
  <c r="G353" i="16" a="1"/>
  <c r="G353" i="16"/>
  <c r="G354" i="16" a="1"/>
  <c r="G354" i="16"/>
  <c r="G355" i="16" a="1"/>
  <c r="G355" i="16"/>
  <c r="G356" i="16" a="1"/>
  <c r="G356" i="16"/>
  <c r="G357" i="16" a="1"/>
  <c r="G357" i="16"/>
  <c r="G358" i="16" a="1"/>
  <c r="G358" i="16"/>
  <c r="G359" i="16" a="1"/>
  <c r="G359" i="16"/>
  <c r="G107" i="16" a="1"/>
  <c r="G107" i="16"/>
  <c r="G108" i="16" a="1"/>
  <c r="G108" i="16"/>
  <c r="G109" i="16" a="1"/>
  <c r="G109" i="16"/>
  <c r="G110" i="16" a="1"/>
  <c r="G110" i="16"/>
  <c r="G111" i="16" a="1"/>
  <c r="G111" i="16"/>
  <c r="G112" i="16" a="1"/>
  <c r="G112" i="16"/>
  <c r="G113" i="16" a="1"/>
  <c r="G113" i="16"/>
  <c r="G114" i="16" a="1"/>
  <c r="G114" i="16"/>
  <c r="G115" i="16" a="1"/>
  <c r="G115" i="16"/>
  <c r="G116" i="16" a="1"/>
  <c r="G116" i="16"/>
  <c r="G117" i="16" a="1"/>
  <c r="G117" i="16"/>
  <c r="G118" i="16" a="1"/>
  <c r="G118" i="16"/>
  <c r="G119" i="16" a="1"/>
  <c r="G119" i="16"/>
  <c r="G120" i="16" a="1"/>
  <c r="G120" i="16"/>
  <c r="G121" i="16" a="1"/>
  <c r="G121" i="16"/>
  <c r="G122" i="16" a="1"/>
  <c r="G122" i="16"/>
  <c r="G123" i="16" a="1"/>
  <c r="G123" i="16"/>
  <c r="G124" i="16" a="1"/>
  <c r="G124" i="16"/>
  <c r="G125" i="16" a="1"/>
  <c r="G125" i="16"/>
  <c r="G126" i="16" a="1"/>
  <c r="G126" i="16"/>
  <c r="G127" i="16" a="1"/>
  <c r="G127" i="16"/>
  <c r="G128" i="16" a="1"/>
  <c r="G128" i="16"/>
  <c r="G129" i="16" a="1"/>
  <c r="G129" i="16"/>
  <c r="G130" i="16" a="1"/>
  <c r="G130" i="16"/>
  <c r="G131" i="16" a="1"/>
  <c r="G131" i="16"/>
  <c r="G132" i="16" a="1"/>
  <c r="G132" i="16"/>
  <c r="G133" i="16" a="1"/>
  <c r="G133" i="16"/>
  <c r="G134" i="16" a="1"/>
  <c r="G134" i="16"/>
  <c r="G135" i="16" a="1"/>
  <c r="G135" i="16"/>
  <c r="G136" i="16" a="1"/>
  <c r="G136" i="16"/>
  <c r="G137" i="16" a="1"/>
  <c r="G137" i="16"/>
  <c r="G138" i="16" a="1"/>
  <c r="G138" i="16"/>
  <c r="G139" i="16" a="1"/>
  <c r="G139" i="16"/>
  <c r="G140" i="16" a="1"/>
  <c r="G140" i="16"/>
  <c r="G141" i="16" a="1"/>
  <c r="G141" i="16"/>
  <c r="G142" i="16" a="1"/>
  <c r="G142" i="16"/>
  <c r="G143" i="16" a="1"/>
  <c r="G143" i="16"/>
  <c r="G144" i="16" a="1"/>
  <c r="G144" i="16"/>
  <c r="G145" i="16" a="1"/>
  <c r="G145" i="16"/>
  <c r="G146" i="16" a="1"/>
  <c r="G146" i="16"/>
  <c r="G147" i="16" a="1"/>
  <c r="G147" i="16"/>
  <c r="G148" i="16" a="1"/>
  <c r="G148" i="16"/>
  <c r="G149" i="16" a="1"/>
  <c r="G149" i="16"/>
  <c r="G150" i="16" a="1"/>
  <c r="G150" i="16"/>
  <c r="G151" i="16" a="1"/>
  <c r="G151" i="16"/>
  <c r="G152" i="16" a="1"/>
  <c r="G152" i="16"/>
  <c r="G153" i="16" a="1"/>
  <c r="G153" i="16"/>
  <c r="G154" i="16" a="1"/>
  <c r="G154" i="16"/>
  <c r="G155" i="16" a="1"/>
  <c r="G155" i="16"/>
  <c r="G156" i="16" a="1"/>
  <c r="G156" i="16"/>
  <c r="G157" i="16" a="1"/>
  <c r="G157" i="16"/>
  <c r="G158" i="16" a="1"/>
  <c r="G158" i="16"/>
  <c r="G159" i="16" a="1"/>
  <c r="G159" i="16"/>
  <c r="G160" i="16" a="1"/>
  <c r="G160" i="16"/>
  <c r="G161" i="16" a="1"/>
  <c r="G161" i="16"/>
  <c r="G162" i="16" a="1"/>
  <c r="G162" i="16"/>
  <c r="G163" i="16" a="1"/>
  <c r="G163" i="16"/>
  <c r="G164" i="16" a="1"/>
  <c r="G164" i="16"/>
  <c r="G165" i="16" a="1"/>
  <c r="G165" i="16"/>
  <c r="G166" i="16" a="1"/>
  <c r="G166" i="16"/>
  <c r="G167" i="16" a="1"/>
  <c r="G167" i="16"/>
  <c r="G168" i="16" a="1"/>
  <c r="G168" i="16"/>
  <c r="G169" i="16" a="1"/>
  <c r="G169" i="16"/>
  <c r="G170" i="16" a="1"/>
  <c r="G170" i="16"/>
  <c r="G171" i="16" a="1"/>
  <c r="G171" i="16"/>
  <c r="G172" i="16" a="1"/>
  <c r="G172" i="16"/>
  <c r="G173" i="16" a="1"/>
  <c r="G173" i="16"/>
  <c r="G174" i="16" a="1"/>
  <c r="G174" i="16"/>
  <c r="G175" i="16" a="1"/>
  <c r="G175" i="16"/>
  <c r="G176" i="16" a="1"/>
  <c r="G176" i="16"/>
  <c r="G177" i="16" a="1"/>
  <c r="G177" i="16"/>
  <c r="G178" i="16" a="1"/>
  <c r="G178" i="16"/>
  <c r="G179" i="16" a="1"/>
  <c r="G179" i="16"/>
  <c r="G180" i="16" a="1"/>
  <c r="G180" i="16"/>
  <c r="G181" i="16" a="1"/>
  <c r="G181" i="16"/>
  <c r="G182" i="16" a="1"/>
  <c r="G182" i="16"/>
  <c r="G183" i="16" a="1"/>
  <c r="G183" i="16"/>
  <c r="G184" i="16" a="1"/>
  <c r="G184" i="16"/>
  <c r="G185" i="16" a="1"/>
  <c r="G185" i="16"/>
  <c r="G186" i="16" a="1"/>
  <c r="G186" i="16"/>
  <c r="G187" i="16" a="1"/>
  <c r="G187" i="16"/>
  <c r="G188" i="16" a="1"/>
  <c r="G188" i="16"/>
  <c r="G189" i="16" a="1"/>
  <c r="G189" i="16"/>
  <c r="G190" i="16" a="1"/>
  <c r="G190" i="16"/>
  <c r="G191" i="16" a="1"/>
  <c r="G191" i="16"/>
  <c r="G192" i="16" a="1"/>
  <c r="G192" i="16"/>
  <c r="G193" i="16" a="1"/>
  <c r="G193" i="16"/>
  <c r="G194" i="16" a="1"/>
  <c r="G194" i="16"/>
  <c r="G195" i="16" a="1"/>
  <c r="G195" i="16"/>
  <c r="G196" i="16" a="1"/>
  <c r="G196" i="16"/>
  <c r="G197" i="16" a="1"/>
  <c r="G197" i="16"/>
  <c r="G198" i="16" a="1"/>
  <c r="G198" i="16"/>
  <c r="G199" i="16" a="1"/>
  <c r="G199" i="16"/>
  <c r="G200" i="16" a="1"/>
  <c r="G200" i="16"/>
  <c r="G201" i="16" a="1"/>
  <c r="G201" i="16"/>
  <c r="G202" i="16" a="1"/>
  <c r="G202" i="16"/>
  <c r="G203" i="16" a="1"/>
  <c r="G203" i="16"/>
  <c r="G204" i="16" a="1"/>
  <c r="G204" i="16"/>
  <c r="G205" i="16" a="1"/>
  <c r="G205" i="16"/>
  <c r="G206" i="16" a="1"/>
  <c r="G206" i="16"/>
  <c r="G207" i="16" a="1"/>
  <c r="G207" i="16"/>
  <c r="G208" i="16" a="1"/>
  <c r="G208" i="16"/>
  <c r="G209" i="16" a="1"/>
  <c r="G209" i="16"/>
  <c r="G210" i="16" a="1"/>
  <c r="G210" i="16"/>
  <c r="G211" i="16" a="1"/>
  <c r="G211" i="16"/>
  <c r="G212" i="16" a="1"/>
  <c r="G212" i="16"/>
  <c r="G213" i="16" a="1"/>
  <c r="G213" i="16"/>
  <c r="G214" i="16" a="1"/>
  <c r="G214" i="16"/>
  <c r="G215" i="16" a="1"/>
  <c r="G215" i="16"/>
  <c r="G216" i="16" a="1"/>
  <c r="G216" i="16"/>
  <c r="G217" i="16" a="1"/>
  <c r="G217" i="16"/>
  <c r="G218" i="16" a="1"/>
  <c r="G218" i="16"/>
  <c r="G219" i="16" a="1"/>
  <c r="G219" i="16"/>
  <c r="G220" i="16" a="1"/>
  <c r="G220" i="16"/>
  <c r="G221" i="16" a="1"/>
  <c r="G221" i="16"/>
  <c r="G222" i="16" a="1"/>
  <c r="G222" i="16"/>
  <c r="G223" i="16" a="1"/>
  <c r="G223" i="16"/>
  <c r="G224" i="16" a="1"/>
  <c r="G224" i="16"/>
  <c r="G225" i="16" a="1"/>
  <c r="G225" i="16"/>
  <c r="G226" i="16" a="1"/>
  <c r="G226" i="16"/>
  <c r="G227" i="16" a="1"/>
  <c r="G227" i="16"/>
  <c r="G228" i="16" a="1"/>
  <c r="G228" i="16"/>
  <c r="G229" i="16" a="1"/>
  <c r="G229" i="16"/>
  <c r="G230" i="16" a="1"/>
  <c r="G230" i="16"/>
  <c r="G231" i="16" a="1"/>
  <c r="G231" i="16"/>
  <c r="G232" i="16" a="1"/>
  <c r="G232" i="16"/>
  <c r="G233" i="16" a="1"/>
  <c r="G233" i="16"/>
  <c r="G234" i="16" a="1"/>
  <c r="G234" i="16"/>
  <c r="G235" i="16" a="1"/>
  <c r="G235" i="16"/>
  <c r="G236" i="16" a="1"/>
  <c r="G236" i="16"/>
  <c r="G237" i="16" a="1"/>
  <c r="G237" i="16"/>
  <c r="G238" i="16" a="1"/>
  <c r="G238" i="16"/>
  <c r="G239" i="16" a="1"/>
  <c r="G239" i="16"/>
  <c r="G240" i="16" a="1"/>
  <c r="G240" i="16"/>
  <c r="G241" i="16" a="1"/>
  <c r="G241" i="16"/>
  <c r="G242" i="16" a="1"/>
  <c r="G242" i="16"/>
  <c r="G243" i="16" a="1"/>
  <c r="G243" i="16"/>
  <c r="G244" i="16" a="1"/>
  <c r="G244" i="16"/>
  <c r="G245" i="16" a="1"/>
  <c r="G245" i="16"/>
  <c r="G246" i="16" a="1"/>
  <c r="G246" i="16"/>
  <c r="G247" i="16" a="1"/>
  <c r="G247" i="16"/>
  <c r="G248" i="16" a="1"/>
  <c r="G248" i="16"/>
  <c r="G249" i="16" a="1"/>
  <c r="G249" i="16"/>
  <c r="G250" i="16" a="1"/>
  <c r="G250" i="16"/>
  <c r="G251" i="16" a="1"/>
  <c r="G251" i="16"/>
  <c r="G252" i="16" a="1"/>
  <c r="G252" i="16"/>
  <c r="G253" i="16" a="1"/>
  <c r="G253" i="16"/>
  <c r="G254" i="16" a="1"/>
  <c r="G254" i="16"/>
  <c r="G255" i="16" a="1"/>
  <c r="G255" i="16"/>
  <c r="G256" i="16" a="1"/>
  <c r="G256" i="16"/>
  <c r="G257" i="16" a="1"/>
  <c r="G257" i="16"/>
  <c r="G258" i="16" a="1"/>
  <c r="G258" i="16"/>
  <c r="G259" i="16" a="1"/>
  <c r="G259" i="16"/>
  <c r="G260" i="16" a="1"/>
  <c r="G260" i="16"/>
  <c r="G261" i="16" a="1"/>
  <c r="G261" i="16"/>
  <c r="G262" i="16" a="1"/>
  <c r="G262" i="16"/>
  <c r="G263" i="16" a="1"/>
  <c r="G263" i="16"/>
  <c r="G264" i="16" a="1"/>
  <c r="G264" i="16"/>
  <c r="G265" i="16" a="1"/>
  <c r="G265" i="16"/>
  <c r="G266" i="16" a="1"/>
  <c r="G266" i="16"/>
  <c r="G267" i="16" a="1"/>
  <c r="G267" i="16"/>
  <c r="G268" i="16" a="1"/>
  <c r="G268" i="16"/>
  <c r="G269" i="16" a="1"/>
  <c r="G269" i="16"/>
  <c r="G270" i="16" a="1"/>
  <c r="G270" i="16"/>
  <c r="G271" i="16" a="1"/>
  <c r="G271" i="16"/>
  <c r="G272" i="16" a="1"/>
  <c r="G272" i="16"/>
  <c r="G273" i="16" a="1"/>
  <c r="G273" i="16"/>
  <c r="G274" i="16" a="1"/>
  <c r="G274" i="16"/>
  <c r="G275" i="16" a="1"/>
  <c r="G275" i="16"/>
  <c r="G276" i="16" a="1"/>
  <c r="G276" i="16"/>
  <c r="G277" i="16" a="1"/>
  <c r="G277" i="16"/>
  <c r="G278" i="16" a="1"/>
  <c r="G278" i="16"/>
  <c r="G279" i="16" a="1"/>
  <c r="G279" i="16"/>
  <c r="G280" i="16" a="1"/>
  <c r="G280" i="16"/>
  <c r="G281" i="16" a="1"/>
  <c r="G281" i="16"/>
  <c r="G282" i="16" a="1"/>
  <c r="G282" i="16"/>
  <c r="G283" i="16" a="1"/>
  <c r="G283" i="16"/>
  <c r="G284" i="16" a="1"/>
  <c r="G284" i="16"/>
  <c r="G285" i="16" a="1"/>
  <c r="G285" i="16"/>
  <c r="G286" i="16" a="1"/>
  <c r="G286" i="16"/>
  <c r="G287" i="16" a="1"/>
  <c r="G287" i="16"/>
  <c r="G288" i="16" a="1"/>
  <c r="G288" i="16"/>
  <c r="G289" i="16" a="1"/>
  <c r="G289" i="16"/>
  <c r="G290" i="16" a="1"/>
  <c r="G290" i="16"/>
  <c r="G291" i="16" a="1"/>
  <c r="G291" i="16"/>
  <c r="G90" i="16" a="1"/>
  <c r="G90" i="16"/>
  <c r="G91" i="16" a="1"/>
  <c r="G91" i="16"/>
  <c r="G92" i="16" a="1"/>
  <c r="G92" i="16"/>
  <c r="G93" i="16" a="1"/>
  <c r="G93" i="16"/>
  <c r="G94" i="16" a="1"/>
  <c r="G94" i="16"/>
  <c r="G95" i="16" a="1"/>
  <c r="G95" i="16"/>
  <c r="G96" i="16" a="1"/>
  <c r="G96" i="16"/>
  <c r="G97" i="16" a="1"/>
  <c r="G97" i="16"/>
  <c r="G98" i="16" a="1"/>
  <c r="G98" i="16"/>
  <c r="G99" i="16" a="1"/>
  <c r="G99" i="16"/>
  <c r="G100" i="16" a="1"/>
  <c r="G100" i="16"/>
  <c r="G101" i="16" a="1"/>
  <c r="G101" i="16"/>
  <c r="G102" i="16" a="1"/>
  <c r="G102" i="16"/>
  <c r="G103" i="16" a="1"/>
  <c r="G103" i="16"/>
  <c r="G104" i="16" a="1"/>
  <c r="G104" i="16"/>
  <c r="G105" i="16" a="1"/>
  <c r="G105" i="16"/>
  <c r="G106" i="16" a="1"/>
  <c r="G106" i="16"/>
  <c r="G12" i="16" a="1"/>
  <c r="G12" i="16"/>
  <c r="G13" i="16" a="1"/>
  <c r="G13" i="16"/>
  <c r="G14" i="16" a="1"/>
  <c r="G14" i="16"/>
  <c r="G16" i="16" a="1"/>
  <c r="G16" i="16"/>
  <c r="G17" i="16" a="1"/>
  <c r="G17" i="16"/>
  <c r="G18" i="16" a="1"/>
  <c r="G18" i="16"/>
  <c r="G19" i="16" a="1"/>
  <c r="G19" i="16"/>
  <c r="G20" i="16" a="1"/>
  <c r="G20" i="16"/>
  <c r="G21" i="16" a="1"/>
  <c r="G21" i="16"/>
  <c r="G22" i="16" a="1"/>
  <c r="G22" i="16"/>
  <c r="G23" i="16" a="1"/>
  <c r="G23" i="16"/>
  <c r="G24" i="16" a="1"/>
  <c r="G24" i="16"/>
  <c r="G25" i="16" a="1"/>
  <c r="G25" i="16"/>
  <c r="G26" i="16" a="1"/>
  <c r="G26" i="16"/>
  <c r="G27" i="16" a="1"/>
  <c r="G27" i="16"/>
  <c r="G28" i="16" a="1"/>
  <c r="G28" i="16"/>
  <c r="G29" i="16" a="1"/>
  <c r="G29" i="16"/>
  <c r="G30" i="16" a="1"/>
  <c r="G30" i="16"/>
  <c r="G31" i="16" a="1"/>
  <c r="G31" i="16"/>
  <c r="G32" i="16" a="1"/>
  <c r="G32" i="16"/>
  <c r="G33" i="16" a="1"/>
  <c r="G33" i="16"/>
  <c r="G34" i="16" a="1"/>
  <c r="G34" i="16"/>
  <c r="G35" i="16" a="1"/>
  <c r="G35" i="16"/>
  <c r="G36" i="16" a="1"/>
  <c r="G36" i="16"/>
  <c r="G37" i="16" a="1"/>
  <c r="G37" i="16"/>
  <c r="G38" i="16" a="1"/>
  <c r="G38" i="16"/>
  <c r="G39" i="16" a="1"/>
  <c r="G39" i="16"/>
  <c r="G40" i="16" a="1"/>
  <c r="G40" i="16"/>
  <c r="G41" i="16" a="1"/>
  <c r="G41" i="16"/>
  <c r="G42" i="16" a="1"/>
  <c r="G42" i="16"/>
  <c r="G43" i="16" a="1"/>
  <c r="G43" i="16"/>
  <c r="G44" i="16" a="1"/>
  <c r="G44" i="16"/>
  <c r="G45" i="16" a="1"/>
  <c r="G45" i="16"/>
  <c r="G46" i="16" a="1"/>
  <c r="G46" i="16"/>
  <c r="G47" i="16" a="1"/>
  <c r="G47" i="16"/>
  <c r="G48" i="16" a="1"/>
  <c r="G48" i="16"/>
  <c r="G49" i="16" a="1"/>
  <c r="G49" i="16"/>
  <c r="G50" i="16" a="1"/>
  <c r="G50" i="16"/>
  <c r="G51" i="16" a="1"/>
  <c r="G51" i="16"/>
  <c r="G52" i="16" a="1"/>
  <c r="G52" i="16"/>
  <c r="G53" i="16" a="1"/>
  <c r="G53" i="16"/>
  <c r="G54" i="16" a="1"/>
  <c r="G54" i="16"/>
  <c r="G55" i="16" a="1"/>
  <c r="G55" i="16"/>
  <c r="G56" i="16" a="1"/>
  <c r="G56" i="16"/>
  <c r="G57" i="16" a="1"/>
  <c r="G57" i="16"/>
  <c r="G58" i="16" a="1"/>
  <c r="G58" i="16"/>
  <c r="G59" i="16" a="1"/>
  <c r="G59" i="16"/>
  <c r="G60" i="16" a="1"/>
  <c r="G60" i="16"/>
  <c r="G61" i="16" a="1"/>
  <c r="G61" i="16"/>
  <c r="G62" i="16" a="1"/>
  <c r="G62" i="16"/>
  <c r="G63" i="16" a="1"/>
  <c r="G63" i="16"/>
  <c r="G64" i="16" a="1"/>
  <c r="G64" i="16"/>
  <c r="G65" i="16" a="1"/>
  <c r="G65" i="16"/>
  <c r="G66" i="16" a="1"/>
  <c r="G66" i="16"/>
  <c r="G67" i="16" a="1"/>
  <c r="G67" i="16"/>
  <c r="G68" i="16" a="1"/>
  <c r="G68" i="16"/>
  <c r="G69" i="16" a="1"/>
  <c r="G69" i="16"/>
  <c r="G70" i="16" a="1"/>
  <c r="G70" i="16"/>
  <c r="G71" i="16" a="1"/>
  <c r="G71" i="16"/>
  <c r="G72" i="16" a="1"/>
  <c r="G72" i="16"/>
  <c r="G73" i="16" a="1"/>
  <c r="G73" i="16"/>
  <c r="G74" i="16" a="1"/>
  <c r="G74" i="16"/>
  <c r="G75" i="16" a="1"/>
  <c r="G75" i="16"/>
  <c r="G76" i="16" a="1"/>
  <c r="G76" i="16"/>
  <c r="G77" i="16" a="1"/>
  <c r="G77" i="16"/>
  <c r="G78" i="16" a="1"/>
  <c r="G78" i="16"/>
  <c r="G79" i="16" a="1"/>
  <c r="G79" i="16"/>
  <c r="G80" i="16" a="1"/>
  <c r="G80" i="16"/>
  <c r="G81" i="16" a="1"/>
  <c r="G81" i="16"/>
  <c r="G82" i="16" a="1"/>
  <c r="G82" i="16"/>
  <c r="G83" i="16" a="1"/>
  <c r="G83" i="16"/>
  <c r="G84" i="16" a="1"/>
  <c r="G84" i="16"/>
  <c r="G85" i="16" a="1"/>
  <c r="G85" i="16"/>
  <c r="G86" i="16" a="1"/>
  <c r="G86" i="16"/>
  <c r="G87" i="16" a="1"/>
  <c r="G87" i="16"/>
  <c r="G88" i="16" a="1"/>
  <c r="G88" i="16"/>
  <c r="G89" i="16" a="1"/>
  <c r="G89" i="16"/>
  <c r="G292" i="16" a="1"/>
  <c r="G292" i="16"/>
  <c r="G4" i="16" a="1"/>
  <c r="G4" i="16"/>
  <c r="G5" i="16" a="1"/>
  <c r="G5" i="16"/>
  <c r="G6" i="16" a="1"/>
  <c r="G6" i="16"/>
  <c r="G7" i="16" a="1"/>
  <c r="G7" i="16"/>
  <c r="G8" i="16" a="1"/>
  <c r="G8" i="16"/>
  <c r="G9" i="16" a="1"/>
  <c r="G9" i="16"/>
  <c r="G10" i="16" a="1"/>
  <c r="G10" i="16"/>
  <c r="G11" i="16" a="1"/>
  <c r="G11" i="16"/>
  <c r="G2" i="16" a="1"/>
  <c r="G2" i="16"/>
  <c r="D16" i="11"/>
  <c r="E16" i="11"/>
  <c r="F16" i="11"/>
  <c r="H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U10" authorId="0" shapeId="0" xr:uid="{AD96CC1D-2A59-4FD4-994D-A0F33C02E418}">
      <text>
        <r>
          <rPr>
            <sz val="11"/>
            <color theme="1"/>
            <rFont val="游ゴシック"/>
            <family val="2"/>
            <scheme val="minor"/>
          </rPr>
          <t>======
ID#AAAB-v6tVUI
木村　悠羽    (2026-07-01 07:59:24)
◎：自動化＋アラート連携済
○：定常運用として実施
△：一部手動 / 不十分
×：未対応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U9" authorId="0" shapeId="0" xr:uid="{5B074BD8-26B0-486C-9194-F2CC0EBB5FEF}">
      <text>
        <r>
          <rPr>
            <sz val="11"/>
            <color theme="1"/>
            <rFont val="游ゴシック"/>
            <family val="2"/>
            <scheme val="minor"/>
          </rPr>
          <t>======
ID#AAAB-v6tVUI
木村　悠羽    (2026-07-01 07:59:24)
◎：自動化＋アラート連携済
○：定常運用として実施
△：一部手動 / 不十分
×：未対応</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三ツ井　涼太</author>
    <author>木村　悠羽</author>
  </authors>
  <commentList>
    <comment ref="E12" authorId="0" shapeId="0" xr:uid="{91A0E84F-D53F-4FF6-925A-1D4EF0FECE20}">
      <text>
        <r>
          <rPr>
            <sz val="11"/>
            <color theme="1"/>
            <rFont val="游ゴシック"/>
            <family val="2"/>
            <scheme val="minor"/>
          </rPr>
          <t xml:space="preserve">DataViz関連
</t>
        </r>
      </text>
    </comment>
    <comment ref="K32" authorId="1" shapeId="0" xr:uid="{FDEED114-37C5-4B51-BDA7-54391E736FA7}">
      <text>
        <r>
          <rPr>
            <sz val="11"/>
            <color theme="1"/>
            <rFont val="游ゴシック"/>
            <family val="2"/>
            <scheme val="minor"/>
          </rPr>
          <t>Teams通知・Webhookの設定に際してはトヨタシステムズ側への依頼が必要になる。
Webhookにより発信されるjsonの中身はさらにメーカーへの問い合わせが必要</t>
        </r>
      </text>
    </comment>
    <comment ref="E44" authorId="0" shapeId="0" xr:uid="{4F754B64-EB9E-44C6-A487-3D616BD19223}">
      <text>
        <r>
          <rPr>
            <sz val="11"/>
            <color theme="1"/>
            <rFont val="游ゴシック"/>
            <family val="2"/>
            <scheme val="minor"/>
          </rPr>
          <t>データマネジメントシステムへの通知</t>
        </r>
      </text>
    </comment>
    <comment ref="E45" authorId="0" shapeId="0" xr:uid="{340B8713-458A-4C30-80E7-EAA15FF70C36}">
      <text>
        <r>
          <rPr>
            <sz val="11"/>
            <color theme="1"/>
            <rFont val="游ゴシック"/>
            <family val="2"/>
            <scheme val="minor"/>
          </rPr>
          <t>データマネジメントシステムへの通知</t>
        </r>
      </text>
    </comment>
    <comment ref="E46" authorId="0" shapeId="0" xr:uid="{A654577F-FB77-4A0C-A6C5-9A917130004F}">
      <text>
        <r>
          <rPr>
            <sz val="11"/>
            <color theme="1"/>
            <rFont val="游ゴシック"/>
            <family val="2"/>
            <scheme val="minor"/>
          </rPr>
          <t>データマネジメントシステムへの通知</t>
        </r>
      </text>
    </comment>
    <comment ref="K64" authorId="1" shapeId="0" xr:uid="{6523B56A-8A17-48F9-A12E-26BF12B085BB}">
      <text>
        <r>
          <rPr>
            <sz val="11"/>
            <color theme="1"/>
            <rFont val="游ゴシック"/>
            <family val="2"/>
            <scheme val="minor"/>
          </rPr>
          <t>各コンポーネントへの展開はできていない状態</t>
        </r>
      </text>
    </comment>
    <comment ref="K65" authorId="1" shapeId="0" xr:uid="{687212E3-CECC-4CCD-AD92-0B5431DBEDB4}">
      <text>
        <r>
          <rPr>
            <sz val="11"/>
            <color theme="1"/>
            <rFont val="游ゴシック"/>
            <family val="2"/>
            <scheme val="minor"/>
          </rPr>
          <t>各コンポーネントへの展開はできていない状態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<sst xmlns="http://schemas.openxmlformats.org/spreadsheetml/2006/main" count="8122" uniqueCount="2176">
  <si>
    <t>【現状】インシデント設計（データ基盤・インフラ）</t>
  </si>
  <si>
    <t>インシデントレベル（現状）</t>
  </si>
  <si>
    <t>インシデント対策としての定常運用での注意事項</t>
  </si>
  <si>
    <t>レベル</t>
  </si>
  <si>
    <t>概要</t>
  </si>
  <si>
    <t>事例</t>
  </si>
  <si>
    <t>頻度</t>
  </si>
  <si>
    <t>対応内容</t>
  </si>
  <si>
    <t>Lv. 1</t>
  </si>
  <si>
    <t>サービス停止</t>
  </si>
  <si>
    <t>・NiFi停止（基）​
・Kafka停止 （基）​
・Cloudera停止 （基）​
・Network停止 （イ）​
・DB停止（イ）</t>
  </si>
  <si>
    <t>日次</t>
  </si>
  <si>
    <t>・NiFi異常 ​
・Kafka ​
・Lag ​
・ETL失敗 ​
・API失敗​
・CPU ​
・Memory ​
・Disk</t>
  </si>
  <si>
    <t>Lv. 2</t>
  </si>
  <si>
    <t>一部影響</t>
  </si>
  <si>
    <t>・NiFi Processor再配置（基）​
・ETL修正（基）​
・テーブル変更（基）​
・API追加（基）</t>
  </si>
  <si>
    <t>週次</t>
  </si>
  <si>
    <t>・データ品質確認
・処理遅延確認
・バックアップ確認
・セキュリティ確認</t>
  </si>
  <si>
    <t>Lv. 3</t>
  </si>
  <si>
    <t>軽微な影響</t>
  </si>
  <si>
    <t>・ダッシュボード追加​
・権限追加
・ログレベル変更
・ドキュメント更新</t>
  </si>
  <si>
    <t>月次</t>
  </si>
  <si>
    <t>・バッチ運用
・不要ジョブ削除
・容量確認</t>
  </si>
  <si>
    <t>スポット</t>
  </si>
  <si>
    <t>・変更依頼
　｜- 何を誰が
　｜- なぜ
　｜- 影響範囲
　｜- ロールバック法
　｜- 承認者</t>
  </si>
  <si>
    <t>現状の問題点</t>
  </si>
  <si>
    <t>・事例が記載されており、判断基準がない = 事例外のインシデントが発生した際に、「どのレベルに属するか」の議論が必要になり、初動が遅れかねない懸念がある</t>
  </si>
  <si>
    <t>・各部門の各コンポーネントのインシデントが混ざって記載されている = 各部門に特徴的な動きなどがある場合にそれらを網羅されておらず、インシデントへの対応が遅れかねない</t>
  </si>
  <si>
    <t>【現状】インシデント設計（アプリ基盤）</t>
  </si>
  <si>
    <t>・実装バグによる過負荷​
・環境変数・設定値の設定のズレ​
・マイグレーション失敗・スキーマ不整合​
・ログイン処理のバグやEntraログイン障害で全ユーザーがログイン不可
・コードバグで全画面エラー​
（Azureや基盤起因のものは書いてないが、アプリ側でもエラー定期エラーチェック）</t>
  </si>
  <si>
    <t>・アプリエラーログ
・バッチエラーログ</t>
  </si>
  <si>
    <t>・見えてはいけない画面・データが見える（場合によってはレベル1）​
・権限があるのに使えない​
・バリデーション漏れによる不正データ登録​
・外部 API 失敗時によるデータ不整合​
・二重送信・排他制御漏れによる重複データ​
・コード起因によるレスポンスの低下​
・機能デプロイ​
・バッチ、ジョブエラー</t>
  </si>
  <si>
    <t>・データ整合確認
・DBバックアップ確認（インフラ？）</t>
  </si>
  <si>
    <t>・画面の文言誤り・表示崩れなど軽微な修正</t>
  </si>
  <si>
    <t>・依存パッケージ脆弱性
・全体テストケース</t>
  </si>
  <si>
    <t>号口運用設計のできている、できていないの調査のサマリー</t>
  </si>
  <si>
    <t>▼凡例</t>
  </si>
  <si>
    <t>号口運用の責任の範囲</t>
  </si>
  <si>
    <t>判定情報</t>
  </si>
  <si>
    <t>　◎：適切な手段・設定で対応できている</t>
  </si>
  <si>
    <t>プロダクト種別</t>
  </si>
  <si>
    <t>管理種別（大）</t>
  </si>
  <si>
    <t>◎</t>
  </si>
  <si>
    <t>○</t>
  </si>
  <si>
    <t>△</t>
  </si>
  <si>
    <t>×</t>
  </si>
  <si>
    <t>N/A</t>
  </si>
  <si>
    <t>　◯：対応はできているがツール・設定の見直しが必要</t>
  </si>
  <si>
    <t>データ活用基盤</t>
  </si>
  <si>
    <t>インフラ</t>
  </si>
  <si>
    <t>-</t>
  </si>
  <si>
    <t>運用中</t>
  </si>
  <si>
    <t>　△：手動での対応あるいは対応が不十分</t>
  </si>
  <si>
    <t>データ基盤</t>
  </si>
  <si>
    <t>　×：未対応</t>
  </si>
  <si>
    <t>アプリ基盤</t>
  </si>
  <si>
    <t>今後、運用していく</t>
  </si>
  <si>
    <t>　N/A：不適当</t>
  </si>
  <si>
    <t>業務アプリ</t>
  </si>
  <si>
    <t>U-SLIM</t>
  </si>
  <si>
    <t>DX道場</t>
  </si>
  <si>
    <t>トヨタポイント</t>
  </si>
  <si>
    <t>合計</t>
  </si>
  <si>
    <t>できている</t>
  </si>
  <si>
    <t>できていない</t>
  </si>
  <si>
    <t>◎Good（良かったこと）</t>
  </si>
  <si>
    <t>　①  データ基盤は、Cloudera製品に対して相性の良い、Cloudera Managerを利用し、監視が必要な項目に対して監視できている。</t>
  </si>
  <si>
    <t>　②  データ基盤のOGG監視も相性の良い、OCIモニターを利用し、監視が必要な項目に対して監視できている。</t>
  </si>
  <si>
    <t>　③  インフラの外部監視はPrisma Cloudで監視体制がしっかりできている。</t>
  </si>
  <si>
    <t>◎More（改善を検討すること）</t>
  </si>
  <si>
    <t>　①  インフラの内部監視について、Azureの標準監視ツールより、Cloudera Managerでのデータに関連する項目を優先して活用しているので、</t>
  </si>
  <si>
    <t>　　  Kubernetes、ネットワークなどのインフラ固有の項目をカバーしきれていないのでツール選定含め見直しの価値あり</t>
  </si>
  <si>
    <t>　②  データ基盤のRanger、impalaに関しては担当者固有の手動監視になっているので、ルールのアップデートが必要。</t>
  </si>
  <si>
    <t>　③  データ基盤のODD監視について、現状、監視ツールがクリティカルしか設定されていないので手前のワーニングなどを追加し、事前に気付けるアップデートが必要。</t>
  </si>
  <si>
    <t>号口運用設計（監視・インシデント）</t>
  </si>
  <si>
    <t>▼判定の凡例</t>
  </si>
  <si>
    <t>▼前提</t>
  </si>
  <si>
    <t>　・システム構成のサブネット種別（サービス種別含む）で、運営方法や求められるインシデントレベルの設計が変わる想定</t>
  </si>
  <si>
    <t>　</t>
  </si>
  <si>
    <t>　・2階建て構造の考え方から、共通部より、ユーザー影響のあるアプリのインシデントを優先して障害報を出す</t>
  </si>
  <si>
    <t>定常運用（現状）</t>
  </si>
  <si>
    <t>定常運用（未来）</t>
    <phoneticPr fontId="10"/>
  </si>
  <si>
    <t>インシデントレベル</t>
  </si>
  <si>
    <t>エスカレーション</t>
  </si>
  <si>
    <t>管理種別（中）</t>
  </si>
  <si>
    <t>管理種別（小）</t>
  </si>
  <si>
    <t>判定</t>
  </si>
  <si>
    <t>インシデント種別</t>
  </si>
  <si>
    <t>レベル1（極小）</t>
  </si>
  <si>
    <t>レベル2（小）</t>
  </si>
  <si>
    <t>レベル3（大）</t>
  </si>
  <si>
    <t>レベル4（極大）</t>
  </si>
  <si>
    <t>責任者</t>
  </si>
  <si>
    <t>承認者</t>
  </si>
  <si>
    <t>エスカレーション方法</t>
  </si>
  <si>
    <t>使用監視ツール</t>
  </si>
  <si>
    <t>アラート発動項目＆条件</t>
  </si>
  <si>
    <t>出力チャネル</t>
  </si>
  <si>
    <t>評価</t>
  </si>
  <si>
    <t>コメント</t>
  </si>
  <si>
    <t>統一基準</t>
  </si>
  <si>
    <t>見た目の不具合に相当する</t>
  </si>
  <si>
    <t>機能の一部に障害に相当する</t>
  </si>
  <si>
    <t>サービスの重要な機能、導線に障害に相当する</t>
  </si>
  <si>
    <t>サービスが起動不能な状態に相当する</t>
  </si>
  <si>
    <t>トヨテック責任者</t>
  </si>
  <si>
    <t>顧客責任者</t>
  </si>
  <si>
    <t>トヨテック承認者</t>
  </si>
  <si>
    <t>LV1</t>
  </si>
  <si>
    <t>LV2</t>
  </si>
  <si>
    <t>LV3</t>
  </si>
  <si>
    <t>LV4</t>
  </si>
  <si>
    <t>種別</t>
  </si>
  <si>
    <t>チャネル名</t>
  </si>
  <si>
    <t>承認依頼ルール</t>
  </si>
  <si>
    <t>通知ルール</t>
  </si>
  <si>
    <t>ユーザー告知</t>
  </si>
  <si>
    <t>一次対策</t>
  </si>
  <si>
    <t>恒久対策</t>
  </si>
  <si>
    <t>データ活用基盤（インフラ）
※toyotecdap</t>
  </si>
  <si>
    <t>Azure VM</t>
    <phoneticPr fontId="10"/>
  </si>
  <si>
    <t>CPU</t>
  </si>
  <si>
    <t>・アラート発報の自動監視
CDPが使っている部分の監視しかしていない。
Azureのその他の部分の監視はできていない。</t>
  </si>
  <si>
    <t>Cloudera Manager</t>
  </si>
  <si>
    <t>Kafka / NiFi / Kudu
・使用率
　・各ノードの平均80%以上：Critical</t>
    <rPh sb="21" eb="24">
      <t>シヨウリツ</t>
    </rPh>
    <rPh sb="27" eb="28">
      <t>カク</t>
    </rPh>
    <rPh sb="32" eb="34">
      <t>ヘイキン</t>
    </rPh>
    <rPh sb="37" eb="39">
      <t>イジョウ</t>
    </rPh>
    <phoneticPr fontId="10"/>
  </si>
  <si>
    <t>Teams</t>
  </si>
  <si>
    <t>12_CDPアラート共有</t>
    <phoneticPr fontId="10"/>
  </si>
  <si>
    <t>〇</t>
  </si>
  <si>
    <t>Cloudera Managerに依存しているため、
AzureMonitorの併用を検討する</t>
    <rPh sb="17" eb="19">
      <t>イゾン</t>
    </rPh>
    <rPh sb="40" eb="42">
      <t>ヘイヨウ</t>
    </rPh>
    <rPh sb="43" eb="45">
      <t>ケントウ</t>
    </rPh>
    <phoneticPr fontId="10"/>
  </si>
  <si>
    <t>・アラート発報の自動監視
・Critical/Highアラートの即時対応（一時切り分け含む）
・対象VM・発生時刻・CPU使用率・継続時間の確認</t>
    <phoneticPr fontId="10"/>
  </si>
  <si>
    <t>ClouderaManager
Azure Monitor</t>
  </si>
  <si>
    <t>CPU使用率が80%以上かつ5分以上継続</t>
    <phoneticPr fontId="10"/>
  </si>
  <si>
    <t>Teams
webhook</t>
    <phoneticPr fontId="10"/>
  </si>
  <si>
    <t>12_CDPアラート共有</t>
  </si>
  <si>
    <t>・アラート発生傾向の分析（閾値妥当性確認）
　・発生件数、発生VM、発生時間帯、未対応アラート有無の確認
・利用率トレンド確認</t>
    <phoneticPr fontId="10"/>
  </si>
  <si>
    <t>ClouderaManager
Azure Monitor</t>
    <phoneticPr fontId="10"/>
  </si>
  <si>
    <t>・キャパシティプランニングの見直し
・恒常的な高負荷VM、閾値超過頻度、スケールアップ・スケールアウト要否の確認
・アラート閾値のチューニング（必要に応じて）</t>
    <rPh sb="72" eb="74">
      <t>ヒツヨウ</t>
    </rPh>
    <rPh sb="75" eb="76">
      <t>オウ</t>
    </rPh>
    <phoneticPr fontId="10"/>
  </si>
  <si>
    <t>・構成変更時のリソース影響レビュー
・Azure MonitorのCPU監視対象、アラート条件、通知先、Teams出力を確認
・スケール設定変更時の事前検証</t>
    <phoneticPr fontId="10"/>
  </si>
  <si>
    <t>Azure Monitor</t>
    <phoneticPr fontId="10"/>
  </si>
  <si>
    <t>サーバー系</t>
  </si>
  <si>
    <t>CPUの使用率が規定の80％を超え、性能劣化の可能性がある</t>
  </si>
  <si>
    <t>CPUが飽和し、性能が劣化する</t>
    <rPh sb="4" eb="6">
      <t>ホウワ</t>
    </rPh>
    <rPh sb="8" eb="10">
      <t>セイノウ</t>
    </rPh>
    <rPh sb="11" eb="13">
      <t>レッカ</t>
    </rPh>
    <phoneticPr fontId="10"/>
  </si>
  <si>
    <t>三ツ井 涼太</t>
  </si>
  <si>
    <t>石川 渉</t>
  </si>
  <si>
    <t>顧客責任者：
経営チーム：責任者
データ基盤部：リーダー
インフラ：リーダー</t>
  </si>
  <si>
    <t>暫定対応できないものは即要因を分析
※4時間おきにレポート</t>
  </si>
  <si>
    <t>恒久対応できるように要因を分析
※1日おきにレポート</t>
  </si>
  <si>
    <t>あり/なし</t>
  </si>
  <si>
    <t>あり</t>
  </si>
  <si>
    <t>メモリ</t>
  </si>
  <si>
    <t>・アラート発報の自動監視</t>
  </si>
  <si>
    <t>Cloudera Manager</t>
    <phoneticPr fontId="10"/>
  </si>
  <si>
    <t>Kafka / NiFi / Kudu
・使用率
　・各ノードの平均80%以上：Critical
・プロセスSwap使用量監視
　・プロセスのSwap使用量が 200B超過 した場合：Warning
　（Critical閾値：設定なし）
NiFi
・JVM最大ヒープサイズ（Xmx）監視
　・以下の状態を検知した場合、Health Alertが発報される。
　　・Xmx設定値が推奨範囲外
　　・メモリ割当て設定の不整合</t>
    <rPh sb="21" eb="24">
      <t>シヨウリツ</t>
    </rPh>
    <phoneticPr fontId="10"/>
  </si>
  <si>
    <t>・アラート発報の自動監視
・Critical/Highアラートの即時対応（一時切り分け含む）
・メモリ逼迫アラート発生時はTeams通知を確認し、対象VM・発生時刻・使用可能メモリ率・継続時間を確認</t>
    <phoneticPr fontId="10"/>
  </si>
  <si>
    <t>Available Memory Percentageの空き容量が20%以下が5分以上継続</t>
    <rPh sb="28" eb="29">
      <t>ア</t>
    </rPh>
    <rPh sb="30" eb="32">
      <t>ヨウリョウ</t>
    </rPh>
    <rPh sb="36" eb="38">
      <t>イカ</t>
    </rPh>
    <phoneticPr fontId="10"/>
  </si>
  <si>
    <t>・キャパシティプランニングの見直し
・恒常的なメモリ逼迫VM、閾値超過頻度、スケールアップ・スケールアウト要否の確認
・アラート閾値のチューニング（必要に応じて）</t>
    <phoneticPr fontId="10"/>
  </si>
  <si>
    <t>・構成変更時のリソース影響レビュー
・メモリ監視対象、アラート条件、通知先、Teams出力の確認
・スケール設定変更時の事前検証</t>
    <phoneticPr fontId="10"/>
  </si>
  <si>
    <t>メモリの使用率が規定の80％を超え、性能劣化の可能性がある</t>
    <rPh sb="4" eb="7">
      <t>シヨウリツ</t>
    </rPh>
    <rPh sb="18" eb="22">
      <t>セイノウレッカ</t>
    </rPh>
    <rPh sb="23" eb="26">
      <t>カノウセイ</t>
    </rPh>
    <phoneticPr fontId="10"/>
  </si>
  <si>
    <t>メモリSwapが発生し、性能が劣化する</t>
  </si>
  <si>
    <t>プロセスが予期せず終了する</t>
  </si>
  <si>
    <t>N/A</t>
    <phoneticPr fontId="10"/>
  </si>
  <si>
    <t>ディスク</t>
  </si>
  <si>
    <t>Kafka / NiFi / Kudu
・使用率
　・各ノードの平均80%以上：Critical
・ログディレクトリ空き容量監視
　・ログディレクトリの空き容量が 10GiB未満 になった場合：Warning
　・ログディレクトリの空き容量が 5GiB未満 になった場合：Critical
Kafka
・Kafka Broker ログディレクトリ空き容量監視
　・Kafka Brokerのログディレクトリ空き容量率が10％未満になった場合、Health Alertが発報される
・Offline Directory監視
　以下の状態を検知した場合、Health Alertが発報される。
　・Kafkaのデータディレクトリが利用不可となった場合
　・ディスク障害やマウント異常が発生した場合
NiFi
・Repository使用率監視
　・使用率が 80%以上 ：Warning
　・使用率が 90%以上 ：Failure</t>
    <phoneticPr fontId="10"/>
  </si>
  <si>
    <t>・アラート発報の自動監視
・Critical/Highアラートの即時対応（一時切り分け含む）
・Teams通知を確認し、対象VM・発生時刻・ディスク使用率または空き容量・継続時間を確認</t>
    <phoneticPr fontId="10"/>
  </si>
  <si>
    <t>ディスクの空き容量が20%以下が5分以上継続、または空き容量閾値未満</t>
    <rPh sb="5" eb="6">
      <t>ア</t>
    </rPh>
    <rPh sb="7" eb="9">
      <t>ヨウリョウ</t>
    </rPh>
    <rPh sb="13" eb="15">
      <t>イカ</t>
    </rPh>
    <phoneticPr fontId="10"/>
  </si>
  <si>
    <t>・アラート発生傾向の分析（閾値妥当性確認）
　・生件数、発生VM、発生ディスク、未対応アラート有無の確認
・利用率トレンド確認</t>
    <phoneticPr fontId="10"/>
  </si>
  <si>
    <t>・キャパシティプランニングの見直し
・恒常的なディスク逼迫VM、使用量増加傾向、容量拡張要否の確認
・アラート閾値のチューニング（必要に応じて）</t>
    <phoneticPr fontId="10"/>
  </si>
  <si>
    <t>・構成変更時のリソース影響レビュー
・ディスク追加・容量変更・マウント変更時に、Azure Monitorの監視対象、アラート条件、通知先、Teams出力の確認
・スケール設定変更時の事前検証</t>
    <phoneticPr fontId="10"/>
  </si>
  <si>
    <t>ディスクの使用率が規定の80％を超え、書き込み不能となる可能性がある</t>
    <rPh sb="5" eb="8">
      <t>シヨウリツ</t>
    </rPh>
    <rPh sb="19" eb="20">
      <t>カ</t>
    </rPh>
    <rPh sb="21" eb="22">
      <t>コ</t>
    </rPh>
    <rPh sb="23" eb="25">
      <t>フノウ</t>
    </rPh>
    <rPh sb="28" eb="31">
      <t>カノウセイ</t>
    </rPh>
    <phoneticPr fontId="10"/>
  </si>
  <si>
    <t>ディスク容量が飽和し、データ・ログの書き込みが不可となる</t>
    <rPh sb="4" eb="6">
      <t>ヨウリョウ</t>
    </rPh>
    <rPh sb="7" eb="9">
      <t>ホウワ</t>
    </rPh>
    <rPh sb="18" eb="19">
      <t>カ</t>
    </rPh>
    <rPh sb="20" eb="21">
      <t>コ</t>
    </rPh>
    <rPh sb="23" eb="25">
      <t>フカ</t>
    </rPh>
    <phoneticPr fontId="10"/>
  </si>
  <si>
    <t>ネットワーク</t>
  </si>
  <si>
    <t>NiFi
NiFi Node Connectivity監視
　以下の状態を検知した場合、Health Alertが発報される。
　・NiFiノード間の接続異常
　・クラスタノードとの通信異常
　・ノード疎通不可</t>
    <phoneticPr fontId="10"/>
  </si>
  <si>
    <t>・アラート発報の自動監視
・Critical/Highアラートの即時対応（一時切り分け含む）
・Teams通知を確認し、対象VM・発生時刻・通信断または接続性低下の有無を確認</t>
    <phoneticPr fontId="10"/>
  </si>
  <si>
    <t>ネットワークエラーまたは通信断検知
Critical</t>
    <phoneticPr fontId="10"/>
  </si>
  <si>
    <t>・アラート発生傾向の分析（閾値妥当性確認）
・通信断・接続性低下の発生件数、発生VM、発生時間帯、未対応アラート有無の確認</t>
    <phoneticPr fontId="10"/>
  </si>
  <si>
    <t>・キャパシティプランニングの見直し
・通信断・接続性低下の傾向、ネットワーク遅延、構成変更要否の確認
・アラート閾値のチューニング（必要に応じて）</t>
    <phoneticPr fontId="10"/>
  </si>
  <si>
    <t>・構成変更時のリソース影響レビュー
・VM追加・ネットワーク設定変更・NSG変更・ルート変更時に、監視対象、疎通条件、通知先、Teams出力の確認
・スケール設定変更時の事前検証</t>
    <phoneticPr fontId="10"/>
  </si>
  <si>
    <t>帯域、スループットが低下し、一部ノード間の接続が失敗する</t>
    <rPh sb="0" eb="2">
      <t>タイイキ</t>
    </rPh>
    <rPh sb="10" eb="12">
      <t>テイカ</t>
    </rPh>
    <rPh sb="14" eb="16">
      <t>イチブ</t>
    </rPh>
    <rPh sb="19" eb="20">
      <t>カン</t>
    </rPh>
    <rPh sb="21" eb="23">
      <t>セツゾク</t>
    </rPh>
    <rPh sb="24" eb="26">
      <t>シッパイ</t>
    </rPh>
    <phoneticPr fontId="10"/>
  </si>
  <si>
    <t>帯域が上限に張り付き、ノード間の接続が不可となる</t>
    <rPh sb="0" eb="2">
      <t>タイイキ</t>
    </rPh>
    <rPh sb="3" eb="5">
      <t>ジョウゲン</t>
    </rPh>
    <rPh sb="6" eb="7">
      <t>ハ</t>
    </rPh>
    <rPh sb="8" eb="9">
      <t>ツ</t>
    </rPh>
    <rPh sb="14" eb="15">
      <t>カン</t>
    </rPh>
    <rPh sb="16" eb="18">
      <t>セツゾク</t>
    </rPh>
    <rPh sb="19" eb="21">
      <t>フカ</t>
    </rPh>
    <phoneticPr fontId="10"/>
  </si>
  <si>
    <t>Kubernetes</t>
    <phoneticPr fontId="10"/>
  </si>
  <si>
    <t>・手動で担当者が見ている状態</t>
  </si>
  <si>
    <t>手動対応となっているため
Azure Monitorを利用する</t>
    <rPh sb="0" eb="4">
      <t>シュドウタイオウ</t>
    </rPh>
    <rPh sb="27" eb="29">
      <t>リヨウ</t>
    </rPh>
    <phoneticPr fontId="10"/>
  </si>
  <si>
    <t>・アラート発報の自動監視
・Criticalアラート発生時はTeams通知を確認し、対象Node・発生時刻・CPU使用率・継続時間を確認</t>
    <phoneticPr fontId="10"/>
  </si>
  <si>
    <t>Azure Monitor
Managed Prometheus</t>
    <phoneticPr fontId="10"/>
  </si>
  <si>
    <t>各Node単位で CPU使用率80%以上が5分以上継続</t>
    <rPh sb="0" eb="1">
      <t>カク</t>
    </rPh>
    <rPh sb="5" eb="7">
      <t>タンイ</t>
    </rPh>
    <phoneticPr fontId="10"/>
  </si>
  <si>
    <t>・Pod再起動回数・異常発生頻度の分析
・リソース使用率の偏り確認
・CPU高騰の発生件数、発生Node、発生時間帯、Pod再起動回数、未対応アラート有無を確認</t>
    <phoneticPr fontId="10"/>
  </si>
  <si>
    <t>・HPA/リソース制限設定の見直し
・恒常的な高負荷Node、未使用リソース・Namespaceの確認</t>
    <rPh sb="49" eb="51">
      <t>カクニン</t>
    </rPh>
    <phoneticPr fontId="10"/>
  </si>
  <si>
    <t>・デプロイ時のリソース定義レビュー
・スケーリング設定変更時に監視条件への影響を確認</t>
    <phoneticPr fontId="10"/>
  </si>
  <si>
    <t>ノードCPU使用率が80%を超過し、Pod処理遅延やスケジューリング遅延の可能性がある</t>
    <phoneticPr fontId="10"/>
  </si>
  <si>
    <t>複数Podまたは一部ノードでCPU逼迫が発生し、処理性能が劣化する</t>
    <phoneticPr fontId="10"/>
  </si>
  <si>
    <t>重要Podの処理遅延やノード逼迫により、サービスの一部重要機能に影響する</t>
    <phoneticPr fontId="10"/>
  </si>
  <si>
    <t>クラスタ全体でCPUリソースが不足し、Pod起動不可またはサービス利用不可となる</t>
    <phoneticPr fontId="10"/>
  </si>
  <si>
    <t>・アラート発報の自動監視
・Criticalアラート発生時はTeams通知を確認し、対象Node/Pod・発生時刻・メモリ使用率・継続時間を確認</t>
    <phoneticPr fontId="10"/>
  </si>
  <si>
    <t>Azure Monitor
Managed Prometheus
Container insights</t>
    <phoneticPr fontId="10"/>
  </si>
  <si>
    <t>NodeまたはPodのメモリ使用率80%以上が5分以上継続</t>
  </si>
  <si>
    <t>・Pod再起動回数・異常発生頻度の分析
・リソース使用率の偏り確認
・メモリ逼迫の発生件数、発生Node/Pod、発生時間帯、Pod再起動回数、未対応アラート有無を確認</t>
    <phoneticPr fontId="10"/>
  </si>
  <si>
    <t>・HPA/リソース制限設定の見直し
・メモリ使用傾向を確認し、恒常的な高負荷Pod、未使用リソース、Namespaceの整理</t>
    <phoneticPr fontId="10"/>
  </si>
  <si>
    <t>・デプロイ時のリソース定義レビュー
・メモリ request/limit、HPA設定、スケーリング設定変更の影響確認</t>
    <phoneticPr fontId="10"/>
  </si>
  <si>
    <t>ノードメモリ使用率が80%を超過し、PodのOOMKillや再起動の可能性がある</t>
    <phoneticPr fontId="10"/>
  </si>
  <si>
    <t>一部PodでOOMKillまたは再起動が発生し、処理性能が劣化する</t>
    <phoneticPr fontId="10"/>
  </si>
  <si>
    <t>重要PodのOOMKillやCrashLoopBackOffにより、サービスの一部重要機能に影響する</t>
    <phoneticPr fontId="10"/>
  </si>
  <si>
    <t>複数の重要Podが停止または起動不可となり、サービス利用不可となる</t>
    <phoneticPr fontId="10"/>
  </si>
  <si>
    <t>・アラート発報の自動監視
・Criticalアラート発生時はTeams通知を確認し、対象Node/Pod/PVC・発生時刻・ディスク使用率・Eviction発生有無を確認</t>
    <phoneticPr fontId="10"/>
  </si>
  <si>
    <t>Azure Monitor
Managed Prometheus
Container insights</t>
  </si>
  <si>
    <t>ディスク使用率80%以上5分以上継続、またはEviction発生</t>
  </si>
  <si>
    <t>Teams
webhook</t>
  </si>
  <si>
    <t>・Pod再起動回数・異常発生頻度の分析
・リソース使用率の偏り確認
・ディスク逼迫やEvictionの発生件数、発生Node/Pod/PVC、発生時間帯、未対応アラート有無を確認</t>
    <phoneticPr fontId="10"/>
  </si>
  <si>
    <t>・ストレージ使用量およびリソース制限設定の見直し
・ディスク使用傾向、PVC容量、未使用リソース、Namespace単位の偏りを確認</t>
    <phoneticPr fontId="10"/>
  </si>
  <si>
    <t>・デプロイ時のリソース定義レビュー
・PVC容量、ephemeral-storage request/limit、Volume設定の確認
・スケーリング設定変更時に監視条件への影響を確認</t>
    <rPh sb="66" eb="68">
      <t>カクニン</t>
    </rPh>
    <phoneticPr fontId="10"/>
  </si>
  <si>
    <t>ノードディスク使用率が80%を超過し、ログ書き込みやイメージ取得に影響する可能性がある</t>
    <phoneticPr fontId="10"/>
  </si>
  <si>
    <t>ディスク逼迫により、一部Podの起動失敗、ログ書き込み失敗、Pod退避が発生する</t>
    <phoneticPr fontId="10"/>
  </si>
  <si>
    <t>重要Podがディスク逼迫により停止または退避され、サービスの一部重要機能に影響する</t>
    <phoneticPr fontId="10"/>
  </si>
  <si>
    <t>ノードまたはクラスタ全体でディスク不足が発生し、Pod起動不可またはサービス利用不可となる</t>
    <phoneticPr fontId="10"/>
  </si>
  <si>
    <t>・NodeCPUリソース枯渇アラートの監視・対応</t>
  </si>
  <si>
    <t>Node単位でCPU使用率80%以上が5分以上継続</t>
  </si>
  <si>
    <t>・ネットワーク異常発生傾向の分析
・通信エラー、Packet Drop、未対応アラート有無を確認</t>
  </si>
  <si>
    <t>・ネットワーク使用傾向の分析
・通信品質およびネットワーク設定の見直し</t>
  </si>
  <si>
    <t>・デプロイ時のネットワーク設定レビュー
・NetworkPolicy、Service、Ingress設定の確認
・通信経路変更時の影響確認</t>
  </si>
  <si>
    <t>ノードまたはPodの通信量が閾値を超過し、通信遅延や輻輳の可能性がある</t>
    <phoneticPr fontId="10"/>
  </si>
  <si>
    <t>一部Podまたは一部ノード間で通信遅延・通信失敗が発生し、処理性能が劣化する</t>
    <phoneticPr fontId="10"/>
  </si>
  <si>
    <t>重要Pod間またはサービス間通信に障害が発生し、サービスの一部重要機能に影響する</t>
    <phoneticPr fontId="10"/>
  </si>
  <si>
    <t>クラスタ内またはサービス外部との通信が広範囲に失敗し、サービス利用不可となる</t>
    <phoneticPr fontId="10"/>
  </si>
  <si>
    <t>Podステータス</t>
    <phoneticPr fontId="10"/>
  </si>
  <si>
    <t>・Pod異常状態の自動監視・対応</t>
  </si>
  <si>
    <t>Podが以下の状態となった場合
・CrashLoopBackOff
・ImagePullBackOff
・Pending
・OOMKilled
・Running以外の状態が5分以上継続</t>
  </si>
  <si>
    <t>・Pod異常発生傾向の分析
・CrashLoopBackOff、Pending、OOMKilled発生件数、未対応アラート有無を確認</t>
  </si>
  <si>
    <t>・Deployment設定の見直し
・不要Podの整理
・リソース要求／制限の最適化</t>
  </si>
  <si>
    <t>・デプロイ時のPod設定レビュー
・Liveness Probe、Readiness Probe設定の確認
・Deployment更新後のPod状態確認</t>
  </si>
  <si>
    <t>PodがFailedまたはPendingとなり、冗長構成によりサービス影響は限定的だが確認が必要</t>
    <phoneticPr fontId="10"/>
  </si>
  <si>
    <t>複数PodでFailedまたはPendingが発生し、一部機能の処理性能が劣化する</t>
    <phoneticPr fontId="10"/>
  </si>
  <si>
    <t>重要PodがFailed、Pending、CrashLoopBackOffとなり、サービスの一部重要機能に影響する</t>
    <phoneticPr fontId="10"/>
  </si>
  <si>
    <t>重要Podの全レプリカが停止または起動不可となり、サービス利用不可となる</t>
    <phoneticPr fontId="10"/>
  </si>
  <si>
    <t>DNS</t>
  </si>
  <si>
    <t>・DNS名前解決失敗アラートの確認
・DNS応答時間の異常有無を確認
・対象リソースの疎通状況を確認
・未対応アラート有無を確認</t>
  </si>
  <si>
    <t>Azure Monitor</t>
  </si>
  <si>
    <t>・DNS Query Failure &gt; 5% が5分以上継続
・DNS応答時間 &gt; 500ms が5分以上継続
・DNS名前解決失敗イベント発生</t>
  </si>
  <si>
    <t>・DNSエラー発生傾向の分析・名前解決失敗件数の推移確認・対象FQDN設定の確認</t>
  </si>
  <si>
    <t>・DNS利用状況の分析・不要なDNS設定の見直し・名前解決性能の傾向確認</t>
  </si>
  <si>
    <t>・DNSレコード変更時に影響範囲を確認・名前解決障害発生時の原因調査・DNS設定変更後の動作確認</t>
  </si>
  <si>
    <t>ネットワーク系</t>
  </si>
  <si>
    <t>名前解決に失敗し、サーバーに到達できない</t>
    <rPh sb="0" eb="4">
      <t>ナマエカイケツ</t>
    </rPh>
    <rPh sb="5" eb="7">
      <t>シッパイ</t>
    </rPh>
    <rPh sb="14" eb="16">
      <t>トウタツ</t>
    </rPh>
    <phoneticPr fontId="10"/>
  </si>
  <si>
    <t>TLS・SSL</t>
  </si>
  <si>
    <t>・TLS/SSL証明書有効期限アラートの確認・証明書エラー発生有無を確認・未対応アラート有無を確認</t>
  </si>
  <si>
    <t>SSL/TLS証明書有効期限30日以内
SSL/TLSハンドシェイク失敗率 &gt; 5%
HTTPS接続失敗イベント発生</t>
  </si>
  <si>
    <t>・証明書期限切れリスクの確認・TLS接続失敗傾向の分析・対象証明書の状態確認</t>
  </si>
  <si>
    <t xml:space="preserve">証明書有効期限90日以内
</t>
  </si>
  <si>
    <t>・証明書更新計画の確認・TLS設定の見直し・脆弱な暗号スイート利用有無の確認</t>
  </si>
  <si>
    <t>・証明書更新／差替え後の疎通確認・TLS設定変更時の影響確認・証明書関連障害発生時の原因調査</t>
  </si>
  <si>
    <t>証明書の有効期限切れにより警告画面が表示される</t>
    <rPh sb="0" eb="3">
      <t>ショウメイショ</t>
    </rPh>
    <rPh sb="4" eb="8">
      <t>ユウコウキゲン</t>
    </rPh>
    <rPh sb="8" eb="9">
      <t>キ</t>
    </rPh>
    <rPh sb="13" eb="15">
      <t>ケイコク</t>
    </rPh>
    <rPh sb="15" eb="17">
      <t>ガメン</t>
    </rPh>
    <rPh sb="18" eb="20">
      <t>ヒョウジ</t>
    </rPh>
    <phoneticPr fontId="10"/>
  </si>
  <si>
    <t>ハンドシェイクが失敗し、画面が表示できない</t>
    <rPh sb="8" eb="10">
      <t>シッパイ</t>
    </rPh>
    <rPh sb="12" eb="14">
      <t>ガメン</t>
    </rPh>
    <rPh sb="15" eb="17">
      <t>ヒョウジ</t>
    </rPh>
    <phoneticPr fontId="10"/>
  </si>
  <si>
    <t>通信帯域</t>
  </si>
  <si>
    <t>・通信帯域使用率アラートの確認・Inbound/Outboundトラフィック状況の確認・未対応アラート有無を確認</t>
  </si>
  <si>
    <t>Network In/Out 使用率80%以上が5分以上継続
Packet Drop発生
通信量急増（通常値比150%以上）</t>
  </si>
  <si>
    <t>・通信量増減傾向の分析・異常トラフィック有無の確認・帯域逼迫リスクの確認</t>
  </si>
  <si>
    <t>帯域使用率70%以上が継続的に発生</t>
  </si>
  <si>
    <t>・通信帯域利用状況の分析・ネットワーク容量計画の見直し・通信傾向レポート確認</t>
  </si>
  <si>
    <t>・通信量急増時の原因調査・構成変更時の帯域影響確認・性能問題発生時のネットワーク調査</t>
  </si>
  <si>
    <t>帯域の上限張り付き、スループット低下により、通信が遅延・不安定化する</t>
    <rPh sb="0" eb="2">
      <t>タイイキ</t>
    </rPh>
    <rPh sb="3" eb="6">
      <t>ジョウゲンハ</t>
    </rPh>
    <rPh sb="7" eb="8">
      <t>ツ</t>
    </rPh>
    <rPh sb="16" eb="18">
      <t>テイカ</t>
    </rPh>
    <rPh sb="22" eb="24">
      <t>ツウシン</t>
    </rPh>
    <rPh sb="25" eb="27">
      <t>チエン</t>
    </rPh>
    <rPh sb="28" eb="32">
      <t>フアンテイカ</t>
    </rPh>
    <phoneticPr fontId="10"/>
  </si>
  <si>
    <t>帯域が飽和し一部の通信が切断あるいは遅延される</t>
    <rPh sb="0" eb="2">
      <t>タイイキ</t>
    </rPh>
    <rPh sb="3" eb="5">
      <t>ホウワ</t>
    </rPh>
    <rPh sb="6" eb="8">
      <t>イチブ</t>
    </rPh>
    <rPh sb="9" eb="11">
      <t>ツウシン</t>
    </rPh>
    <rPh sb="12" eb="14">
      <t>セツダン</t>
    </rPh>
    <rPh sb="18" eb="20">
      <t>チエン</t>
    </rPh>
    <phoneticPr fontId="10"/>
  </si>
  <si>
    <t>帯域が飽和し通信が切断される</t>
    <rPh sb="0" eb="2">
      <t>タイイキ</t>
    </rPh>
    <rPh sb="3" eb="5">
      <t>ホウワ</t>
    </rPh>
    <rPh sb="6" eb="8">
      <t>ツウシン</t>
    </rPh>
    <rPh sb="9" eb="11">
      <t>セツダン</t>
    </rPh>
    <phoneticPr fontId="10"/>
  </si>
  <si>
    <t>セキュリティ</t>
  </si>
  <si>
    <t>外部侵入・不正アクセス</t>
  </si>
  <si>
    <t>Prisma Cloud</t>
  </si>
  <si>
    <t>クリティカル度（3段階）</t>
  </si>
  <si>
    <t>メール</t>
  </si>
  <si>
    <t>Prisma Cloudがメール通知のみのため、チャンネルへの通知ができないか確認する</t>
  </si>
  <si>
    <t>・Prisma Cloud検知アラートの確認・Critical/Highリスクの調査・対応・未対応アラート有無を確認</t>
  </si>
  <si>
    <t>Prisma Cloud</t>
    <phoneticPr fontId="10"/>
  </si>
  <si>
    <t>Critical脆弱性検知
High脆弱性検知
コンプライアンス違反検知
Runtime異常検知</t>
  </si>
  <si>
    <t>15_PrismaCloudアラート共有</t>
  </si>
  <si>
    <t>・脆弱性検知傾向の分析・コンプライアンス違反状況の確認・対応状況の棚卸し</t>
  </si>
  <si>
    <t>未対応Critical/High脆弱性が存在</t>
  </si>
  <si>
    <t>・脆弱性状況レポート確認・コンプライアンス状態レビュー・未解決リスクの是正計画確認</t>
  </si>
  <si>
    <t>・新規脆弱性公開時の影響調査・重大インシデント発生時の調査対応・ポリシー変更後の結果確認</t>
  </si>
  <si>
    <t>新規Critical CVE公開時
セキュリティインシデント発生時</t>
  </si>
  <si>
    <t>セキュリティ系</t>
  </si>
  <si>
    <t>ランサムウェア等の外部侵入を許し、サービスが乗っ取られ、インフラ側でハンドリングができず、サービスを提供してはいけない状態</t>
  </si>
  <si>
    <t>WAF</t>
  </si>
  <si>
    <t>未対応のため
Azure Monitorを利用する</t>
    <rPh sb="0" eb="3">
      <t>ミタイオウ</t>
    </rPh>
    <rPh sb="21" eb="23">
      <t>リヨウ</t>
    </rPh>
    <phoneticPr fontId="10"/>
  </si>
  <si>
    <t>Azure Firewall により Deny / Block された通信を検知。
5分間で Deny / Block が10件以上発生した場合にCriticalアラートを発報する。</t>
    <phoneticPr fontId="10"/>
  </si>
  <si>
    <t>・攻撃検知傾向の分析・誤検知有無の確認・ルールヒット状況の確認</t>
  </si>
  <si>
    <t>・WAFルール運用状況のレビュー・攻撃傾向分析・ルール最適化の検討</t>
  </si>
  <si>
    <t>・WAFルール変更時の影響確認・誤検知発生時のチューニング・セキュリティインシデント発生時の調査対応</t>
  </si>
  <si>
    <t>・大量攻撃（DDoS疑い）発生・WAFルール変更後の影響確認</t>
  </si>
  <si>
    <t>シークレット・鍵管理</t>
  </si>
  <si>
    <t>・台帳管理</t>
  </si>
  <si>
    <t>手動対応となっているため
Azure Monitorを利用する</t>
  </si>
  <si>
    <t>台帳管理</t>
  </si>
  <si>
    <t>秘匿情報が漏洩したことが明らかになり、サービスが乗っ取られる可能性がある状態</t>
  </si>
  <si>
    <t>秘匿情報が漏洩し、サービスが乗っ取られ、インフラ側でハンドリングできない状態</t>
  </si>
  <si>
    <t>データ活用基盤（データ基盤）
※toyotecdap</t>
  </si>
  <si>
    <t>OGG</t>
  </si>
  <si>
    <t>Extract</t>
    <phoneticPr fontId="10"/>
  </si>
  <si>
    <t>OCI Monitor</t>
  </si>
  <si>
    <t>・デプロイメント
　・死活監視　ヘルススコア100%未満
　・CPU利用率　80%以上：Critical
　・OCPU使用数　9以上：Critical
　・メモリ利用率　80%以上：Critical
　・ファイルシステム使用量 1600GB以上：Critical
・プロセス死活監視　ヘルススコア100%未満
・ラグ　3600s以上：Critical</t>
    <phoneticPr fontId="10"/>
  </si>
  <si>
    <t>11_OGGアラート共有</t>
  </si>
  <si>
    <t>設定がCriticalの場合のみのため、
Warningの設定も行う</t>
  </si>
  <si>
    <t>・デプロイメント
　・死活監視　ヘルススコア100%未満：Critical
　・CPU利用率　60%以上：Warning / 80%以上：Critical
　・OCPU使用数　6以上：Warning / 9以上：Critical
　・メモリ利用率　60%以上：Warning / 80%以上：Critical
　・ファイルシステム使用量 1200GB以上：Warning / 1600GB以上：Critical
・プロセス死活監視　ヘルススコア100%未満：Critical
・ラグ　2800s以上：Warning / 3600s以上：Critical</t>
  </si>
  <si>
    <t>データ連携系</t>
  </si>
  <si>
    <t>差分データの到達遅延が1時間を超え、データを反映できない</t>
    <rPh sb="0" eb="2">
      <t>サブン</t>
    </rPh>
    <rPh sb="6" eb="8">
      <t>トウタツ</t>
    </rPh>
    <rPh sb="8" eb="10">
      <t>チエン</t>
    </rPh>
    <rPh sb="12" eb="14">
      <t>ジカン</t>
    </rPh>
    <rPh sb="15" eb="16">
      <t>コ</t>
    </rPh>
    <rPh sb="22" eb="24">
      <t>ハンエイ</t>
    </rPh>
    <phoneticPr fontId="10"/>
  </si>
  <si>
    <t>差分データの到達遅延が24時間を超え、データを反映できない</t>
    <rPh sb="0" eb="2">
      <t>サブン</t>
    </rPh>
    <rPh sb="6" eb="8">
      <t>トウタツ</t>
    </rPh>
    <rPh sb="8" eb="10">
      <t>チエン</t>
    </rPh>
    <rPh sb="13" eb="15">
      <t>ジカン</t>
    </rPh>
    <rPh sb="16" eb="17">
      <t>コ</t>
    </rPh>
    <rPh sb="23" eb="25">
      <t>ハンエイ</t>
    </rPh>
    <phoneticPr fontId="10"/>
  </si>
  <si>
    <t>西村</t>
  </si>
  <si>
    <t>Replicat</t>
    <phoneticPr fontId="10"/>
  </si>
  <si>
    <t>OCI Monitor</t>
    <phoneticPr fontId="10"/>
  </si>
  <si>
    <t>設定がCriticalの場合のみのため、
Warningの設定も行う</t>
    <rPh sb="0" eb="2">
      <t>セッテイ</t>
    </rPh>
    <rPh sb="12" eb="14">
      <t>バアイ</t>
    </rPh>
    <rPh sb="29" eb="31">
      <t>セッテイ</t>
    </rPh>
    <rPh sb="32" eb="33">
      <t>オコナ</t>
    </rPh>
    <phoneticPr fontId="10"/>
  </si>
  <si>
    <t>・死活監視：ヘルススコア100%未満：Critical
・CPU利用率：70%以上：Warning / 80%以上：Critical
・OCPU使用数：8以上：Warning / 9以上：Critical
・メモリ利用率：70%以上：Warning / 80%以上：Critical
・ファイルシステム使用量：1400GB以上：Warning / 1600GB以上：Critical
・プロセス死活監視：ヘルススコア100%未満：Critical
・ラグ：2800s以上：Warning / 3600s以上：Critical</t>
    <phoneticPr fontId="10"/>
  </si>
  <si>
    <t>分散サービス</t>
  </si>
  <si>
    <t>・プロセス死活監視　ヘルススコア100%未満
・ラグ　3600s以上：Critical</t>
    <phoneticPr fontId="10"/>
  </si>
  <si>
    <t>・プロセス死活監視　ヘルススコア100%未満：Critical
・ラグ　2800s以上：Warning / 3600s以上：Critical</t>
    <phoneticPr fontId="10"/>
  </si>
  <si>
    <t>Kafka</t>
  </si>
  <si>
    <t>パーティション可用性</t>
  </si>
  <si>
    <t>以下の状態を検知した場合、Health Alertが発報される。
・Offline Partitionが発生した場合
・Broker障害等によりPartitionが利用不可となった場合</t>
    <phoneticPr fontId="10"/>
  </si>
  <si>
    <t>-</t>
    <phoneticPr fontId="10"/>
  </si>
  <si>
    <t>・パーティション可用性の自動監視
・Warning / Criticalアラート発生時の原因確認
・対象Broker、Topic、Partitionの状態確認
・アラートをデータマネジメントシステムへ自動連携</t>
  </si>
  <si>
    <t>Warning：
・Under Replicated Partitionが発生し、5分以上継続
Critical：
・Offline Partitionが1件以上発生
・Broker障害等によりPartitionが利用不可</t>
  </si>
  <si>
    <t xml:space="preserve">Teams Webhook
 </t>
  </si>
  <si>
    <t>brokerがダウンし、到達したデータが反映できない</t>
    <rPh sb="12" eb="14">
      <t>トウタツ</t>
    </rPh>
    <rPh sb="20" eb="22">
      <t>ハンエイ</t>
    </rPh>
    <phoneticPr fontId="10"/>
  </si>
  <si>
    <t>複数のbrokerが同時にダウンし、データ損失・クラスタへの書き込み不可</t>
    <rPh sb="0" eb="2">
      <t>フクスウ</t>
    </rPh>
    <rPh sb="10" eb="12">
      <t>ドウジ</t>
    </rPh>
    <rPh sb="21" eb="23">
      <t>ソンシツ</t>
    </rPh>
    <rPh sb="30" eb="31">
      <t>カ</t>
    </rPh>
    <rPh sb="32" eb="33">
      <t>コ</t>
    </rPh>
    <rPh sb="34" eb="36">
      <t>フカ</t>
    </rPh>
    <phoneticPr fontId="10"/>
  </si>
  <si>
    <t>レプリケーション整合性</t>
  </si>
  <si>
    <t>以下の状態を検知した場合、Health Alertが発報される。
・Replica同期遅延が発生した場合
・ISR（In-Sync Replica）から外れるReplicaが発生した場合</t>
    <phoneticPr fontId="10"/>
  </si>
  <si>
    <t>・Replica / ISR状態の自動監視
・異常発生時に対象Broker、Topic、Partitionを確認
・アラートをデータマネジメントシステムへ自動連携</t>
  </si>
  <si>
    <t>Warning：
・ISRから外れたReplicaが発生し、5分以上継続
Critical：
・Offline Replica / Partitionが発生
・Replica同期異常が10分以上継続</t>
  </si>
  <si>
    <t>データ送受信スループット</t>
  </si>
  <si>
    <t>以下の状態を検知した場合、Health Alertが発報される。
・Kafka BrokerのNetwork Processor使用率が高負荷状態となった場合
・ネットワーク処理能力の逼迫が発生した場合</t>
  </si>
  <si>
    <t>・Kafka BrokerのNetwork Processor使用率を自動監視
・高負荷発生時に対象Brokerおよび継続時間を確認
・Critical発生時はネットワーク処理能力の逼迫有無を確認
・検知したアラートをデータマネジメントシステムへ連携</t>
  </si>
  <si>
    <t>Warning：
・Network Processor使用率 70%以上が5分以上継続
Critical：
・Network Processor使用率 85%以上が5分以上継続</t>
  </si>
  <si>
    <t>リクエスト処理能力</t>
  </si>
  <si>
    <t>以下の状態を検知した場合、Health Alertが発報される。
・Request Handler使用率が高負荷状態となった場合
・リクエスト処理能力が不足している状態を検知した場合</t>
  </si>
  <si>
    <t>・Kafka BrokerのRequest Handler使用率を自動監視
・高負荷発生時に対象Brokerおよび継続時間を確認
・Critical発生時はリクエスト処理能力の逼迫有無を確認
・検知したアラートをデータマネジメントシステムへ連携</t>
  </si>
  <si>
    <t>Warning：
・Request Handler使用率 70%以上が5分以上継続
Critical：
・Request Handler使用率 85%以上が5分以上継続</t>
  </si>
  <si>
    <t>NiFi</t>
  </si>
  <si>
    <t>FlowFile Repository可用性
（メタデータ）</t>
    <phoneticPr fontId="10"/>
  </si>
  <si>
    <t>・アラート発報の自動監視</t>
    <phoneticPr fontId="10"/>
  </si>
  <si>
    <t>以下の状態を検知した場合、Health Alertが発報される。
・Repository容量逼迫
・Repositoryの利用異常</t>
    <phoneticPr fontId="10"/>
  </si>
  <si>
    <t>・FlowFile Repository使用率・可用性の自動監視
・Warning発生時は使用量増加傾向を確認
・Critical発生時は容量逼迫・Repository異常を即時確認
・検知したアラートをデータマネジメントシステムへ連携</t>
  </si>
  <si>
    <t>Warning：
・FlowFile Repository使用率 80%以上
Critical：
・FlowFile Repository使用率 90%以上
・Repository利用不可</t>
  </si>
  <si>
    <t>リポジトリ容量が膨張し、処理速度が低下する</t>
    <rPh sb="5" eb="7">
      <t>ヨウリョウ</t>
    </rPh>
    <rPh sb="8" eb="10">
      <t>ボウチョウ</t>
    </rPh>
    <rPh sb="12" eb="16">
      <t>ショリソクド</t>
    </rPh>
    <rPh sb="17" eb="19">
      <t>テイカ</t>
    </rPh>
    <phoneticPr fontId="10"/>
  </si>
  <si>
    <t>リポジトリが破損、クラスタが停止し、処理中のデータが損失する</t>
    <rPh sb="6" eb="8">
      <t>ハソン</t>
    </rPh>
    <rPh sb="14" eb="16">
      <t>テイシ</t>
    </rPh>
    <rPh sb="18" eb="21">
      <t>ショリチュウ</t>
    </rPh>
    <rPh sb="26" eb="28">
      <t>ソンシツ</t>
    </rPh>
    <phoneticPr fontId="10"/>
  </si>
  <si>
    <t>Content Repository可用性
（データ本体）</t>
    <phoneticPr fontId="10"/>
  </si>
  <si>
    <t>以下の状態を検知した場合、Health Alertが発報される。
・Repository容量逼迫
・Repositoryの利用異常</t>
  </si>
  <si>
    <t>・Content Repository使用率・可用性の自動監視
・Warning発生時は使用量増加傾向を確認
・Critical発生時は容量逼迫・Repository異常を即時確認
・検知したアラートをデータマネジメントシステムへ連携</t>
  </si>
  <si>
    <t>Warning：
・Content Repository使用率 80%以上
Critical：
・Content Repository使用率 90%以上
・Repository利用不可</t>
  </si>
  <si>
    <t>Provenance Repository可用性
（データ来歴）</t>
    <phoneticPr fontId="10"/>
  </si>
  <si>
    <t>・Provenance Repository使用率・可用性の自動監視
・Warning発生時は使用量増加傾向を確認
・Critical発生時は容量逼迫・Repository異常を即時確認
・検知したアラートをデータマネジメントシステムへ連携</t>
  </si>
  <si>
    <t>Warning：
・Provenance Repository使用率 80%以上
Critical：
・Provenance Repository使用率 90%以上
・Repository利用不可</t>
  </si>
  <si>
    <t>Kudu</t>
  </si>
  <si>
    <t>Data Directory可用性
（実データ保存）</t>
  </si>
  <si>
    <t>以下の状態を検知した場合、Health Alertが発報される
・Data Directoryの空き容量不足（Full Data Directory）
・Data Directoryへのアクセス不可
・データディレクトリ障害（Failed Data Directory）
・ディスク障害やマウント異常によるデータディレクトリ利用不可
　・5GiB以下：Warning
　・1GiB以下：Critical</t>
    <rPh sb="173" eb="175">
      <t>イカ</t>
    </rPh>
    <rPh sb="190" eb="192">
      <t>イカ</t>
    </rPh>
    <phoneticPr fontId="10"/>
  </si>
  <si>
    <t>ディスク容量が5GiBを下回り、データの書き込みが不可となる可能性がある</t>
    <rPh sb="4" eb="6">
      <t>ヨウリョウ</t>
    </rPh>
    <rPh sb="12" eb="14">
      <t>シタマワ</t>
    </rPh>
    <rPh sb="20" eb="21">
      <t>カ</t>
    </rPh>
    <rPh sb="22" eb="23">
      <t>コ</t>
    </rPh>
    <rPh sb="25" eb="27">
      <t>フカ</t>
    </rPh>
    <rPh sb="30" eb="33">
      <t>カノウセイ</t>
    </rPh>
    <phoneticPr fontId="10"/>
  </si>
  <si>
    <t>ディスク容量が枯渇し、データの書き込みが不可となる</t>
    <rPh sb="4" eb="6">
      <t>ヨウリョウ</t>
    </rPh>
    <rPh sb="7" eb="9">
      <t>コカツ</t>
    </rPh>
    <rPh sb="15" eb="16">
      <t>カ</t>
    </rPh>
    <rPh sb="17" eb="18">
      <t>コ</t>
    </rPh>
    <rPh sb="20" eb="22">
      <t>フカ</t>
    </rPh>
    <phoneticPr fontId="10"/>
  </si>
  <si>
    <t>Server Startup Status監視</t>
  </si>
  <si>
    <t>以下の状態を検知した場合、Health Alertが発報される
・Kudu Master起動失敗
・Kudu Tablet Server起動失敗
・サービス起動後のステータス異常</t>
  </si>
  <si>
    <t>・Kudu Master / Tablet Serverの稼働状態を自動監視
・Health低下時に対象Serverを確認
・起動失敗・サービス異常発生時は即時に原因調査
・検知したアラートをデータマネジメントシステムへ連携</t>
  </si>
  <si>
    <t>Warning：
・Kudu Master / Tablet ServerのHealthがConcerningとなり5分以上継続
Critical：
・Kudu Master起動失敗
・Kudu Tablet Server起動失敗
・Kudu Master / Tablet Server Health：Bad</t>
  </si>
  <si>
    <t>Ranger</t>
  </si>
  <si>
    <t>監査ログ</t>
  </si>
  <si>
    <t>Ranger Plugin Spool Directory使用量監視
   1GiBを超過 した場合、Health Alertが発報</t>
  </si>
  <si>
    <t>認証・認可系</t>
  </si>
  <si>
    <t>ユーザーに許可された販社のデータが表示されない状態</t>
  </si>
  <si>
    <t>Plugin同期</t>
  </si>
  <si>
    <t>手動対応となっているため
Cloudera Managerを利用する</t>
    <rPh sb="0" eb="4">
      <t>シュドウタイオウ</t>
    </rPh>
    <rPh sb="30" eb="32">
      <t>リヨウ</t>
    </rPh>
    <phoneticPr fontId="10"/>
  </si>
  <si>
    <t>Ranger Plugin同期成功率が80%未満、または最終同期から5分以上経過した場合、Health Alertが発報</t>
  </si>
  <si>
    <t>Admin</t>
  </si>
  <si>
    <t>・Ranger Admin Health：Bad：Critical
・Ranger Admin Audit Pipeline異常：Bad：Critical
・File Descriptor使用率：70%以上：Critical
■Ranger AdminのHealthがBadとなった場合、Audit Pipeline異常により監査ログ処理が正常に行えない場合、またはFile Descriptor使用率が70%以上となった場合にCriticalアラートを発報する。</t>
    <phoneticPr fontId="10"/>
  </si>
  <si>
    <t>Impala</t>
  </si>
  <si>
    <t>・Impala Service Health：Bad：Critical
・Impala Daemon Health：Bad：Critical
・Impala Catalog Server Health：Bad：Critical
・Impala Daemon Ready Check異常：Critical
・Impala Query Monitoring異常：Critical
■Impalaサービス全体のHealthがBadとなった場合にCriticalアラートを発報する。
また、Impala Daemon Health、Impala Catalog Server Health、Impala Daemon Ready Check、Impala Query Monitoringのいずれかが異常となった場合もCriticalとして検知する。</t>
    <phoneticPr fontId="10"/>
  </si>
  <si>
    <t>SQL系</t>
  </si>
  <si>
    <t>SQLが実行できず、業務アプリ、帳票の一部のテキスト表示に不具合がある状態</t>
    <phoneticPr fontId="10"/>
  </si>
  <si>
    <t>SQLが実行できず、業務アプリ、帳票を利用するユーザの一部機能が利用できない状態</t>
  </si>
  <si>
    <t>SQLが実行できず、業務アプリ、帳票を利用するユーザの重要な機能、導線が利用できない状態</t>
  </si>
  <si>
    <t>SQLが実行できず、業務アプリ、帳票が全く表示されず、サービスが提供できない状態</t>
  </si>
  <si>
    <t>DataViz</t>
  </si>
  <si>
    <t>なし</t>
  </si>
  <si>
    <t>号口のタイミングで
Cloudera Managerを使用した設定を行う</t>
  </si>
  <si>
    <t>DataVizの稼働状況およびエラー発生状況の確認</t>
    <phoneticPr fontId="10"/>
  </si>
  <si>
    <t>Data Visualization（Site Administration &gt; Logs and Usage &gt; WebServer Log）</t>
    <phoneticPr fontId="10"/>
  </si>
  <si>
    <t>CPU、メモリ、ネットワーク、ストレージの使用状況を確認する。
使用率の表示基準：
・正常：1～50％
・注意：51～75％
・警告：76～100％
※自動アラート通知の可否および設定方法は確認中。</t>
    <phoneticPr fontId="10"/>
  </si>
  <si>
    <t>DataVizの障害および性能劣化発生時の詳細調査</t>
    <phoneticPr fontId="10"/>
  </si>
  <si>
    <t>WebServer Log、Current Load、Dashboard Usage Info</t>
    <phoneticPr fontId="10"/>
  </si>
  <si>
    <t>障害、ダッシュボード表示遅延、クエリ遅延等の発生時に、
2
CPU、メモリ、ネットワーク、ストレージの推移および
3
WebServer Logのエラー内容を確認する</t>
    <phoneticPr fontId="10"/>
  </si>
  <si>
    <t>データ分析系</t>
  </si>
  <si>
    <t>業務アプリ、帳票の一部のテキスト表示に不具合がある状態（例：テキストガイドなど誤案内にならないレベル）、業務利用への影響は限定的な状態。</t>
    <rPh sb="52" eb="56">
      <t>ギョウムリヨウ</t>
    </rPh>
    <rPh sb="58" eb="60">
      <t>エイキョウ</t>
    </rPh>
    <rPh sb="61" eb="64">
      <t>ゲンテイテキ</t>
    </rPh>
    <rPh sb="65" eb="67">
      <t>ジョウタイ</t>
    </rPh>
    <phoneticPr fontId="10"/>
  </si>
  <si>
    <t>業務アプリ、帳票の一部機能が利用できず、一部ユーザーまたは一部業務に影響が発生している状態。</t>
    <rPh sb="9" eb="13">
      <t>イチブキノウ</t>
    </rPh>
    <rPh sb="14" eb="16">
      <t>リヨウ</t>
    </rPh>
    <rPh sb="20" eb="22">
      <t>イチブ</t>
    </rPh>
    <rPh sb="29" eb="31">
      <t>イチブ</t>
    </rPh>
    <rPh sb="31" eb="33">
      <t>ギョウム</t>
    </rPh>
    <rPh sb="34" eb="36">
      <t>エイキョウ</t>
    </rPh>
    <rPh sb="37" eb="39">
      <t>ハッセイ</t>
    </rPh>
    <rPh sb="43" eb="45">
      <t>ジョウタイ</t>
    </rPh>
    <phoneticPr fontId="10"/>
  </si>
  <si>
    <t>業務アプリ、帳票の重要機能または主要導線が利用できず、業務継続に大きな影響が発生している状態。</t>
    <rPh sb="0" eb="2">
      <t>ギョウム</t>
    </rPh>
    <rPh sb="6" eb="8">
      <t>チョウヒョウ</t>
    </rPh>
    <rPh sb="9" eb="13">
      <t>ジュウヨウキノウ</t>
    </rPh>
    <rPh sb="16" eb="18">
      <t>シュヨウ</t>
    </rPh>
    <rPh sb="18" eb="20">
      <t>ドウセン</t>
    </rPh>
    <rPh sb="21" eb="23">
      <t>リヨウ</t>
    </rPh>
    <rPh sb="27" eb="29">
      <t>ギョウム</t>
    </rPh>
    <rPh sb="29" eb="31">
      <t>ケイゾク</t>
    </rPh>
    <rPh sb="32" eb="33">
      <t>オオ</t>
    </rPh>
    <rPh sb="35" eb="37">
      <t>エイキョウ</t>
    </rPh>
    <rPh sb="38" eb="40">
      <t>ハッセイ</t>
    </rPh>
    <rPh sb="44" eb="46">
      <t>ジョウタイ</t>
    </rPh>
    <phoneticPr fontId="10"/>
  </si>
  <si>
    <t>業務アプリ、帳票が全く表示されず、サービスが提供できない状態</t>
  </si>
  <si>
    <t>API基盤</t>
  </si>
  <si>
    <t>めも
API基盤のスコープとは何かを確認する
※まだ作成されていないが、APIMだけの監視実装でいいのではないか。</t>
  </si>
  <si>
    <t>API系</t>
  </si>
  <si>
    <t>APIが利用できず、業務アプリ、帳票の一部のテキスト表示に不具合がある状態</t>
    <phoneticPr fontId="10"/>
  </si>
  <si>
    <t>APIが利用できず、業務アプリ、帳票を利用するユーザーの一部機能が利用できない状態</t>
  </si>
  <si>
    <t>APIが利用できず、業務アプリ、帳票を利用するユーザーの重要な機能が利用できない状態</t>
  </si>
  <si>
    <t>APIが利用できず、業務アプリ、帳票が全く表示されず、サービスが提供できない状態</t>
  </si>
  <si>
    <t>APIM</t>
  </si>
  <si>
    <t>めも
API基盤のスコープとは何かを確認する
※まだ作成されていないが、APIMだけの監視実装でいいのではないか。</t>
    <rPh sb="6" eb="8">
      <t>キバン</t>
    </rPh>
    <rPh sb="15" eb="16">
      <t>ナニ</t>
    </rPh>
    <rPh sb="18" eb="20">
      <t>カクニン</t>
    </rPh>
    <rPh sb="26" eb="28">
      <t>サクセイ</t>
    </rPh>
    <rPh sb="43" eb="47">
      <t>カンシジッソウ</t>
    </rPh>
    <phoneticPr fontId="10"/>
  </si>
  <si>
    <t>アプリ基盤
※rg-security</t>
  </si>
  <si>
    <t>運用アプリ（フロントエンド）</t>
  </si>
  <si>
    <t>UI</t>
  </si>
  <si>
    <t>実装ミスにより、業務アプリ、帳票の一部のテキスト表示・レイアウトに不具合がある状態</t>
  </si>
  <si>
    <t>実装バグによりエラーが発生し、業務アプリ、帳票を利用するユーザーの一部機能が利用できない状態</t>
  </si>
  <si>
    <t>実装バグにより重大なエラーが発生し、業務アプリ、帳票を利用するユーザーの重要な機能が利用できない状態</t>
  </si>
  <si>
    <t>実装バグにより深刻なエラーが発生し、業務アプリ、帳票が全く表示されず、サービスが提供できない状態</t>
  </si>
  <si>
    <t>廣瀬</t>
  </si>
  <si>
    <t>UX</t>
  </si>
  <si>
    <t>コード起因によるレスポンス低下のため、業務アプリ、帳票を利用するユーザーの一部機能が利用できない状態</t>
  </si>
  <si>
    <t>コード起因によるレスポンスが大幅に低下したことで、業務アプリ、帳票を利用するユーザーの重要な機能が利用できない状態</t>
  </si>
  <si>
    <t>コード起因によるレスポンスが著しく低下したことで、業務アプリ、帳票が全く表示されず、サービスを提供できない状態</t>
  </si>
  <si>
    <t>運用アプリ（バックエンド）</t>
  </si>
  <si>
    <t>Azure App Service</t>
  </si>
  <si>
    <t>実装バグにより徐々に負荷が高まり、業務アプリ、帳票を利用するユーザーの一部機能が利用できない状態</t>
  </si>
  <si>
    <t>実装バグにより負荷が高まり、業務アプリ、帳票を利用するユーザーの重要な機能が利用できない状態</t>
  </si>
  <si>
    <t>実装バグにより負荷が急激に高まり、業務アプリ、帳票が全く表示されず、サービスが提供できない状態</t>
  </si>
  <si>
    <t>Azure SQL / トランザクションデータ
（バリデーション漏れ、外部APIリクエストの失敗、二重送信・排他制御漏れ）</t>
  </si>
  <si>
    <t>データ不整合により徐々に負荷が高まり、業務アプリ、帳票を利用するユーザーの一部機能が利用できない状態</t>
  </si>
  <si>
    <t>データ不整合により負荷が高まり、業務アプリ、帳票を利用するユーザーの重要な機能が利用できない状態</t>
  </si>
  <si>
    <t>データ不整合により負荷が急激に高まり、業務アプリ、帳票が全く表示されず、サービスが提供できない状態</t>
  </si>
  <si>
    <t>Azure SQL / マイグレーション</t>
  </si>
  <si>
    <t>マイグレーション失敗・スキーマ不整合​により、業務アプリ、帳票を利用するユーザーの一部機能が利用できない状態</t>
  </si>
  <si>
    <t>マイグレーション失敗・スキーマ不整合​により、業務アプリ、帳票を利用するユーザーの重要な機能が利用できない状態</t>
  </si>
  <si>
    <t>マイグレーション失敗・スキーマ不整合​により、業務アプリ、帳票が全く表示されず、サービスが提供できない状態</t>
  </si>
  <si>
    <t>バッチ / 定期ジョブ</t>
  </si>
  <si>
    <t>バッチ・ジョブエラーにより必要な前処理が完了せず、業務アプリ、帳票を利用するユーザーの一部機能が利用できない状態</t>
  </si>
  <si>
    <t>バッチ・ジョブエラーにより必要な前処理が完了せず、業務アプリ、帳票を利用するユーザーの重要な機能が利用できない状態</t>
  </si>
  <si>
    <t>運用アプリ（共通）</t>
  </si>
  <si>
    <t>環境変数 / 設定値</t>
  </si>
  <si>
    <t>環境変数・設定値が想定と異なり、業務アプリ、帳票を利用するユーザーの一部機能が利用できない状態</t>
  </si>
  <si>
    <t>環境変数・設定値が想定と異なり、業務アプリ、帳票を利用するユーザーの重要な機能が利用できない状態</t>
  </si>
  <si>
    <t>環境変数・設定値が想定と異なり、業務アプリ、帳票が全く表示されず、サービスが提供できない状態</t>
  </si>
  <si>
    <t>権限</t>
  </si>
  <si>
    <t>割り当てられた権限の不一致により、業務アプリ、帳票を利用するユーザーの一部機能が利用できない状態</t>
  </si>
  <si>
    <t>割り当てられた権限の不一致により、業務アプリ、帳票を利用するユーザーの重要な機能が利用できない状態</t>
  </si>
  <si>
    <t>割り当てられた権限の不一致により、業務アプリ、帳票が全く表示されず、サービスが提供できない状態</t>
  </si>
  <si>
    <t>運用自動化（標準作業）</t>
  </si>
  <si>
    <t>運用自動化（予知）</t>
  </si>
  <si>
    <t>エラー通知</t>
  </si>
  <si>
    <t>業務アプリ（U-SLIM）
※rg-uslim</t>
  </si>
  <si>
    <t>検証用として利用</t>
  </si>
  <si>
    <t>PowerBI（WebAppへの組み込み）</t>
  </si>
  <si>
    <t>【U-SLIM一次回答反映2026-08-04】
・Power BIは現時点では検証用とであり、号口の業務画面としては未提供
・今後はU-SLIMの一機能として提供する予定との回答だが、正式な開始次期、監査方法、運用責任者は未確認
・現行の号口運用設計ではN/Aとして扱い、本番提供時に監視、障害対応、エスカレーションを別途設計したほうがよい。
・追加確認は木村拓光さんに依頼済み(回答待ち)</t>
  </si>
  <si>
    <t>業務アプリ、帳票の一部のテキスト表示に不具合がある状態（例：テキストガイドなど誤案内にならないレベル）</t>
  </si>
  <si>
    <t>業務アプリ、帳票を利用するユーザの一部機能が利用できない状態</t>
  </si>
  <si>
    <t>業務アプリ、帳票を利用するユーザの重要な機能、導線が利用できない状態</t>
  </si>
  <si>
    <r>
      <rPr>
        <sz val="11"/>
        <color rgb="FF000000"/>
        <rFont val="Yu Gothic UI"/>
        <family val="3"/>
        <charset val="128"/>
      </rPr>
      <t xml:space="preserve">・Nodeリソース枯渇アラートの監視・対応
</t>
    </r>
    <r>
      <rPr>
        <sz val="11"/>
        <color rgb="FF4472C4"/>
        <rFont val="Yu Gothic UI"/>
        <family val="3"/>
        <charset val="128"/>
      </rPr>
      <t>・Azure App Serviceのヘルスチェックおよび予期しないWebAppシステムエラーを自動監視
・長期休暇時は、アラート確認に加えてログイン、主要機能、帳票/データ表示、著しい性能低下を目視確認</t>
    </r>
  </si>
  <si>
    <r>
      <rPr>
        <sz val="11"/>
        <color rgb="FF000000"/>
        <rFont val="Yu Gothic UI"/>
        <family val="3"/>
        <charset val="128"/>
      </rPr>
      <t xml:space="preserve">Azure Monitor
</t>
    </r>
    <r>
      <rPr>
        <sz val="11"/>
        <color rgb="FF4472C4"/>
        <rFont val="Yu Gothic UI"/>
        <family val="3"/>
        <charset val="128"/>
      </rPr>
      <t>Azure App Service
目視確認</t>
    </r>
  </si>
  <si>
    <r>
      <rPr>
        <sz val="11"/>
        <color rgb="FF000000"/>
        <rFont val="Yu Gothic UI"/>
        <family val="3"/>
        <charset val="128"/>
      </rPr>
      <t>・可用性監視（uslim-webapp-healthcheck）
　・HealthCheckStatus &lt; 100 : Warning
・uslim-webapp-dbexceptions
　・Table rows &gt; 0 : Error
　   ・除外対象を除く例外発生件数
　　　→</t>
    </r>
    <r>
      <rPr>
        <sz val="11"/>
        <color rgb="FF4472C4"/>
        <rFont val="Yu Gothic UI"/>
        <family val="3"/>
        <charset val="128"/>
      </rPr>
      <t xml:space="preserve">条件は現行設定か確認中
</t>
    </r>
    <r>
      <rPr>
        <sz val="11"/>
        <color rgb="FF000000"/>
        <rFont val="Yu Gothic UI"/>
        <family val="3"/>
        <charset val="128"/>
      </rPr>
      <t xml:space="preserve">
</t>
    </r>
    <r>
      <rPr>
        <sz val="11"/>
        <color rgb="FF4472C4"/>
        <rFont val="Yu Gothic UI"/>
        <family val="3"/>
        <charset val="128"/>
      </rPr>
      <t>・App Serviceのヘルスチェックは有効
・Teamsへ送信されないエラーが存在しているが、対象条件は確認中</t>
    </r>
  </si>
  <si>
    <t>13_WebAppアラート共有
10_アラート監視共有</t>
  </si>
  <si>
    <t>・アラート監視窓口が内容を確認し、PM・障害対応者へ通知。
・障害対応者が原因調査・アプリ/Azure、インフラの切り分けを行う。
・対応が必要な場合は、原因と対策を顧客へ説明し、承認後に臨時リリースを検討。</t>
  </si>
  <si>
    <t>Azure Moniter
App Serviceログ
U-SLIM画面
リリース手順書</t>
  </si>
  <si>
    <t>WebAppアラート発生
ログイン不可
画面表示不可
一部機能停止
DB例外
性能低下</t>
  </si>
  <si>
    <t>Teams
必要に応じて電話</t>
  </si>
  <si>
    <t>1.監視窓口
2.障害対応者
3.PM/リーダー
4.PO
※現在の担当者、最終責任者は確認中</t>
  </si>
  <si>
    <t>【U-SLIM一次回答、資料反映2026-08-04】
・App ServiceのヘルスチェックとWebAppアラート共有チャネルの利用は確認済み。
・2026年GW資料では、ログイン、全画面、主要機能、帳票、データ表示、性能低下の確認観点が定義されている。
高：U-SLIM利用不可、即時対応、1時間おきに報告、PO承認後にリリース
中：一部機能利用不可、即時対応、3時間おきに報告、PO承認後にリリース
低：遅延、不安定だが利用可能、経過観察、24時間未解消時にお知らせ掲載
・上記はU-SLIM独自の3段階であり、レベル1～4との対応は暫定候補として記載
・現行アラート条件、通知除外エラー、通常時の責任者、PM,PO、サービス提供開始時刻(8時/9時)は追加確認中。
・追加確認は木村拓光さんに依頼済み(回答待ち)
資料：
休日対応エスカレーションフロー.pptx
U-SLIM死活監視対応手順.pptx</t>
  </si>
  <si>
    <t>・WebApp/U-SLIM利用不可、ログイン不可
・一部機能停止
・DB例外/予期しないエラー
・画面表示不良/著しい機能低下</t>
  </si>
  <si>
    <t>対応未確定
※木村拓光さんからの回答には3段階のみ、確認中</t>
  </si>
  <si>
    <t>暫定候補：低
遅延・不安定だが利用可能</t>
  </si>
  <si>
    <t>暫定候補：中
一部機能のみ利用不可</t>
  </si>
  <si>
    <t>暫定候補：高
U--SLIMが利用できない</t>
  </si>
  <si>
    <r>
      <rPr>
        <sz val="11"/>
        <color rgb="FF7F7F7F"/>
        <rFont val="Yu Gothic UI"/>
        <family val="3"/>
        <charset val="128"/>
      </rPr>
      <t xml:space="preserve">佐藤
</t>
    </r>
    <r>
      <rPr>
        <sz val="11"/>
        <color rgb="FF4472C4"/>
        <rFont val="Yu Gothic UI"/>
        <family val="3"/>
        <charset val="128"/>
      </rPr>
      <t>※現行氏名・最終責任者は確認中</t>
    </r>
  </si>
  <si>
    <r>
      <rPr>
        <sz val="11"/>
        <color rgb="FF7F7F7F"/>
        <rFont val="Yu Gothic UI"/>
        <family val="3"/>
        <charset val="128"/>
      </rPr>
      <t xml:space="preserve">磯村
</t>
    </r>
    <r>
      <rPr>
        <sz val="11"/>
        <color rgb="FF4472C4"/>
        <rFont val="Yu Gothic UI"/>
        <family val="3"/>
        <charset val="128"/>
      </rPr>
      <t>※現行氏名・最終責任者は確認中</t>
    </r>
  </si>
  <si>
    <t>石川</t>
  </si>
  <si>
    <t>未確定</t>
  </si>
  <si>
    <t>暫定候補：低
データ遅延・不安定を経過観察</t>
  </si>
  <si>
    <t>承認者は確認中</t>
  </si>
  <si>
    <t>24時間未解消時にお知らせ掲載</t>
  </si>
  <si>
    <t>監視担当
→PM
→PO
GW資料</t>
  </si>
  <si>
    <t>掲載担当
復旧後更新方法は確認中</t>
  </si>
  <si>
    <t>暫定候補：中
一部機能への影響は即時対応</t>
  </si>
  <si>
    <t>PO承認後にリリース</t>
  </si>
  <si>
    <t>3時間おきに状況報告</t>
  </si>
  <si>
    <t>利用者告知条件は確認中</t>
  </si>
  <si>
    <t>暫定候補：高
U-SLIM全体利用不可は即時対応</t>
  </si>
  <si>
    <t>PO承認後に緊急リリース</t>
  </si>
  <si>
    <t>1時間おきに状況報告</t>
  </si>
  <si>
    <r>
      <rPr>
        <sz val="11"/>
        <color rgb="FF000000"/>
        <rFont val="Yu Gothic UI"/>
        <family val="3"/>
        <charset val="128"/>
      </rPr>
      <t xml:space="preserve">Repository使用率監視
</t>
    </r>
    <r>
      <rPr>
        <sz val="11"/>
        <color rgb="FF4472C4"/>
        <rFont val="Yu Gothic UI"/>
        <family val="3"/>
        <charset val="128"/>
      </rPr>
      <t>→現行設定は確認中
・NiFi実行ログの正常出力を保守チームが監視
・NiFi停止は保守チーム、データ元未連携は保守チーム・基盤チームが確認
・U-SLIM側の現k脳確認担当は周さん</t>
    </r>
  </si>
  <si>
    <r>
      <rPr>
        <sz val="11"/>
        <color rgb="FF000000"/>
        <rFont val="Yu Gothic UI"/>
        <family val="3"/>
        <charset val="128"/>
      </rPr>
      <t xml:space="preserve">Cloudera Manager
</t>
    </r>
    <r>
      <rPr>
        <sz val="11"/>
        <color rgb="FF4472C4"/>
        <rFont val="Yu Gothic UI"/>
        <family val="3"/>
        <charset val="128"/>
      </rPr>
      <t>NiFi</t>
    </r>
  </si>
  <si>
    <r>
      <rPr>
        <sz val="11"/>
        <color rgb="FF000000"/>
        <rFont val="Yu Gothic UI"/>
        <family val="3"/>
        <charset val="128"/>
      </rPr>
      <t>・NiFi Repository監視
　・FlowFile Repository
  　・Warning: 80%以上
  　・Failure: 90%以上
　　→</t>
    </r>
    <r>
      <rPr>
        <sz val="11"/>
        <color rgb="FF4472C4"/>
        <rFont val="Yu Gothic UI"/>
        <family val="3"/>
        <charset val="128"/>
      </rPr>
      <t xml:space="preserve">閾値の現行有効性と全監視対象は追加回答待ち
</t>
    </r>
    <r>
      <rPr>
        <sz val="11"/>
        <color rgb="FF000000"/>
        <rFont val="Yu Gothic UI"/>
        <family val="3"/>
        <charset val="128"/>
      </rPr>
      <t xml:space="preserve">
・Content Repository
  ・Warning: 80%以上
  ・Failure: 90%以上
・Provenance Repository
  ・Warning: 80%以上
  ・Failure: 90%以上</t>
    </r>
  </si>
  <si>
    <r>
      <rPr>
        <sz val="11"/>
        <color rgb="FF000000"/>
        <rFont val="Yu Gothic UI"/>
        <family val="3"/>
        <charset val="128"/>
      </rPr>
      <t xml:space="preserve">12_CDPアラート共有
</t>
    </r>
    <r>
      <rPr>
        <sz val="11"/>
        <color rgb="FF4472C4"/>
        <rFont val="Yu Gothic UI"/>
        <family val="3"/>
        <charset val="128"/>
      </rPr>
      <t>10_アラート監視共有</t>
    </r>
  </si>
  <si>
    <t>事象に応じて保守チーム・基盤チーム・U-SLIM担当が原因を調査する。
失敗ケースによって手動再実行、切り戻し、再修正を行う可能性がある。
標準の再実行・切り戻し手順書と、復旧後のデータ確認ルールは未整備。</t>
  </si>
  <si>
    <t>NiFi
Cloudera Manager
処理ログ
U-SLIM画面</t>
  </si>
  <si>
    <t>・NiFi停止/処理失敗
・データ元からの連携停止
・U-SLIM独自蓄積処理失敗
・外部データ連携遅延
・Repository使用率上昇</t>
  </si>
  <si>
    <t>1.保守・基盤チーム
2.U-SLIM担当(現状：周さん)
3.PM/リーダー
4.PO
※事象別の正式責任分界は確認中</t>
  </si>
  <si>
    <t xml:space="preserve">
【U-SLIM一次回答、資料反映2026-08-04】
・GAZOO、U-PASS、データ図書館、U-SLIM独自蓄積処理がU-SLIM機能へ影響する
・アプリ側には、データ連携停止、遅延、欠損、重複、古いデータを定常確認する方法が無い。
・アプリチーム実装のNiFiは基本的にUpsertとの回答だが、対象範囲、一意キー、例外処理、再実行後の確認根拠は未確認。
・標準の再実行、切り戻し手順書はない。本番障害管理表には、NiFiを前バージョンへ切り戻し、再修正した事例が1件ある。
・障害管理表は2026年7月15日から利用開始。原因、対策、重要度、担当者等は記録しているが、確認者、クローズ条件は未整備。
・U-SLIM独自の高、中、低はサービス影響で判定。4段階との対応は暫定候補
・再実行担当、承認者、データ正常性確認、責任分界は追加確認中。
資料：
休日対応エスカレーションフロー.pptx
U-SLIM死活監視対応手順.pptx
本番-障害・不要管理表.xlsx</t>
  </si>
  <si>
    <t>・NiFi停止/処理失敗
・外部データ連携停止・停止
・U-SLIM独自蓄積処理失敗
・データ欠損/重複/古いデータ表示
・Repository容量逼迫</t>
  </si>
  <si>
    <r>
      <rPr>
        <sz val="11"/>
        <color rgb="FF7F7F7F"/>
        <rFont val="Yu Gothic UI"/>
        <family val="3"/>
        <charset val="128"/>
      </rPr>
      <t xml:space="preserve">
</t>
    </r>
    <r>
      <rPr>
        <sz val="11"/>
        <color rgb="FF4472C4"/>
        <rFont val="Yu Gothic UI"/>
        <family val="3"/>
        <charset val="128"/>
      </rPr>
      <t>※現行氏名・最終責任者は確認中</t>
    </r>
  </si>
  <si>
    <r>
      <rPr>
        <sz val="11"/>
        <color rgb="FF7F7F7F"/>
        <rFont val="Yu Gothic UI"/>
        <family val="3"/>
        <charset val="128"/>
      </rPr>
      <t xml:space="preserve">
</t>
    </r>
    <r>
      <rPr>
        <sz val="11"/>
        <color rgb="FF4472C4"/>
        <rFont val="Yu Gothic UI"/>
        <family val="3"/>
        <charset val="128"/>
      </rPr>
      <t>※NiFi再実行・切り戻し・クローズ承認者は確認中</t>
    </r>
  </si>
  <si>
    <t>業務アプリDX（DX道場）
※rg-powerbi</t>
  </si>
  <si>
    <t>PowerBI</t>
  </si>
  <si>
    <t>・Power BI セマンティックモデル更新失敗の監視
・マスタメンテナンス処理の実行失敗監視
・Power Automateフローの失敗/タイムアウト監視
・平日：欧さん
・休日：劉さん or 胡さんが監視</t>
  </si>
  <si>
    <t>Power Automate</t>
  </si>
  <si>
    <t>・フロー名：リガバリ作業自動化_v2
　→Power BI セマンティックモデル更新失敗を検知して、自動リカバリー。
　　自動リカバリー失敗時に通知
・フロー名：実行結果の確認
　→マスタメンテナンス処理の失敗を確認
・Power Automateフロー自体の実行失敗・タイムアウトも確認対象とする</t>
  </si>
  <si>
    <t>Email
グループチャット</t>
  </si>
  <si>
    <r>
      <rPr>
        <sz val="11"/>
        <color rgb="FF000000"/>
        <rFont val="游ゴシック"/>
        <family val="2"/>
        <scheme val="minor"/>
      </rPr>
      <t xml:space="preserve">（フロー所有者）
</t>
    </r>
    <r>
      <rPr>
        <u/>
        <sz val="11"/>
        <color rgb="FF0563C1"/>
        <rFont val="游ゴシック"/>
        <family val="2"/>
        <scheme val="minor"/>
      </rPr>
      <t xml:space="preserve">dx-automate01@toyotecdap.onmicrosoft.com
dx-automate02@toyotecdap.onmicrosoft.com
dx-automate03@toyotecdap.onmicrosoft.com
</t>
    </r>
    <r>
      <rPr>
        <sz val="11"/>
        <color rgb="FF000000"/>
        <rFont val="游ゴシック"/>
        <family val="2"/>
        <scheme val="minor"/>
      </rPr>
      <t xml:space="preserve">グループチャット：
</t>
    </r>
    <r>
      <rPr>
        <u/>
        <sz val="11"/>
        <color rgb="FF000000"/>
        <rFont val="游ゴシック"/>
        <family val="2"/>
        <scheme val="minor"/>
      </rPr>
      <t xml:space="preserve">「【DX道場】PowerBIインポートモードデータ更新状況確認」
</t>
    </r>
  </si>
  <si>
    <t>【内部の自動通知で検知した場合】
欧さんがアラートを確認して、原因調査・切り分け・再実行を行う。
【利用者から申告があった場合】
佐々木健人さんかが一次対応として状況確認を行い、必要に応じて関係者へ連携・対応依頼を行う。
復旧できない場合は吉田博さん(PM)へエスカレーションして、必要に応じて佐々木健人さんが利用部門・顧客へ連絡する。</t>
  </si>
  <si>
    <t>Power BI
Power Automate
再更新スクリプト</t>
  </si>
  <si>
    <t>・Power Automateの内部通知によるアラート
・利用者からの障害申告
・自動リカバリー後も更新に失敗した場合</t>
  </si>
  <si>
    <t>Email
グループチャット
利用者からの連絡</t>
  </si>
  <si>
    <t>フロー所有者：
グループチャット：
【DX道場】PowerBIインポートモードデータ更新状況確認のメンバー</t>
  </si>
  <si>
    <t>欧さん回答
・DX道場では、現時点で正式な障害レベル区分およびレベル別対応基準を設けていない。
・重大な障害が発生した場合はTMC担当者へ連絡し、必要に応じてDX道場TOPページへ告知を掲載する。
・内部の自動通知によるアラートは欧さんが確認して、原因調査・切り分け・再実行を行う。
・利用者から障害申告があった場合は、佐々木健人さんが一次対応として状況確認して、必要に応じて関係者へ連携・対応依頼を行う。
・復旧できない場合は、吉田博さん(PM)へエスカレーションする。
・顧客別責任者は対象別となっている。(いずれもTMCさん)
DX道場：向井敬詞さん
NEO：千徳俊介さん
Bz4x：中村健太郎さん
新車注文書明細：赤尾愉歩さん
・障害レベル表については、レベル別ルール資料が存在しないため、以降のレベル1～4の対応付けは未整備となる。
・メール見落とし時の代替通知はなし。
・Teams/データマネジメントシステムへの通知追加は今後の案であり、未決定。</t>
  </si>
  <si>
    <t>・Power BI セマンティックモデル更新失敗
・マスタメンテナンス処理失敗
・Power Automateフロー失敗/タイムアウト
・データ更新遅延/古いデータ表示</t>
  </si>
  <si>
    <t>未整備
※DX道場独自の明確な障害レベル区分なし</t>
  </si>
  <si>
    <t>未整備
※重大障害児には、TMC担当者へ連絡し、必要に応じてTOPページで告知するが、正式なレベル4定義ではない。</t>
  </si>
  <si>
    <t>吉田 博(PM)</t>
  </si>
  <si>
    <t>対象別(Z列のコメントを参照)</t>
  </si>
  <si>
    <t>未整備</t>
  </si>
  <si>
    <t>復旧できない場合は吉田博さんへエスカレーションするが、正式なレベル4基準ではない</t>
  </si>
  <si>
    <t>必要に応じてDX道場TOPページへ告知</t>
  </si>
  <si>
    <t>検証段階(本番運用未開始)</t>
  </si>
  <si>
    <t>ー</t>
  </si>
  <si>
    <r>
      <t xml:space="preserve">欧さん回答
・DataVizは検証段階で、本番運用は未開始のため、今回の運用設計ではN/Aとなる。
・監視、インシデントレベル、エスカレーションの詳細設計は、本番リリース時の別タスクとして扱うとのこと。
・本番リリース次期、リリース後の運用責任者、基盤障害時の連絡ルール、今回の監視設計タスクに含めるかは未決定。
・停止した場合は帳票を利用できない。
</t>
    </r>
    <r>
      <rPr>
        <b/>
        <sz val="11"/>
        <color theme="1"/>
        <rFont val="Yu Gothic UI"/>
        <family val="3"/>
        <charset val="128"/>
      </rPr>
      <t xml:space="preserve">・監視候補はCDP側のCPU・メモリ使用率等、画面表示、ログイン、データ更新、エラー、性能を含む具体的な監視範囲は追加確認が必要。
</t>
    </r>
    <r>
      <rPr>
        <sz val="11"/>
        <color theme="1"/>
        <rFont val="Yu Gothic UI"/>
        <family val="3"/>
        <charset val="128"/>
      </rPr>
      <t xml:space="preserve">・参照予定DB(本番)：
→ai21rep_pr_dx_kudu
　ai21rep_pr_kudu
　ai21stg_pr_dx_kudu
　neo1rep_pr_kudu
参照予定DB(検証)：
→ai21rep_ve_dx_kudu
　ai21rep_ve_kudu
　ai21rep_ve_stg_kudu
　ai21rep_ve_test_kudu
　neo1rep_ve_kudu
</t>
    </r>
  </si>
  <si>
    <t>N/A(本番リリース時の別タスク)</t>
  </si>
  <si>
    <t>業務アプリDX（NEO活用）
※rg-powerbi</t>
  </si>
  <si>
    <t>・データセット更新処理の失敗監視
・マスタメンテナンス処理の実行失敗監視</t>
  </si>
  <si>
    <t>・Power BIデータセット更新結果が失敗となった場合
　フロー名：リガバリ作業自動化_v2
・マスタメンテナンス処理の実行結果が失敗となった場合
　フロー名：実行結果の確認
・Power Automateフロー自体の実行失敗・タイムアウトも確認対象とする</t>
  </si>
  <si>
    <t xml:space="preserve">Email
</t>
  </si>
  <si>
    <r>
      <rPr>
        <sz val="11"/>
        <color rgb="FF000000"/>
        <rFont val="游ゴシック"/>
        <family val="3"/>
        <charset val="128"/>
        <scheme val="minor"/>
      </rPr>
      <t xml:space="preserve">（フロー所有者）
</t>
    </r>
    <r>
      <rPr>
        <u/>
        <sz val="11"/>
        <color rgb="FF0563C1"/>
        <rFont val="游ゴシック"/>
        <family val="3"/>
        <charset val="128"/>
        <scheme val="minor"/>
      </rPr>
      <t>dx-automate01@toyotecdap.onmicrosoft.com
dx-automate02@toyotecdap.onmicrosoft.com
dx-automate03@toyotecdap.onmicrosoft.com</t>
    </r>
  </si>
  <si>
    <t>データマネジメントシステムへの通知を追加</t>
  </si>
  <si>
    <t>リリース後に対応とする</t>
  </si>
  <si>
    <t>DataVizの稼働状況およびエラー発生状況の確認</t>
  </si>
  <si>
    <t>Data Visualization（Site Administration &gt; Logs and Usage &gt; WebServer Log）</t>
  </si>
  <si>
    <t>CPU、メモリ、ネットワーク、ストレージの各メトリクスが
3
設定した閾値を一定時間継続して超過した場合</t>
  </si>
  <si>
    <t>DataVizの障害および性能劣化発生時の詳細調査</t>
  </si>
  <si>
    <t>WebServer Log、Current Load、Dashboard Usage Info</t>
  </si>
  <si>
    <t>障害、ダッシュボード表示遅延、クエリ遅延等の発生時に、
2
CPU、メモリ、ネットワーク、ストレージの推移および
3
WebServer Logのエラー内容を確認する</t>
  </si>
  <si>
    <t>業務アプリ（トヨタポイント）
※toyopo</t>
  </si>
  <si>
    <t>業務アプリ、帳票を利用するユーザの一部機能が利用できない状態（ポイント以外の機能）</t>
  </si>
  <si>
    <t>業務アプリ、帳票を利用するユーザの重要な機能、導線が利用できない状態（ポイントが正しく付与されない）</t>
  </si>
  <si>
    <t>Azure SQL</t>
  </si>
  <si>
    <t>Azure Comunication Service</t>
  </si>
  <si>
    <t>備考</t>
  </si>
  <si>
    <t>・個人情報関連は別途検討の必要あり</t>
  </si>
  <si>
    <t>・バックアップ関連は別途検討の必要あり</t>
  </si>
  <si>
    <t>　◯：対応はできているが手段・設定の見直しが必要</t>
  </si>
  <si>
    <t>定常運用（未来）</t>
  </si>
  <si>
    <t>Azure VM</t>
  </si>
  <si>
    <t>・アラート発報の自動監視
・Critical/Highアラートの即時対応（一時切り分け含む）</t>
  </si>
  <si>
    <t>CPU使用率が80%以上かつ5分以上継続</t>
  </si>
  <si>
    <t>・アラート発生傾向の分析（閾値妥当性確認）
・利用率トレンド確認</t>
  </si>
  <si>
    <t>・キャパシティプランニングの見直し
・アラート閾値のチューニング</t>
  </si>
  <si>
    <t>・構成変更時のリソース影響レビュー
・スケール設定変更時の事前検証</t>
  </si>
  <si>
    <t>三ツ井</t>
  </si>
  <si>
    <t>メモリ使用率80%以上または利用不可状態（Swap多発）</t>
  </si>
  <si>
    <t>ディスク使用率80%以上または空き容量閾値未満</t>
  </si>
  <si>
    <t>NiFi
NiFi Node Connectivity監視
　以下の状態を検知した場合、Health Alertが発報される。
　・NiFiノード間の接続異常
　・クラスタノードとの通信異常
　・ノード疎通不可</t>
  </si>
  <si>
    <t>ネットワークエラーまたは通信断検知</t>
  </si>
  <si>
    <t>・アラート発生傾向の分析（閾値妥当性確認）</t>
  </si>
  <si>
    <t>Kubernetes</t>
  </si>
  <si>
    <t>・Nodeリソース枯渇アラートの監視・対応</t>
  </si>
  <si>
    <t>Prometheus + Alertmanager</t>
  </si>
  <si>
    <t>Node CPU使用率80%以上が5分以上継続</t>
  </si>
  <si>
    <t>・Pod再起動回数・異常発生頻度の分析
・リソース使用率の偏り確認</t>
  </si>
  <si>
    <t>・HPA/リソース制限設定の見直し
・未使用リソース・Namespaceの整理</t>
  </si>
  <si>
    <t>・デプロイ時のリソース定義レビュー
・スケーリング設定変更の影響確認</t>
  </si>
  <si>
    <t>・Pod異常（CrashLoopBackOff）の自動検知と通知
・Nodeリソース枯渇アラートの監視・対応</t>
  </si>
  <si>
    <t>NodeまたはPodのメモリ使用率80%以上が継続</t>
  </si>
  <si>
    <t>ディスク使用率80%以上またはEviction発生</t>
  </si>
  <si>
    <t>・Pod異常（CrashLoopBackOff）の自動検知と通知</t>
  </si>
  <si>
    <t>Pod間通信エラー率増加または通信断</t>
  </si>
  <si>
    <t>Podステータス</t>
  </si>
  <si>
    <t>PodがCrashLoopBackOffまたはPending状態</t>
  </si>
  <si>
    <t>・疎通監視の自動検知および障害時の即時通知
・TLS証明書期限の監視</t>
  </si>
  <si>
    <t>Azure Monitor / 外形監視（DNSチェック）</t>
  </si>
  <si>
    <t>名前解決失敗または応答遅延（1秒以上）</t>
  </si>
  <si>
    <t>・レイテンシ・エラー率の傾向分析</t>
  </si>
  <si>
    <t>・通信帯域・輻輳状況の確認
・ネットワーク設定の健全性確認</t>
  </si>
  <si>
    <t>・設定変更時の疎通試験実施
・DNS/証明書更新時の事前検証</t>
  </si>
  <si>
    <t>Azure Monitor / 証明書監視</t>
  </si>
  <si>
    <t>証明書の有効期限30日未満または証明書エラー</t>
  </si>
  <si>
    <t>Azure Monitor / Network Watcher</t>
  </si>
  <si>
    <t>帯域しようりつ80%以上またはパケットロス検知</t>
  </si>
  <si>
    <t>・Criticalセキュリティアラートの即時対応
・不正アクセス検知ログの確認</t>
  </si>
  <si>
    <t>・脆弱性検出結果のレビュー・対応計画整理</t>
  </si>
  <si>
    <t>・セキュリティポリシー・ルールの見直し</t>
  </si>
  <si>
    <t>・セキュリティインシデント発生時のログ分析
・ポリシー変更の影響範囲確認</t>
  </si>
  <si>
    <t>Azure WAF / Application Gateway Logs</t>
  </si>
  <si>
    <t>攻撃検知（SQLインジェクション・XSS等）の発生</t>
  </si>
  <si>
    <t>Azure Key Valut / 監査ログ</t>
  </si>
  <si>
    <t>不正アクセスまたは異常なシークレット使用</t>
  </si>
  <si>
    <t>・シークレット・鍵の有効期限確認</t>
  </si>
  <si>
    <t>Extract</t>
  </si>
  <si>
    <t>・データ連携停止及び遅延の検知
・Extract/Replicatプロセスの状態確認とLag状況の切り分け
・遅延要因の特定及び再起動または再同期による復旧対応</t>
  </si>
  <si>
    <t>Oracle GoldenGate Monitor / ログ監視</t>
  </si>
  <si>
    <t>ExtractまたはReplicat停止、またはLag10分以上</t>
  </si>
  <si>
    <t>・データ品質チェック
・リトライ・エラー発生率の分析</t>
  </si>
  <si>
    <t>・スループット及び負荷状況の分析
・パイプライン構成の最適化検討</t>
  </si>
  <si>
    <t>・データ連携変更時の影響範囲レビュー
・スキーマ変更時の事前検証</t>
  </si>
  <si>
    <t>Replicat</t>
  </si>
  <si>
    <t>・メッセージ遅延（Customer Lag）及びBroker状態の異常検知
・トピック別のLag及びスループットの切り分け
・Consumer再起動またはパーティション調整による遅延解消対応</t>
  </si>
  <si>
    <t>Cloudera Manager / Prometheus（Kafka Exporter）</t>
  </si>
  <si>
    <t>Consumer Lagが1000件以上または10分以上継続</t>
  </si>
  <si>
    <t>・データフロー停止及びProcessorエラーの検知
・キュー滞留及び失敗フローの切り分け
・該当Processorの再実行または設定修正によるフロー復旧対応</t>
  </si>
  <si>
    <t>Cloudera Manager / NiFi監視（Queue）</t>
  </si>
  <si>
    <t>Processorエラーまたはキュー滞留（10,000件以上）</t>
  </si>
  <si>
    <t>・ストレージ及びクエリ以上の検知
・Tabletサーバ及びディスク負荷状況の切り分け
・サービス再起動またはリソース調整による処理性能の復旧対応</t>
  </si>
  <si>
    <t>Tablet Server異常またはディスク使用率80%以上</t>
  </si>
  <si>
    <t>・認可エラー・アクセス異常の検知及び対応</t>
  </si>
  <si>
    <t>Ranger Audit Logs / Cloudera Manager</t>
  </si>
  <si>
    <t>アクセス拒否（認可エラー）の急増または異常アクセス検知</t>
  </si>
  <si>
    <t>・権限設定の差分チェック（意図しない変更の確認）</t>
  </si>
  <si>
    <t>・ユーザ・ロール棚卸
・不要権限の削除</t>
  </si>
  <si>
    <t>・権限変更時のレビュー・承認プロセス実施</t>
  </si>
  <si>
    <t>・クエリエラー・API失敗の監視及び対応
・レスポンス異常の検知</t>
  </si>
  <si>
    <t>Cloudera Manager / クエリログ監視</t>
  </si>
  <si>
    <t>クエリエラー増加または実行時間30秒以上のクエリ発生</t>
  </si>
  <si>
    <t>・クエリ性能・APIレイテンシの分析</t>
  </si>
  <si>
    <t>・クエリ最適化（インデックス・構造見直し）
・API負荷分析・改善</t>
  </si>
  <si>
    <t>・リリース時の性能影響確認
・クエリ変更時の影響検証</t>
  </si>
  <si>
    <t>Azure Monitor / Application Insights / APIログ監視</t>
  </si>
  <si>
    <t>APIエラー率（HTTP 5xx/4xx）が閾値超過（例：5%以上）またはAPIレスポンス時間が閾値（例：3秒以上）を継続して超過</t>
  </si>
  <si>
    <t>Azure API Management / Azure Monitor（Diagnostics Logs）</t>
  </si>
  <si>
    <t>API Gatewayエラー（5xx）の発生またはバックエンド接続失敗、スロットリング（レート制限）超過の検知</t>
  </si>
  <si>
    <t>佐藤</t>
  </si>
  <si>
    <t>磯村</t>
  </si>
  <si>
    <t>Web</t>
  </si>
  <si>
    <t>Nodeリソース枯渇アラートの監視・対応</t>
  </si>
  <si>
    <t>uslim-webapp-dbexceptions
Table rows &gt; 0</t>
  </si>
  <si>
    <t>13_WebAppアラート共有</t>
  </si>
  <si>
    <t>インシデントパターンの考え方</t>
  </si>
  <si>
    <t>・共通部の上にアプリが乗る2階建になる。その組み合わせによりインシデントのレポートのパターンが変わることから、考慮した設計が必要になる</t>
  </si>
  <si>
    <t>◎パターンA</t>
  </si>
  <si>
    <t>◎パターンB</t>
  </si>
  <si>
    <t>◎パターンC</t>
  </si>
  <si>
    <t>◎パターンD</t>
  </si>
  <si>
    <t>◎パターンE</t>
  </si>
  <si>
    <t>◎パターンF</t>
  </si>
  <si>
    <t>【要因】</t>
  </si>
  <si>
    <t>　・アプリ</t>
  </si>
  <si>
    <t>　・共通部（アプリ基盤、データ基盤、インフラのいずれか）</t>
  </si>
  <si>
    <t>　・共通部のインフラ</t>
  </si>
  <si>
    <t>　・共通部のデータ基盤</t>
  </si>
  <si>
    <t>　・共通部のアプリ基盤</t>
  </si>
  <si>
    <t>【影響範囲】</t>
  </si>
  <si>
    <t>　・同アプリ単体</t>
  </si>
  <si>
    <t>　・全アプリ</t>
  </si>
  <si>
    <t>　・固有アプリのみ</t>
  </si>
  <si>
    <t>　・インフラ単体からのアプリ全体に影響</t>
  </si>
  <si>
    <t>　・データ基盤単体からのアプリ全体に影響</t>
  </si>
  <si>
    <t>　・アプリ基盤単体からのアプリ全体に影響</t>
  </si>
  <si>
    <t>【主なインシデントタイプ】</t>
  </si>
  <si>
    <r>
      <t>【主なインシデントタイプ】</t>
    </r>
    <r>
      <rPr>
        <sz val="11"/>
        <color theme="1"/>
        <rFont val="Yu Gothic UI"/>
        <family val="3"/>
        <charset val="128"/>
      </rPr>
      <t>※CPUの場合</t>
    </r>
    <phoneticPr fontId="10"/>
  </si>
  <si>
    <r>
      <t>【主なインシデントタイプ】</t>
    </r>
    <r>
      <rPr>
        <sz val="11"/>
        <color theme="1"/>
        <rFont val="Yu Gothic UI"/>
        <family val="3"/>
        <charset val="128"/>
      </rPr>
      <t>※OGGの場合</t>
    </r>
    <phoneticPr fontId="10"/>
  </si>
  <si>
    <r>
      <rPr>
        <b/>
        <sz val="11"/>
        <color rgb="FF000000"/>
        <rFont val="Yu Gothic UI"/>
        <family val="3"/>
        <charset val="128"/>
      </rPr>
      <t>【主なインシデントタイプ】</t>
    </r>
    <r>
      <rPr>
        <sz val="11"/>
        <color rgb="FF000000"/>
        <rFont val="Yu Gothic UI"/>
        <family val="3"/>
        <charset val="128"/>
      </rPr>
      <t>※APIの場合</t>
    </r>
  </si>
  <si>
    <t>　・Level1（極小）：見た目の不具合</t>
  </si>
  <si>
    <t xml:space="preserve">  ・Level1（極小）：CPUの使用率が規定の80％を超え、性能劣化の可能性がある</t>
  </si>
  <si>
    <t>　・Level1（極小）：N/A</t>
  </si>
  <si>
    <t>　・Level1（極小）：N/A</t>
    <phoneticPr fontId="10"/>
  </si>
  <si>
    <t>　・Level2（小）：機能の一部に障害</t>
  </si>
  <si>
    <t>　・Level2（小）：CPUが飽和し、性能が劣化する</t>
  </si>
  <si>
    <t>　・Level2（小）：差分データの到達遅延が1時間を超え、データを反映できない</t>
    <phoneticPr fontId="10"/>
  </si>
  <si>
    <t>　・Level2（小）：5xx系エラーが1%に達し、レスポンスが得られない場合が発生し始める</t>
    <rPh sb="32" eb="33">
      <t>エ</t>
    </rPh>
    <rPh sb="37" eb="39">
      <t>バアイ</t>
    </rPh>
    <rPh sb="40" eb="42">
      <t>ハッセイ</t>
    </rPh>
    <rPh sb="43" eb="44">
      <t>ハジ</t>
    </rPh>
    <phoneticPr fontId="10"/>
  </si>
  <si>
    <t>　・Level3（大）：サービスの重要な機能、導線に障害</t>
  </si>
  <si>
    <t>　・Level3（大）：N/A</t>
  </si>
  <si>
    <t>　・Level3（大）：差分データの到達遅延が24時間を超え、データを反映できない</t>
    <phoneticPr fontId="10"/>
  </si>
  <si>
    <t>　・Level3（大）：5xx系エラーが10%に達し、レスポンスが得られない場合が増加する</t>
    <rPh sb="15" eb="16">
      <t>ケイ</t>
    </rPh>
    <rPh sb="24" eb="25">
      <t>タッ</t>
    </rPh>
    <rPh sb="33" eb="34">
      <t>エ</t>
    </rPh>
    <rPh sb="38" eb="40">
      <t>バアイ</t>
    </rPh>
    <rPh sb="41" eb="43">
      <t>ゾウカ</t>
    </rPh>
    <phoneticPr fontId="10"/>
  </si>
  <si>
    <t>　・Level4（極大）：サービスが起動不能な状態</t>
  </si>
  <si>
    <t>　・Level4（極大）：N/A</t>
    <phoneticPr fontId="10"/>
  </si>
  <si>
    <t>　・Level4（極大）：N/A</t>
  </si>
  <si>
    <t>　・Level4（極大）：5xx系エラーが100%に達しAPIが停止する</t>
    <rPh sb="16" eb="17">
      <t>ケイ</t>
    </rPh>
    <rPh sb="26" eb="27">
      <t>タッ</t>
    </rPh>
    <rPh sb="32" eb="34">
      <t>テイシ</t>
    </rPh>
    <phoneticPr fontId="10"/>
  </si>
  <si>
    <t>アプリA</t>
  </si>
  <si>
    <t>アプリB</t>
  </si>
  <si>
    <t>アプリC</t>
  </si>
  <si>
    <t>監視設計の考え方</t>
  </si>
  <si>
    <t>◎インフラ</t>
  </si>
  <si>
    <t>◎データ基盤</t>
  </si>
  <si>
    <t>Cloudera
Manager</t>
  </si>
  <si>
    <t>※内部監視</t>
  </si>
  <si>
    <t>OCIモニター</t>
  </si>
  <si>
    <t>Azure
モニター</t>
  </si>
  <si>
    <t>Prisma
Cloud</t>
  </si>
  <si>
    <t>※外部監視</t>
  </si>
  <si>
    <t>Teams
チャネルへの通知</t>
  </si>
  <si>
    <t>Datahub</t>
  </si>
  <si>
    <t>クラスタ</t>
  </si>
  <si>
    <t>設定名</t>
  </si>
  <si>
    <t>プロパティ</t>
  </si>
  <si>
    <t>Node種別</t>
  </si>
  <si>
    <t>説明</t>
  </si>
  <si>
    <t>監視項目（何を監視しているか）</t>
  </si>
  <si>
    <t>設定値</t>
  </si>
  <si>
    <t>ホスト</t>
  </si>
  <si>
    <t>Cloudera Manager Agent Log Directory Free Space Monitoring Absolute Thresholds</t>
  </si>
  <si>
    <t>host_agent_log_directory_free_space_absolute_thresholds</t>
  </si>
  <si>
    <t>Warning: 2 GiB
Critical: 1 GiB</t>
  </si>
  <si>
    <t>Cloudera Manager Agent Log Directory Free Space Monitoring Percentage Thresholds</t>
  </si>
  <si>
    <t>host_agent_log_directory_free_space_percentage_thresholds</t>
  </si>
  <si>
    <t>Warning: Never
Critical: Never</t>
  </si>
  <si>
    <t>Cloudera Manager Agent Process Directory Free Space Monitoring Absolute Thresholds</t>
  </si>
  <si>
    <t>host_agent_process_directory_free_space_absolute_thresholds</t>
  </si>
  <si>
    <t>Warning: 200 MiB 
Critical: 100 MiB</t>
  </si>
  <si>
    <t>Cloudera Manager Agent Process Directory Free Space Monitoring Percentage Thresholds</t>
  </si>
  <si>
    <t>host_agent_process_directory_free_space_percentage_thresholds</t>
  </si>
  <si>
    <t>Warning: Never 
Critical: Never</t>
  </si>
  <si>
    <t>Cloudera Manager Agent Parcel Directory Free Space Monitoring Absolute Thresholds</t>
  </si>
  <si>
    <t>host_agent_parcel_directory_free_space_absolute_thresholds</t>
  </si>
  <si>
    <t>Warning: 10 GiB 
Critical: 5 GiB</t>
  </si>
  <si>
    <t>Cloudera Manager Agent Parcel Directory Free Space Monitoring Percentage Thresholds</t>
  </si>
  <si>
    <t>host_agent_parcel_directory_free_space_percentage_thresholds</t>
  </si>
  <si>
    <t>Host Network Frame Error Percentage Thresholds</t>
  </si>
  <si>
    <t>host_network_frame_errors_thresholds</t>
  </si>
  <si>
    <t>Warning: Any 
Critical: 0.5</t>
  </si>
  <si>
    <t>Host's Network Interfaces Slow Link Modes Thresholds</t>
  </si>
  <si>
    <t>host_network_interfaces_slow_mode_thresholds</t>
  </si>
  <si>
    <t>Warning: Any 
Critical: Never</t>
  </si>
  <si>
    <t>Host Memory Swapping Thresholds</t>
  </si>
  <si>
    <t>host_memswap_thresholds</t>
  </si>
  <si>
    <t>Warning: 200 
Critical: Never</t>
  </si>
  <si>
    <t>Default Process Swap Memory Thresholds</t>
  </si>
  <si>
    <t>host_default_proc_memswap_thresholds</t>
  </si>
  <si>
    <t>Host Entropy Thresholds</t>
  </si>
  <si>
    <t>host_available_entropy_thresholds</t>
  </si>
  <si>
    <t>Warning: 100 
Critical: 50</t>
  </si>
  <si>
    <t>Enable Health Alerts for This Host</t>
  </si>
  <si>
    <t>enable_alerts</t>
  </si>
  <si>
    <t>Disabled</t>
  </si>
  <si>
    <t>Host Triggers</t>
  </si>
  <si>
    <t>host_triggers</t>
  </si>
  <si>
    <t>(blank)</t>
  </si>
  <si>
    <t>Cloudera Manager Agent TLS Certificate Expiry Thresholds</t>
  </si>
  <si>
    <t>host_agent_certificate_expiry_thresholds</t>
  </si>
  <si>
    <t>Warning: 60 day(s) 
Critical: 7 day(s)</t>
  </si>
  <si>
    <t>Host DNS Resolution Duration Thresholds</t>
  </si>
  <si>
    <t>host_dns_resolution_duration_thresholds</t>
  </si>
  <si>
    <t>Warning: 1 second(s) 
Critical: Never</t>
  </si>
  <si>
    <t>Host Clock Offset Thresholds</t>
  </si>
  <si>
    <t>host_clock_offset_thresholds</t>
  </si>
  <si>
    <t>Warning: 3 second(s) 
Critical: 10 second(s)</t>
  </si>
  <si>
    <t>Memory Overcommit Validation Threshold</t>
  </si>
  <si>
    <t>memory_overcommit_threshold</t>
  </si>
  <si>
    <t>Healthy Kafka Broker Monitoring Thresholds</t>
  </si>
  <si>
    <t>KAFKA_KAFKA_BROKER_healthy_thresholds</t>
  </si>
  <si>
    <t>Kafka (Service-Wide)</t>
  </si>
  <si>
    <t xml:space="preserve">Kafka Broker 全体のヘルス状態に対するヘルステストのしきい値です。
正常（Healthy）な Kafka Broker の割合が警告しきい値（Warning Threshold）を下回ると、このチェックの状態は「要注意（Concerning）」になります。
また、正常（Healthy）および要注意（Concerning）の Kafka Broker を合算した割合が重大しきい値（Critical Threshold）を下回ると、このチェックの状態は「異常（Unhealthy）」になります。
</t>
  </si>
  <si>
    <t>Warning: 94.99
Critical: 49.99</t>
  </si>
  <si>
    <t>Healthy Kafka Connect Monitoring Thresholds</t>
  </si>
  <si>
    <t>KAFKA_KAFKA_CONNECT_healthy_thresholds</t>
  </si>
  <si>
    <t>Healthy KRaft Controller Monitoring Thresholds</t>
  </si>
  <si>
    <t>KAFKA_KRAFT_healthy_thresholds</t>
  </si>
  <si>
    <t>Warning: 94.99
Critical: 50.0</t>
  </si>
  <si>
    <t>File Descriptor Monitoring Thresholds</t>
  </si>
  <si>
    <t>kraft_fd_thresholds</t>
  </si>
  <si>
    <t>KRaft Controller Default Group</t>
  </si>
  <si>
    <t>The health test thresholds of the number of file descriptors used. Specified as a percentage of file descriptor limit.</t>
  </si>
  <si>
    <t>Warning: 50.0
Critical: 70.0</t>
  </si>
  <si>
    <t>Log Directory Free Space Monitoring Absolute Thresholds</t>
  </si>
  <si>
    <t>log_directory_free_space_absolute_thresholds</t>
  </si>
  <si>
    <t>KRaft Controller Default Group
Kafka Broker Default Group
Kafka Connect Default Group
Kafka MirrorMaker Default Group</t>
  </si>
  <si>
    <t>The health test thresholds for monitoring of free space on the filesystem that contains this role's log directory.</t>
  </si>
  <si>
    <t>Warning: 10 GiB
Critical: 5 GiB</t>
  </si>
  <si>
    <t>Log Directory Free Space Monitoring Percentage Thresholds</t>
  </si>
  <si>
    <t>log_directory_free_space_percentage_thresholds</t>
  </si>
  <si>
    <t>The health test thresholds for monitoring of free space on the filesystem that contains this role's log directory. Specified as a percentage of the capacity on that filesystem. This setting is not used if a Log Directory Free Space Monitoring Absolute Thresholds setting is configured.</t>
  </si>
  <si>
    <t>Unexpected Exits Thresholds</t>
  </si>
  <si>
    <t>unexpected_exits_thresholds</t>
  </si>
  <si>
    <t>Warning: Never
Critical: Any</t>
  </si>
  <si>
    <t>Role Triggers</t>
  </si>
  <si>
    <t>role_triggers</t>
  </si>
  <si>
    <t>[]</t>
  </si>
  <si>
    <t>Process Swap Memory Thresholds</t>
  </si>
  <si>
    <t>process_swap_memory_thresholds</t>
  </si>
  <si>
    <t>Warning: 200 B
Critical: Never</t>
  </si>
  <si>
    <t>Swap Memory Usage Rate Thresholds</t>
  </si>
  <si>
    <t>process_swap_memory_rate_thresholds</t>
  </si>
  <si>
    <t>The health test thresholds on the swap memory usage rate of the process. Specified as the change of the used swap memory during the predefined period.</t>
  </si>
  <si>
    <t>kafka_broker_fd_thresholds</t>
  </si>
  <si>
    <t>Kafka Broker Default Group</t>
  </si>
  <si>
    <t>Ranger Plugin Spool Directory Usage Thresholds for Kafka Broker</t>
  </si>
  <si>
    <t>spool_directory_usage_threshold</t>
  </si>
  <si>
    <t>The health test thresholds for monitoring the the Ranger Plugin Spool directory usage.</t>
  </si>
  <si>
    <t>1 GiB</t>
  </si>
  <si>
    <t>kafka_connect_fd_thresholds</t>
  </si>
  <si>
    <t>Kafka Connect Default Group</t>
  </si>
  <si>
    <t>kafka_mirror_maker_fd_thresholds</t>
  </si>
  <si>
    <t>Kafka MirrorMaker Default Group</t>
  </si>
  <si>
    <t>Gateway Logging Threshold</t>
  </si>
  <si>
    <t>log_threshold</t>
  </si>
  <si>
    <t>Gateway Default Group</t>
  </si>
  <si>
    <t>The minimum log level for Gateway logs</t>
  </si>
  <si>
    <t>INFO</t>
  </si>
  <si>
    <t>KRaft Controller Logging Threshold</t>
  </si>
  <si>
    <t>Kafka Broker Logging Threshold</t>
  </si>
  <si>
    <t>The minimum log level for Kafka Broker logs</t>
  </si>
  <si>
    <t>Kafka Connect Logging Threshold</t>
  </si>
  <si>
    <t>The minimum log level for Kafka Connect logs</t>
  </si>
  <si>
    <t>Kafka MirrorMaker Logging Threshold</t>
  </si>
  <si>
    <t>The minimum log level for Kafka MirrorMaker logs</t>
  </si>
  <si>
    <t>Knox</t>
  </si>
  <si>
    <t>Knox Gateway Root Logger Threshold</t>
  </si>
  <si>
    <t>Knox Gateway Default Group</t>
  </si>
  <si>
    <t>Knox IDBroker Logging Threshold</t>
  </si>
  <si>
    <t>Knox IDBroker Default Group</t>
  </si>
  <si>
    <t>Enable Service Level Health Alerts</t>
  </si>
  <si>
    <t>Knox (Service-Wide)</t>
  </si>
  <si>
    <t>enabled</t>
  </si>
  <si>
    <t>Service Triggers</t>
  </si>
  <si>
    <t>service_triggers</t>
  </si>
  <si>
    <t>Healthy Knox IDBroker Monitoring Thresholds</t>
  </si>
  <si>
    <t>KNOX_IDBROKER_healthy_thresholds</t>
  </si>
  <si>
    <t>Warning: 99.0
Critical: 49.0</t>
  </si>
  <si>
    <t>Healthy Knox Gateway Monitoring Thresholds</t>
  </si>
  <si>
    <t>KNOX_KNOX_GATEWAY_healthy_thresholds</t>
  </si>
  <si>
    <t>Enable Health Alerts for this Role</t>
  </si>
  <si>
    <t>Knox Gateway Default Group
Knox IDBroker Default Group</t>
  </si>
  <si>
    <t>knox_gateway_fd_thresholds</t>
  </si>
  <si>
    <t>Ranger Plugin Spool Directory Usage Thresholds for Knox Gateway</t>
  </si>
  <si>
    <t>idbroker_fd_thresholds</t>
  </si>
  <si>
    <t>ZooKeeper</t>
  </si>
  <si>
    <t>Healthy ZooKeeper Server Monitoring Thresholds</t>
  </si>
  <si>
    <t>zookeeper_servers_healthy_thresholds</t>
  </si>
  <si>
    <t>ZooKeeper (Service-Wide)</t>
  </si>
  <si>
    <t>Warning: 99.0 
Critical: 51.0</t>
  </si>
  <si>
    <t>Maximum Latency Monitoring Thresholds</t>
  </si>
  <si>
    <t>zookeeper_server_max_latency_thresholds</t>
  </si>
  <si>
    <t>Server</t>
  </si>
  <si>
    <t>Warning: 75.0 
Critical: 100.0</t>
  </si>
  <si>
    <t>zookeeper_server.fd_thresholds</t>
  </si>
  <si>
    <t>Warning: 50.0 
Critical: 70.0</t>
  </si>
  <si>
    <t>Heap Dump Directory Free Space Monitoring Absolute Thresholds</t>
  </si>
  <si>
    <t>heap_dump_directory_free_space_absolute_thresholds</t>
  </si>
  <si>
    <t>Heap Dump Directory Free Space Monitoring Percentage Thresholds</t>
  </si>
  <si>
    <t>heap_dump_directory_free_space_percentage_thresholds</t>
  </si>
  <si>
    <t>Warning: Never 
Critical: Any</t>
  </si>
  <si>
    <t>Warning: 200 B 
Critical: Never</t>
  </si>
  <si>
    <t>Garbage Collection Duration Thresholds</t>
  </si>
  <si>
    <t>zookeeper_server.gc_duration_thresholds</t>
  </si>
  <si>
    <t>Warning: 30.0 
Critical: 60.0</t>
  </si>
  <si>
    <t>Data Directory Free Space Monitoring Absolute Thresholds</t>
  </si>
  <si>
    <t>zookeeper_server_data_directory_free_space_absolute_thresholds</t>
  </si>
  <si>
    <t>Data Directory Free Space Monitoring Percentage Thresholds</t>
  </si>
  <si>
    <t>zookeeper_server_data_directory_free_space_percentage_thresholds</t>
  </si>
  <si>
    <t>Transaction Log Directory Free Space Monitoring Absolute Thresholds</t>
  </si>
  <si>
    <t>zookeeper_server_data_log_directory_free_space_absolute_thresholds</t>
  </si>
  <si>
    <t>Transaction Log Directory Free Space Monitoring Percentage Thresholds</t>
  </si>
  <si>
    <t>zookeeper_server_data_log_directory_free_space_percentage_thresholds</t>
  </si>
  <si>
    <t>core_settings</t>
  </si>
  <si>
    <t>core_settings (Service-Wide)</t>
  </si>
  <si>
    <t>cruise_control</t>
  </si>
  <si>
    <t>CPU Balance Threshold</t>
  </si>
  <si>
    <t>cpu.balance.threshold</t>
  </si>
  <si>
    <t>Cruise Control Server</t>
  </si>
  <si>
    <t>特定のノードに負荷やデータが集中してシステム全体がボトルネックになるのを防ぐため、リソースの均衡状態や限界容量を監視</t>
  </si>
  <si>
    <t>Disk Balance Threshold</t>
  </si>
  <si>
    <t>disk.balance.threshold</t>
  </si>
  <si>
    <t>Network Inbound Balance Threshold</t>
  </si>
  <si>
    <t>network.inbound.balance.threshold</t>
  </si>
  <si>
    <t>Network Outbound Balance Threshold</t>
  </si>
  <si>
    <t>network.outbound.balance.threshold</t>
  </si>
  <si>
    <t>Replica Count Balance Threshold</t>
  </si>
  <si>
    <t>replica.count.balance.threshold</t>
  </si>
  <si>
    <t>Disk Capacity Threshold</t>
  </si>
  <si>
    <t>disk.capacity.threshold</t>
  </si>
  <si>
    <t>CPU Capacity Threshold</t>
  </si>
  <si>
    <t>cpu.capacity.threshold</t>
  </si>
  <si>
    <t>Network Inbound Capacity Threshold</t>
  </si>
  <si>
    <t>network.inbound.capacity.threshold</t>
  </si>
  <si>
    <t>Network Outbound Capacity Threshold</t>
  </si>
  <si>
    <t>network.outbound.capacity.threshold</t>
  </si>
  <si>
    <t>Leader Replica Count Balance Threshold</t>
  </si>
  <si>
    <t>leader.replica.count.balance.threshold</t>
  </si>
  <si>
    <t>Cruise Control Server Logging Threshold</t>
  </si>
  <si>
    <t>cruise_control_server.fd_thresholds</t>
  </si>
  <si>
    <t>schemaregistry</t>
  </si>
  <si>
    <t>Schema Registry Server Logging Threshold</t>
  </si>
  <si>
    <t>Schema Registry Server</t>
  </si>
  <si>
    <t>Healthy Schema Registry Server Monitoring Thresholds</t>
  </si>
  <si>
    <t>SCHEMAREGISTRY_SCHEMA_REGISTRY_SERVER_healthy_thresholds</t>
  </si>
  <si>
    <t>schemaregistry (Service-Wide)</t>
  </si>
  <si>
    <t>Warning: 99.99 
Critical: 49.99</t>
  </si>
  <si>
    <t>schema_registry_server.fd_thresholds</t>
  </si>
  <si>
    <t>Ranger Plugin Spool Directory Usage Thresholds for Schema Registry Server</t>
  </si>
  <si>
    <t>1.0 GiB</t>
  </si>
  <si>
    <t>streams_messaging_manager</t>
  </si>
  <si>
    <t>Streams Messaging Manager Rest Admin Server Logging Threshold</t>
  </si>
  <si>
    <t>Streams Messaging Manager Rest Admin Server</t>
  </si>
  <si>
    <t>streams_messaging_manager_server_fd_thresholds</t>
  </si>
  <si>
    <t>Ranger Plugin Spool Directory Usage Thresholds for Streams Messaging Manager Rest Admin Server</t>
  </si>
  <si>
    <t>streams_messaging_manager_ui_fd_thresholds</t>
  </si>
  <si>
    <t>Streams Messaging Manager UI Server</t>
  </si>
  <si>
    <t>streams_replication_manager</t>
  </si>
  <si>
    <t>Service Metric Migrator Minimum Consecutive Successful Checks</t>
  </si>
  <si>
    <t>streams.replication.manager.migration.monitor.min.consecutive.successful.checks</t>
  </si>
  <si>
    <t>SRM Service</t>
  </si>
  <si>
    <t>SRM Driver Logging Threshold</t>
  </si>
  <si>
    <t>SRM Driver</t>
  </si>
  <si>
    <t>SRM Service Logging Threshold</t>
  </si>
  <si>
    <t>Healthy SRM Service Monitoring Thresholds</t>
  </si>
  <si>
    <t>STREAMS_REPLICATION_MANAGER_SRM_SERVICE_healthy_thresholds</t>
  </si>
  <si>
    <t>streams_replication_manager (Service-Wide)</t>
  </si>
  <si>
    <t>Warning: 94.99 
Critical: 49.99</t>
  </si>
  <si>
    <t>Healthy SRM Driver Monitoring Thresholds</t>
  </si>
  <si>
    <t>STREAMS_REPLICATION_MANAGER_SRM_DRIVER_healthy_thresholds</t>
  </si>
  <si>
    <t>streams_replication_manager_driver_fd_thresholds</t>
  </si>
  <si>
    <t>streams_replication_manager_service_fd_thresholds</t>
  </si>
  <si>
    <t>stub_dfs</t>
  </si>
  <si>
    <t>Storage Operations Logging Threshold</t>
  </si>
  <si>
    <t>Storage Operations Default Group</t>
  </si>
  <si>
    <t>Cloudera Manager Agentのログディレクトリ空き容量の絶対値を監視する閾値であり、空き容量が少なくなるとログ出力停止や監視不能になるため、その予兆を検知する。</t>
  </si>
  <si>
    <t>Warning: 2 iB,
Critical: 1 GiB</t>
  </si>
  <si>
    <t>ログディレクトリ空き容量を割合で監視するための設定だが、本設定では使用されておらず絶対値監視のみ有効となっている。</t>
  </si>
  <si>
    <t>Warning: Never,
Critical: Never</t>
  </si>
  <si>
    <t>Cloudera Manager Agentのプロセスディレクトリ空き容量の絶対値を監視し、プロセス実行領域不足による障害を未然に防ぐための閾値。</t>
  </si>
  <si>
    <t>Warning: 200 MiB,
Critical: 100 MiB</t>
  </si>
  <si>
    <t>プロセスディレクトリの空き容量割合監視設定だが、本環境では未使用となっている。</t>
  </si>
  <si>
    <t>Parcelディレクトリの空き容量を監視する閾値であり、ソフトウェア配布や更新領域不足の防止を目的とする。</t>
  </si>
  <si>
    <t>Warning: 10 GiB,
Critical: 5 GiB</t>
  </si>
  <si>
    <t>Parcelディレクトリの空き容量割合による監視設定だが、本設定では未使用となっている。</t>
  </si>
  <si>
    <t>ホストのネットワークフレームエラー発生率を監視する閾値であり、通信品質劣化やNIC異常の検知を目的とする。</t>
  </si>
  <si>
    <t>Warning: Any,
Critical: 0.5</t>
  </si>
  <si>
    <t>ネットワークインターフェースが低速モードで動作している状態を検知するための閾値であり、リンク品質低下を把握するための指標。</t>
  </si>
  <si>
    <t>Warning: Any,
Critical: Never</t>
  </si>
  <si>
    <t>ホスト全体のSwap使用量を監視する閾値であり、メモリ不足による性能劣化の兆候を検知する。</t>
  </si>
  <si>
    <t>Warning: 200,
Critical: Never</t>
  </si>
  <si>
    <t>各プロセス単位のSwap使用量を監視する閾値であり、特定プロセスのメモリ逼迫状況を把握する。</t>
  </si>
  <si>
    <t>ホストのエントロピー量を監視する閾値であり、乱数不足によるセキュリティ処理遅延のリスクを検知する。</t>
  </si>
  <si>
    <t>Warning: 100,
Critical: 50</t>
  </si>
  <si>
    <t>ホストに対するヘルスアラートの有効／無効を制御する設定であり、本設定では無効化されているため自動アラートは発報されない。</t>
  </si>
  <si>
    <t>ホスト単位でのカスタムアラート条件を定義する設定だが、本環境では未定義となっている。</t>
  </si>
  <si>
    <t>[ ]</t>
  </si>
  <si>
    <t>Cloudera Manager AgentのTLS証明書の有効期限を監視する閾値であり、期限切れによる通信障害を未然に防ぐ。</t>
  </si>
  <si>
    <t>Warning: 60 day(s),
Critical: 7 day(s)</t>
  </si>
  <si>
    <t>DNS名前解決に要する時間を監視する閾値であり、名前解決遅延による接続遅延の検知を目的とする。</t>
  </si>
  <si>
    <t>Warning: 1 second(s),
Critical: Never</t>
  </si>
  <si>
    <t>ホスト間の時刻同期のズレを監視する閾値であり、時間差が大きくなると分散処理の整合性に影響するためその異常を検知する。</t>
  </si>
  <si>
    <t>Warning: 3 second(s),
Critical: 10 second(s)</t>
  </si>
  <si>
    <t>メモリのオーバーコミット率を監視する閾値であり、物理メモリ以上の割当が過剰になっていないかを確認するための指標。</t>
  </si>
  <si>
    <t>Knox Gatewayのログ出力レベルを設定する項目であり、INFOレベルで通常運用ログを出力する。</t>
  </si>
  <si>
    <t>Knox IDBroker Loggin Threshold</t>
  </si>
  <si>
    <t>Knox IDBrokerのログ出力レベルを設定する項目であり、INFOレベルで通常ログを出力する。</t>
  </si>
  <si>
    <t>Knoxサービス全体のヘルスアラートを有効化する設定であり、サービス単位での異常検知を行う。</t>
  </si>
  <si>
    <t>Knoxサービスにおけるカスタムトリガー設定項目であり、本環境では未定義のため標準監視のみ使用される。</t>
  </si>
  <si>
    <t>Knox IDBrokerの健全ノード割合を監視する閾値であり、一定割合を下回るとサービスの可用性低下として検知する。</t>
  </si>
  <si>
    <t>Warning:  99.9
Critical:  49.9</t>
  </si>
  <si>
    <t>Knox Gatewayの健全ノード割合を監視する閾値であり、稼働率低下によるサービス影響を検知する。</t>
  </si>
  <si>
    <t>Knox Gatewayロールにおけるヘルスアラート有効化設定であり、個別コンポーネント単位で監視を有効とする。</t>
  </si>
  <si>
    <t>Knox IDBrokerロールにおけるヘルスアラート有効化設定であり、個別サービスの異常検知を可能にする。</t>
  </si>
  <si>
    <t>Knox Gatewayのファイルディスクリプタ使用率を監視する閾値であり、接続数増加によるリソース枯渇を検知する。</t>
  </si>
  <si>
    <t>Warning:  50.0
Critical:  70.0</t>
  </si>
  <si>
    <t>Knox Gatewayのログディレクトリ空き容量を監視する閾値であり、ディスク容量不足によるログ出力停止を防止する。</t>
  </si>
  <si>
    <t>Warning:  10GiB
Critical:  5GiB</t>
  </si>
  <si>
    <t>Knox IDBrokerのログディレクトリ空き容量を監視する閾値であり、サービス継続性確保のためにディスク枯渇を検知する。</t>
  </si>
  <si>
    <t>ログディレクトリ空き容量の割合での監視設定だが、本構成では未使用となっている。</t>
  </si>
  <si>
    <t>IDBrokerのログディレクトリ空き容量割合監視だが、本設定では無効化されている。</t>
  </si>
  <si>
    <t>Knox Gatewayのプロセス異常終了を監視する閾値であり、異常終了発生時にサービス障害として検知する。</t>
  </si>
  <si>
    <t>Knox IDBrokerのプロセス異常終了を監視する閾値であり、サービス停止の兆候を検知する。</t>
  </si>
  <si>
    <t>Knox Gatewayのロール単位トリガー設定だが、本環境では未定義となっている。</t>
  </si>
  <si>
    <t>Knox IDBrokerのロール単位トリガー設定だが、本環境では未定義となっている。</t>
  </si>
  <si>
    <t>Knox Gatewayのスワップメモリ使用量を監視する閾値であり、メモリ不足による性能劣化を検知する。</t>
  </si>
  <si>
    <t>Warning: 200B
Critical: Never</t>
  </si>
  <si>
    <t>Knox IDBrokerのスワップメモリ使用量を監視する閾値であり、メモリ逼迫状態を把握する。</t>
  </si>
  <si>
    <t>Knox Gatewayのスワップ使用量変化率を監視する設定だが、本環境では未使用となっている。</t>
  </si>
  <si>
    <t>Knox IDBrokerのスワップ使用量変化率監視だが、閾値未設定のため監視対象外となっている。</t>
  </si>
  <si>
    <t>Knox GatewayのRanger Plugin Spoolディレクトリ使用量を監視する閾値であり、認可情報配布遅延を検知する。</t>
  </si>
  <si>
    <t>1GiB</t>
  </si>
  <si>
    <t>Knox IDBrokerのファイルディスクリプタ使用率を監視する閾値であり、接続数増加によるリソース枯渇を検知する。</t>
  </si>
  <si>
    <t>Healthy Server Monitoring Thresholds</t>
  </si>
  <si>
    <t>ZooKeeperの健全ノード割合を監視する閾値であり、一定割合を下回るとクラスタの可用性低下として検知する。</t>
  </si>
  <si>
    <t>Warning:  99.0
Critical:  51.0</t>
  </si>
  <si>
    <t>Server Default Group</t>
  </si>
  <si>
    <t>ZooKeeperのリクエスト最大レイテンシを監視する閾値であり、処理遅延の発生を検知する。</t>
  </si>
  <si>
    <t>Warning:  75.0
Critical:  100.0</t>
  </si>
  <si>
    <t>ZooKeeper Server Connection Count Thresholds</t>
  </si>
  <si>
    <t>zookeeper_server_connection_count_thresholds</t>
  </si>
  <si>
    <t>ZooKeeperのファイルディスクリプタ使用率を監視する閾値であり、接続過多によるリソース逼迫を検知する。</t>
  </si>
  <si>
    <t>ZooKeeper Server Outstanding Requests Thresholds</t>
  </si>
  <si>
    <t>zookeeper_server_outstanding_requests_thresholds</t>
  </si>
  <si>
    <t>ZooKeeperのログディレクトリ空き容量を監視する閾値であり、ディスク枯渇によるサービス停止を防止する。</t>
  </si>
  <si>
    <t>zookeeper_server_fd_thresholds</t>
  </si>
  <si>
    <t>ZooKeeperのログディレクトリ空き容量の割合監視設定だが、本環境では未使用となっている。</t>
  </si>
  <si>
    <t>Heap Dumpディレクトリの空き容量を監視する閾値であり、障害解析用データの保存不可状態を防止する。</t>
  </si>
  <si>
    <t>Heap Dumpディレクトリ空き容量の割合監視設定だが、本設定では未使用となっている。</t>
  </si>
  <si>
    <t>ZooKeeperプロセスの異常終了を監視する閾値であり、発生時はサービス障害として検知する。</t>
  </si>
  <si>
    <t>ZooKeeperのスワップメモリ使用量を監視する閾値であり、メモリ不足の兆候を把握する。</t>
  </si>
  <si>
    <t>ZooKeeperのスワップ使用量の増加速度を監視する設定だが、本環境では使用されていない。</t>
  </si>
  <si>
    <t>ZooKeeperのGC処理時間を監視する閾値であり、処理遅延やメモリ負荷増大を検知する。</t>
  </si>
  <si>
    <t>Warning:  200B
Critical:  Never</t>
  </si>
  <si>
    <t>ZooKeeperのデータディレクトリ空き容量を監視する閾値であり、ストレージ不足によるサービス停止を防止する。</t>
  </si>
  <si>
    <t>zookeeper_server_gc_duration_thresholds</t>
  </si>
  <si>
    <t>データディレクトリ空き容量の割合監視設定だが、本設定では未使用となっている。</t>
  </si>
  <si>
    <t>Warning:  30.0
Critical:  60.0</t>
  </si>
  <si>
    <t>トランザクションログディレクトリの空き容量を監視する閾値であり、ログ書き込み停止リスクを検知する。</t>
  </si>
  <si>
    <t>トランザクションログディレクトリ空き容量の割合監視設定だが未使用となっている。</t>
  </si>
  <si>
    <t>サービスレベルのヘルスアラートを有効化する設定であり、異常検知を全体で有効にする。</t>
  </si>
  <si>
    <t>サービス全体のカスタムトリガー設定だが、本環境では未定義となっている。</t>
  </si>
  <si>
    <t>nifi-NIFI-BASE</t>
  </si>
  <si>
    <t>NiFi Flow File Repository Status Threshold Warning</t>
  </si>
  <si>
    <t>nifi.flowfile.repository.status.threshold.warning</t>
  </si>
  <si>
    <t>NiFi Node Default Group</t>
  </si>
  <si>
    <t>NiFi Flow File Repository Status Threshold Failure</t>
  </si>
  <si>
    <t>nifi.flowfile.repository.status.threshold.failure</t>
  </si>
  <si>
    <t>NiFi Content Repository Status Threshold Warning</t>
  </si>
  <si>
    <t>nifi.content.repository.status.threshold.warning</t>
  </si>
  <si>
    <t>NiFi Content Repository Status Threshold Failure</t>
  </si>
  <si>
    <t>nifi.content.repository.status.threshold.failure</t>
  </si>
  <si>
    <t>NiFi Provenance Repository Status Threshold Warning</t>
  </si>
  <si>
    <t>nifi.provenance.repository.status.threshold.warning</t>
  </si>
  <si>
    <t>NiFi Provenance Repository Status Threshold Failure</t>
  </si>
  <si>
    <t>nifi.provenance.repository.status.threshold.failure</t>
  </si>
  <si>
    <t>Monitor Long Running Task Threshold</t>
  </si>
  <si>
    <t>nifi.monitor.long.running.task.threshold</t>
  </si>
  <si>
    <t>blank</t>
  </si>
  <si>
    <t>Token requests per second threshold</t>
  </si>
  <si>
    <t>nifi.web.max.access.token.requests.per.second</t>
  </si>
  <si>
    <t>Analytics - Connection Model Score Threshold</t>
  </si>
  <si>
    <t>nifi.analytics.connection.model.score.threshold</t>
  </si>
  <si>
    <t>Queue swap threshold</t>
  </si>
  <si>
    <t>nifi.queue.swap.threshold</t>
  </si>
  <si>
    <t>NiFi Node Logging Threshold</t>
  </si>
  <si>
    <t>nifi-NIFI-BASE (Service-Wide)</t>
  </si>
  <si>
    <t>Healthy NiFi Node Monitoring Thresholds</t>
  </si>
  <si>
    <t>NIFI_NIFI_NODE_healthy_thresholds</t>
  </si>
  <si>
    <t>Warning:  99.9
Critical:  99.9</t>
  </si>
  <si>
    <t>nifi_node_fd_thresholds</t>
  </si>
  <si>
    <t>Warning:  200B
Critical: Never</t>
  </si>
  <si>
    <t>nifiregistry</t>
  </si>
  <si>
    <t>NiFi Registry Logging Threshold</t>
  </si>
  <si>
    <t>NiFi Registry Default Group</t>
  </si>
  <si>
    <t>nifiregistry (Service-Wide)</t>
  </si>
  <si>
    <t>Enable Healts Alerts for this Role</t>
  </si>
  <si>
    <t>NiFi Registry Derault Group</t>
  </si>
  <si>
    <t>nifi_registry_server_fd_thresholds</t>
  </si>
  <si>
    <t>Schema Registry Server Default Group</t>
  </si>
  <si>
    <t>(Service-Wide)</t>
  </si>
  <si>
    <t>Warning: 99.99
Critical: 49.99</t>
  </si>
  <si>
    <t>schema_registry_server_fd_thresholds</t>
  </si>
  <si>
    <t>Warning: 10GiB
Critical: 5GiB</t>
  </si>
  <si>
    <t>Warning: 2 GiB,
Critical: 1 GiB</t>
  </si>
  <si>
    <t>Warning: Any
Critical: 0.5</t>
  </si>
  <si>
    <t>Warning: Any
Critical: Never</t>
  </si>
  <si>
    <t>Warning: 200
Critical: Never</t>
  </si>
  <si>
    <t>Warning: 100
Critical: 50</t>
  </si>
  <si>
    <t>Warning: 60 day(s)
Critical: 7 day(s)</t>
  </si>
  <si>
    <t>Warning: 1 second(s)
Critical: Never</t>
  </si>
  <si>
    <t>Warning: 3 second(s)
Critical: 10 second(s)</t>
  </si>
  <si>
    <t>hdfs</t>
  </si>
  <si>
    <t>Rebalancing Threshold</t>
  </si>
  <si>
    <t>rebalancer.threshold</t>
  </si>
  <si>
    <t>Balancer Default Group</t>
  </si>
  <si>
    <t>Temporary Dump Directory</t>
  </si>
  <si>
    <t>dfs.nfs3.dump.dir</t>
  </si>
  <si>
    <t>NFS Gateway Default Group</t>
  </si>
  <si>
    <t>/tmp/.hdfs-nfs</t>
  </si>
  <si>
    <t>Safemode Extension</t>
  </si>
  <si>
    <t>dfs.safemode.extension</t>
  </si>
  <si>
    <t>NameNode Default Group</t>
  </si>
  <si>
    <t>30 second(s)</t>
  </si>
  <si>
    <t>Client Idle Threshold</t>
  </si>
  <si>
    <t>ipc.client.idlethreshold</t>
  </si>
  <si>
    <t>hdfs (Service-Wide)</t>
  </si>
  <si>
    <t>Available Space Policy Balanced Threshold</t>
  </si>
  <si>
    <t>dfs.datanode.available-space-volume-choosing-policy.balanced-space-threshold</t>
  </si>
  <si>
    <t>DataNode Default Group</t>
  </si>
  <si>
    <t>10 GiB</t>
  </si>
  <si>
    <t>Filesystem Checkpoint Transaction Threshold</t>
  </si>
  <si>
    <t>fs.checkpoint.txns</t>
  </si>
  <si>
    <t>Balancer Logging Threshold</t>
  </si>
  <si>
    <t>DataNode Logging Threshold</t>
  </si>
  <si>
    <t>Failover Controller Logging Threshold</t>
  </si>
  <si>
    <t>Failover Controller Default Group</t>
  </si>
  <si>
    <t>HttpFS Logging Threshold</t>
  </si>
  <si>
    <t>HttpFS Default Group</t>
  </si>
  <si>
    <t>JournalNode Logging Threshold</t>
  </si>
  <si>
    <t>JournalNode Default Group</t>
  </si>
  <si>
    <t>NFS Gateway Logging Threshold</t>
  </si>
  <si>
    <t>NameNode Block State Change Logging Threshold</t>
  </si>
  <si>
    <t>namenode_blockstatechange_log_threshold</t>
  </si>
  <si>
    <t>ERROR</t>
  </si>
  <si>
    <t>NameNode State Change Logging Threshold</t>
  </si>
  <si>
    <t>namenode_statechange_log_threshold</t>
  </si>
  <si>
    <t>NameNode Logging Threshold</t>
  </si>
  <si>
    <t>SecondaryNameNode Logging Threshold</t>
  </si>
  <si>
    <t>SecondaryNameNode Default Group</t>
  </si>
  <si>
    <t>Blocks With Corrupt Replicas Monitoring Thresholds</t>
  </si>
  <si>
    <t>hdfs_blocks_with_corrupt_replicas_thresholds</t>
  </si>
  <si>
    <t>Warning: 0.5 
Critical: 1.0</t>
  </si>
  <si>
    <t>Missing Block Monitoring Thresholds</t>
  </si>
  <si>
    <t>hdfs_missing_blocks_thresholds</t>
  </si>
  <si>
    <t>Under-replicated Block Monitoring Thresholds</t>
  </si>
  <si>
    <t>hdfs_under_replicated_blocks_thresholds</t>
  </si>
  <si>
    <t>Warning: 10.0 
Critical: 40.0</t>
  </si>
  <si>
    <t>HDFS Free Space Monitoring Thresholds</t>
  </si>
  <si>
    <t>hdfs_free_space_thresholds</t>
  </si>
  <si>
    <t>Warning: 20.0 
Critical: 10.0</t>
  </si>
  <si>
    <t>Enabled</t>
  </si>
  <si>
    <t>Healthy DataNode Monitoring Thresholds</t>
  </si>
  <si>
    <t>hdfs_datanodes_healthy_thresholds</t>
  </si>
  <si>
    <t>Warning: 95.0 
Critical: 90.0</t>
  </si>
  <si>
    <t>Rules to Extract Events from Log Files</t>
  </si>
  <si>
    <t>log_event_whitelist</t>
  </si>
  <si>
    <t>(JSON rules configured)</t>
  </si>
  <si>
    <t>DataNode Free Space Monitoring Thresholds</t>
  </si>
  <si>
    <t>datanode_free_space_thresholds</t>
  </si>
  <si>
    <t>DataNode Transceivers Usage Thresholds</t>
  </si>
  <si>
    <t>datanode_transceivers_usage_thresholds</t>
  </si>
  <si>
    <t>Warning: 75.0 
Critical: 95.0</t>
  </si>
  <si>
    <t>DataNode Volume Failures Thresholds</t>
  </si>
  <si>
    <t>datanode_volume_failures_thresholds</t>
  </si>
  <si>
    <t>DataNode Block Count Thresholds</t>
  </si>
  <si>
    <t>datanode_block_count_thresholds</t>
  </si>
  <si>
    <t>Warning: 1000000.0 
Critical: Never</t>
  </si>
  <si>
    <t>Navigator Audit Failure Thresholds</t>
  </si>
  <si>
    <t>mgmt_navigator_failure_thresholds</t>
  </si>
  <si>
    <t>datanode_fd_thresholds</t>
  </si>
  <si>
    <t>Web Metric Collection Duration</t>
  </si>
  <si>
    <t>datanode_web_metric_collection_thresholds</t>
  </si>
  <si>
    <t>Warning: 10 second(s) 
Critical: Never</t>
  </si>
  <si>
    <t>Pause Duration Thresholds</t>
  </si>
  <si>
    <t>datanode_pause_duration_thresholds</t>
  </si>
  <si>
    <t>DataNode Data Directory Free Space Monitoring Absolute Thresholds</t>
  </si>
  <si>
    <t>datanode_data_directories_free_space_absolute_thresholds</t>
  </si>
  <si>
    <t>DataNode Data Directory Free Space Monitoring Percentage Thresholds</t>
  </si>
  <si>
    <t>datanode_data_directories_free_space_percentage_thresholds</t>
  </si>
  <si>
    <t>failovercontroller_fd_thresholds</t>
  </si>
  <si>
    <t>httpfs_fd_thresholds</t>
  </si>
  <si>
    <t>JournalNode Fsync Latency Thresholds</t>
  </si>
  <si>
    <t>journalnode_fsync_latency_thresholds</t>
  </si>
  <si>
    <t>Warning: 1 second(s) 
Critical: 3 second(s)</t>
  </si>
  <si>
    <t>journalnode_fd_thresholds</t>
  </si>
  <si>
    <t>journalnode_web_metric_collection_thresholds</t>
  </si>
  <si>
    <t>journalnode_gc_duration_thresholds</t>
  </si>
  <si>
    <t>JournalNode Edits Directory Free Space Monitoring Absolute Thresholds</t>
  </si>
  <si>
    <t>journalnode_edits_directory_free_space_absolute_thresholds</t>
  </si>
  <si>
    <t>JournalNode Edits Directory Free Space Monitoring Percentage Thresholds</t>
  </si>
  <si>
    <t>journalnode_edits_directory_free_space_percentage_thresholds</t>
  </si>
  <si>
    <t>nfsgateway_fd_thresholds</t>
  </si>
  <si>
    <t>Temporary Dump Directory Free Space Monitoring Absolute Thresholds</t>
  </si>
  <si>
    <t>nfsgateway_dump_directory_free_space_absolute_thresholds</t>
  </si>
  <si>
    <t>Temporary Dump Directory Free Space Monitoring Percentage Thresholds</t>
  </si>
  <si>
    <t>nfsgateway_dump_directory_free_space_percentage_thresholds</t>
  </si>
  <si>
    <t>Filesystem Checkpoint Age Monitoring Thresholds</t>
  </si>
  <si>
    <t>namenode_checkpoint_age_thresholds</t>
  </si>
  <si>
    <t>Warning: 200.0 
Critical: 400.0</t>
  </si>
  <si>
    <t>Filesystem Checkpoint Transactions Monitoring Thresholds</t>
  </si>
  <si>
    <t>namenode_checkpoint_transactions_thresholds</t>
  </si>
  <si>
    <t>NameNode RPC Latency Thresholds</t>
  </si>
  <si>
    <t>namenode_rpc_latency_thresholds</t>
  </si>
  <si>
    <t>Warning: 1 second(s) 
Critical: 5 second(s)</t>
  </si>
  <si>
    <t>NameNode Directory Failures Thresholds</t>
  </si>
  <si>
    <t>namenode_directory_failures_thresholds</t>
  </si>
  <si>
    <t>NameNode Out-Of-Sync JournalNodes Thresholds</t>
  </si>
  <si>
    <t>namenode_out_of_sync_journal_nodes_thresholds</t>
  </si>
  <si>
    <t>namenode_fd_thresholds</t>
  </si>
  <si>
    <t>namenode_web_metric_collection_thresholds</t>
  </si>
  <si>
    <t>namenode_pause_duration_thresholds</t>
  </si>
  <si>
    <t>Ranger Plugin Spool Directory Usage Thresholds for NameNode</t>
  </si>
  <si>
    <t>NameNode Data Directories Free Space Monitoring Absolute Thresholds</t>
  </si>
  <si>
    <t>namenode_data_directories_free_space_absolute_thresholds</t>
  </si>
  <si>
    <t>NameNode Data Directories Free Space Monitoring Percentage Thresholds</t>
  </si>
  <si>
    <t>namenode_data_directories_free_space_percentage_thresholds</t>
  </si>
  <si>
    <t>secondarynamenode_fd_thresholds</t>
  </si>
  <si>
    <t>secondarynamenode_web_metric_collection_thresholds</t>
  </si>
  <si>
    <t>secondarynamenode_gc_duration_thresholds</t>
  </si>
  <si>
    <t>HDFS Checkpoint Directories Free Space Monitoring Absolute Thresholds</t>
  </si>
  <si>
    <t>secondarynamenode_checkpoint_directories_free_space_absolute_thresholds</t>
  </si>
  <si>
    <t>HDFS Checkpoint Directories Free Space Monitoring Percentage Thresholds</t>
  </si>
  <si>
    <t>secondarynamenode_checkpoint_directories_free_space_percentage_thresholds</t>
  </si>
  <si>
    <t>Safemode Threshold Percentage</t>
  </si>
  <si>
    <t>dfs_safemode_threshold_pct</t>
  </si>
  <si>
    <t>hue</t>
  </si>
  <si>
    <t>hue (Service-Wide)</t>
  </si>
  <si>
    <t>Healthy Hue Server Monitoring Thresholds</t>
  </si>
  <si>
    <t>hue_hue_servers_healthy_thresholds</t>
  </si>
  <si>
    <t>Warning: 99.0 Critical: 51.0</t>
  </si>
  <si>
    <t>Healthy Kerberos Ticket Renewer Monitoring Thresholds</t>
  </si>
  <si>
    <t>hue_kt_renewers_healthy_thresholds</t>
  </si>
  <si>
    <t>Healthy Load Balancer Monitoring Thresholds</t>
  </si>
  <si>
    <t>hue_load_balancers_healthy_thresholds</t>
  </si>
  <si>
    <t>Hue Server Default Group</t>
  </si>
  <si>
    <t>Warning: Never Critical: Any</t>
  </si>
  <si>
    <t>hue_server_fd_thresholds</t>
  </si>
  <si>
    <t>Warning: 50.0 Critical: 70.0</t>
  </si>
  <si>
    <t>Warning: 10 GiB Critical: 5 GiB</t>
  </si>
  <si>
    <t>Warning: Never Critical: Never</t>
  </si>
  <si>
    <t>Warning: 200 B Critical: Never</t>
  </si>
  <si>
    <t>Web Metric Collection Duration Thresholds</t>
  </si>
  <si>
    <t>hue_server_web_metric_collection_thresholds</t>
  </si>
  <si>
    <t>Warning: 10 second(s) Critical: Never</t>
  </si>
  <si>
    <t>kt_renewer_fd_thresholds</t>
  </si>
  <si>
    <t>Kerberos Ticket Renewer Default Group</t>
  </si>
  <si>
    <t>hue_load_balancer_fd_thresholds</t>
  </si>
  <si>
    <t>Load Balancer Default Group</t>
  </si>
  <si>
    <t>impala</t>
  </si>
  <si>
    <t>Fair Scheduler Allocations (Deployed)</t>
  </si>
  <si>
    <t>impala_scheduler_allocations</t>
  </si>
  <si>
    <t>impala (Service-Wide)</t>
  </si>
  <si>
    <t>Fair Scheduler割当状態（デプロイ済）</t>
  </si>
  <si>
    <t>(defaultFairSharePreemptionThreshold=null, defaultFairSharePreemptionTimeout=null, defaultMinSharePreemptionTimeout=null, defaultQueueSchedulingPolicy=null, queueMaxAMShareDefault=null, queueMaxAppsDefault=null)</t>
  </si>
  <si>
    <t>Fair Scheduler Allocations (Staged)</t>
  </si>
  <si>
    <t>impala_scheduler_allocations_draft</t>
  </si>
  <si>
    <t>Fair Scheduler割当状態（ステージング済）</t>
  </si>
  <si>
    <t>{"maxAMShare":null,"maxChildResources":null,"maxResources":null,"maxRunningApps":null,"minResources":null,"scheduleName":"default","weight":1.0}</t>
  </si>
  <si>
    <t>Impala Catalog Server Logging Threshold</t>
  </si>
  <si>
    <t>Impala Catalog Server</t>
  </si>
  <si>
    <t>ログ出力状態・設定監視</t>
  </si>
  <si>
    <t>Catalog Server Verbose Log Level</t>
  </si>
  <si>
    <t>log_verbose_level</t>
  </si>
  <si>
    <t>Catalog Serverの詳細ログ出力設定</t>
  </si>
  <si>
    <t>Impala Daemon Logging Threshold</t>
  </si>
  <si>
    <t>Impala Daemon</t>
  </si>
  <si>
    <t>Impala Daemon Verbose Log Level</t>
  </si>
  <si>
    <t>詳細ログ出力設定</t>
  </si>
  <si>
    <t>Impala StateStore Logging Threshold</t>
  </si>
  <si>
    <t>Impala StateStore</t>
  </si>
  <si>
    <t>StateStore Verbose Log Level</t>
  </si>
  <si>
    <t>Healthy Impala Daemon Monitoring Thresholds</t>
  </si>
  <si>
    <t>impala_impalads_healthy_thresholds</t>
  </si>
  <si>
    <t>稼働状態監視（一般設定）</t>
  </si>
  <si>
    <t>Healthy Impala Llama ApplicationMaster Monitoring Thresholds</t>
  </si>
  <si>
    <t>impala_llamas_healthy_thresholds</t>
  </si>
  <si>
    <t>Healthy Impala Catalog Server Monitoring Thresholds</t>
  </si>
  <si>
    <t>impala_catalogserver_healthy_thresholds</t>
  </si>
  <si>
    <t>サーバーの稼働状態監視</t>
  </si>
  <si>
    <t>Warning: 99.0 
Critical: 1.0</t>
  </si>
  <si>
    <t>Healthy Impala StateStore Monitoring Thresholds</t>
  </si>
  <si>
    <t>impala_statestore_healthy_thresholds</t>
  </si>
  <si>
    <t>Impala Catalog Server + Impala Daemon + Impala StateStore</t>
  </si>
  <si>
    <t>監査（オーディット）ログの失敗イベント</t>
  </si>
  <si>
    <t>catalogserver_fd_thresholds</t>
  </si>
  <si>
    <t>プロセスのファイルディスクリプタ使用率</t>
  </si>
  <si>
    <t>空き容量（絶対値）</t>
  </si>
  <si>
    <t>空き容量割合（%）</t>
  </si>
  <si>
    <t>プロセスの異常終了（予期せぬ停止）</t>
  </si>
  <si>
    <t>プロセスのスワップメモリ使用量</t>
  </si>
  <si>
    <t>スワップメモリ使用量の変化率（増加速度）</t>
  </si>
  <si>
    <t>catalogserver_web_metric_collection_thresholds</t>
  </si>
  <si>
    <t>Webメトリック収集の所要時間</t>
  </si>
  <si>
    <t>Resident Set Size Thresholds</t>
  </si>
  <si>
    <t>process_resident_set_size_thresholds</t>
  </si>
  <si>
    <t>物理メモリ使用量（RSS: Resident Set Size）</t>
  </si>
  <si>
    <t>Ranger Plugin Spool Directory Usage Thresholds for Impala Catalog Server</t>
  </si>
  <si>
    <t>Rangerプラグインのスプールディレクトリ使用量</t>
  </si>
  <si>
    <t>Impala Daemon Concurrent Client Connections Monitoring Percentage Thresholds</t>
  </si>
  <si>
    <t>impalad_frontend_connections_thresholds</t>
  </si>
  <si>
    <t>同時クライアント接続数の監視割合（%）</t>
  </si>
  <si>
    <t>Warning: 80.0 
Critical: 95.0</t>
  </si>
  <si>
    <t>Query Monitoring Failures Thresholds</t>
  </si>
  <si>
    <t>impala_query_monitoring_failure_thresholds</t>
  </si>
  <si>
    <t>クエリ監視の失敗イベント</t>
  </si>
  <si>
    <t>impalad_fd_thresholds</t>
  </si>
  <si>
    <t>impalad_web_metric_collection_thresholds</t>
  </si>
  <si>
    <t>impalad_pause_duration_thresholds</t>
  </si>
  <si>
    <t>一時停止（ポーズ）の所要時間</t>
  </si>
  <si>
    <t>Ranger Plugin Spool Directory Usage Thresholds for Impala Daemon</t>
  </si>
  <si>
    <t>Impala Daemon Scratch Directories Free Space Monitoring Absolute Thresholds</t>
  </si>
  <si>
    <t>impalad_scratch_directories_free_space_absolute_thresholds</t>
  </si>
  <si>
    <t>Impala Daemon Scratch Directories Free Space Monitoring Percentage Thresholds</t>
  </si>
  <si>
    <t>impalad_scratch_directories_free_space_percentage_thresholds</t>
  </si>
  <si>
    <t>statestore_fd_thresholds</t>
  </si>
  <si>
    <t>statestore_web_metric_collection_thresholds</t>
  </si>
  <si>
    <t/>
  </si>
  <si>
    <t>kudu</t>
  </si>
  <si>
    <t>Healthy Master Monitoring Thresholds</t>
  </si>
  <si>
    <t>KUDU_KUDU_MASTER_healthy_thresholds</t>
  </si>
  <si>
    <t>kudu (Service-Wide)</t>
  </si>
  <si>
    <t>Warning: 80.1 
Critical: 60.0</t>
  </si>
  <si>
    <t>Healthy Tablet Server Monitoring Thresholds</t>
  </si>
  <si>
    <t>KUDU_KUDU_TSERVER_healthy_thresholds</t>
  </si>
  <si>
    <t>Warning: 75.0 
Critical: 50.0</t>
  </si>
  <si>
    <t>kudu_master_fd_thresholds</t>
  </si>
  <si>
    <t>Master</t>
  </si>
  <si>
    <t>Master + Tablet Server</t>
  </si>
  <si>
    <t>Ranger Plugin Spool Directory Usage Thresholds for Master</t>
  </si>
  <si>
    <t>kudu_tserver_fd_thresholds</t>
  </si>
  <si>
    <t>Tablet Server</t>
  </si>
  <si>
    <t>spark3_on_yarn</t>
  </si>
  <si>
    <t>Shell Logging Threshold</t>
  </si>
  <si>
    <t>spark.gateway.shell.logging.threshold</t>
  </si>
  <si>
    <t>Gateway</t>
  </si>
  <si>
    <t>WARN</t>
  </si>
  <si>
    <t>History Server Logging Threshold</t>
  </si>
  <si>
    <t>History Server</t>
  </si>
  <si>
    <t>Healthy History Server Monitoring Thresholds</t>
  </si>
  <si>
    <t>SPARK3_ON_YARN_SPARK3_YARN_HISTORY_SERVER_healthy_thresholds</t>
  </si>
  <si>
    <t>spark3_on_yarn (Service-Wide)</t>
  </si>
  <si>
    <t>Warning: 99.0 
Critical: 90.0</t>
  </si>
  <si>
    <t>spark3_yarn_history_server_fd_thresholds</t>
  </si>
  <si>
    <t>yarn</t>
  </si>
  <si>
    <t>Fair Scheduler Preemption Utilization Threshold</t>
  </si>
  <si>
    <t>yarn.scheduler.fair.preemption.cluster.utilization.threshold</t>
  </si>
  <si>
    <t>ResourceManager</t>
  </si>
  <si>
    <t>リソース使用率・活用状態</t>
  </si>
  <si>
    <t>yarn_fs_scheduler_allocations</t>
  </si>
  <si>
    <t>yarn (Service-Wide)</t>
  </si>
  <si>
    <t>(default FairSharePreemptionThreshold=null, defaultFairSharePreemptionTimeout=null, defaultMinSharePreemptionTimeout=null, defaultQueueSchedulingPolicy=null, queueMaxAMShareDefault=null, queueMaxAppsDefault=null, queuePlacement...)</t>
  </si>
  <si>
    <t>Disk Health Checker Disk Utilization Watermark Low Threshold Percentage</t>
  </si>
  <si>
    <t>yarn.nodemanager.disk-health-checker.disk-utilization-watermark-low-per-disk-percentage</t>
  </si>
  <si>
    <t>NodeManager</t>
  </si>
  <si>
    <t>User Remapping UID Threshold for Docker Containers</t>
  </si>
  <si>
    <t>yarn.nodemanager.runtime.linux.docker.userremapping.uid.threshold</t>
  </si>
  <si>
    <t>Dockerコンテナ用のユーザーID（UID）設定</t>
  </si>
  <si>
    <t>User Remapping GID Threshold for Docker Containers</t>
  </si>
  <si>
    <t>yarn.nodemanager.runtime.linux.docker.userremapping.gid.threshold</t>
  </si>
  <si>
    <t>Dockerコンテナ用のグループID（GID）設定</t>
  </si>
  <si>
    <t>JobHistory Server Logging Threshold</t>
  </si>
  <si>
    <t>JobHistory Server</t>
  </si>
  <si>
    <t>NodeManager Logging Threshold</t>
  </si>
  <si>
    <t>ResourceManager Logging Threshold</t>
  </si>
  <si>
    <t>Healthy NodeManager Monitoring Thresholds</t>
  </si>
  <si>
    <t>yarn_nodemanagers_healthy_thresholds</t>
  </si>
  <si>
    <t>NodeManagerの健全ノード割合（稼働率）</t>
  </si>
  <si>
    <t>jobhistory_fd_thresholds</t>
  </si>
  <si>
    <t>jobhistory_web_metric_collection_thresholds</t>
  </si>
  <si>
    <t>jobhistory_gc_duration_thresholds</t>
  </si>
  <si>
    <t>Javaのガベージコレクション（GC）の所要時間</t>
  </si>
  <si>
    <t>nodemanager_fd_thresholds</t>
  </si>
  <si>
    <t>nodemanager_web_metric_collection_thresholds</t>
  </si>
  <si>
    <t>nodemanager_gc_duration_thresholds</t>
  </si>
  <si>
    <t>NodeManager Local Directories Free Space Monitoring Absolute Thresholds</t>
  </si>
  <si>
    <t>nodemanager_local_data_directories_free_space_absolute_thresholds</t>
  </si>
  <si>
    <t>NodeManager Local Directories Free Space Monitoring Percentage Thresholds</t>
  </si>
  <si>
    <t>nodemanager_local_data_directories_free_space_percentage_thresholds</t>
  </si>
  <si>
    <t>NodeManager Container Log Directories Free Space Monitoring Absolute Thresholds</t>
  </si>
  <si>
    <t>nodemanager_log_directories_free_space_absolute_thresholds</t>
  </si>
  <si>
    <t>NodeManager Container Log Directories Free Space Monitoring Percentage Thresholds</t>
  </si>
  <si>
    <t>nodemanager_log_directories_free_space_percentage_thresholds</t>
  </si>
  <si>
    <t>NodeManager Recovery Directory Free Space Monitoring Absolute Thresholds</t>
  </si>
  <si>
    <t>nodemanager_recovery_directory_free_space_absolute_thresholds</t>
  </si>
  <si>
    <t>NodeManager Recovery Directory Free Space Monitoring Percentage Thresholds</t>
  </si>
  <si>
    <t>nodemanager_recovery_directory_free_space_percentage_thresholds</t>
  </si>
  <si>
    <t>resourcemanager_fd_thresholds</t>
  </si>
  <si>
    <t>resourcemanager_web_metric_collection_thresholds</t>
  </si>
  <si>
    <t>resourcemanager_gc_duration_thresholds</t>
  </si>
  <si>
    <t>Ranger Plugin Spool Directory Usage Thresholds for ResourceManager</t>
  </si>
  <si>
    <t>Ubertask Maximum Maps</t>
  </si>
  <si>
    <t>mapreduce.job.ubertask.maxmaps</t>
  </si>
  <si>
    <t>最大マップタスク数</t>
  </si>
  <si>
    <t>Ubertask Maximum Reduces</t>
  </si>
  <si>
    <t>mapreduce.job.ubertask.maxreduces</t>
  </si>
  <si>
    <t>最大リデュースタスク数</t>
  </si>
  <si>
    <t>Ubertask Maximum Job Size</t>
  </si>
  <si>
    <t>mapreduce.job.ubertask.maxbytes</t>
  </si>
  <si>
    <t>最大ジョブサイズ制限</t>
  </si>
  <si>
    <t>0 B</t>
  </si>
  <si>
    <t>Fair Scheduler Node Locality Delay</t>
  </si>
  <si>
    <t>yarn.scheduler.fair.locality.delay.node.ms</t>
  </si>
  <si>
    <t>ノードローカリティ（データ近接性）の遅延判定設定</t>
  </si>
  <si>
    <t>2 second(s)</t>
  </si>
  <si>
    <t>Fair Scheduler Rack Locality Delay</t>
  </si>
  <si>
    <t>yarn.scheduler.fair.locality.delay.rack.ms</t>
  </si>
  <si>
    <t>ラックローカリティ（同一ラック内近接性）の遅延判定設定</t>
  </si>
  <si>
    <t>4 second(s)</t>
  </si>
  <si>
    <t>Fair Scheduler Node Locality Threshold</t>
  </si>
  <si>
    <t>resourcemanager_fair_scheduler_locality_threshold_node</t>
  </si>
  <si>
    <t>ノードローカリティ（同一ノード内データ処理）割合</t>
  </si>
  <si>
    <t>Fair Scheduler Rack Locality Threshold</t>
  </si>
  <si>
    <t>resourcemanager_fair_scheduler_locality_threshold_rack</t>
  </si>
  <si>
    <t>ラックローカリティ（同一ラック内データ処理）割合</t>
  </si>
  <si>
    <t>インシデント発生シナリオ</t>
  </si>
  <si>
    <t>起点</t>
  </si>
  <si>
    <t>事象</t>
  </si>
  <si>
    <t>インシデント区分</t>
  </si>
  <si>
    <t>直接要因</t>
  </si>
  <si>
    <t>対策（定常運用）</t>
  </si>
  <si>
    <t>Webアプリ</t>
  </si>
  <si>
    <t>画面に接続できない</t>
  </si>
  <si>
    <t>ネットワークエラー</t>
  </si>
  <si>
    <t>（ユーザー）</t>
  </si>
  <si>
    <t>画面が表示されない</t>
  </si>
  <si>
    <t>サーバーエラー</t>
  </si>
  <si>
    <t>ログインできない</t>
  </si>
  <si>
    <t>認証エラー（GAC / Entra ID）</t>
  </si>
  <si>
    <t>操作が実行できない</t>
  </si>
  <si>
    <t>アプリケーションエラー</t>
  </si>
  <si>
    <t>操作を実行しても結果が表示されない</t>
  </si>
  <si>
    <t>アプリケーションエラー or サーバーエラー or APIエラー or DBエラー</t>
  </si>
  <si>
    <t>操作を実行してから結果が表示されるまで時間がかかる</t>
  </si>
  <si>
    <t>エラーが表示される</t>
  </si>
  <si>
    <t>表示されたデータが古い</t>
  </si>
  <si>
    <t>データ連携遅延 / 停止</t>
  </si>
  <si>
    <t>表示されたデータがデータソースと異なっている</t>
  </si>
  <si>
    <t>データ連携エラー</t>
  </si>
  <si>
    <t>事業影響</t>
  </si>
  <si>
    <t>アプリによるデータ書き込み</t>
  </si>
  <si>
    <t>他販社のデータが表示されている</t>
  </si>
  <si>
    <t>販社コード設定ミス / 認証情報と認可情報の不整合 / Ranger権限設定ミス</t>
  </si>
  <si>
    <t>画面の動作が期待したものと異なる</t>
  </si>
  <si>
    <t>画面の表記・色が期待したものと異なる</t>
  </si>
  <si>
    <t>データインポートに失敗</t>
  </si>
  <si>
    <t>VWHエラー</t>
  </si>
  <si>
    <t>販社コード設定ミス / Ranger権限設定ミス</t>
  </si>
  <si>
    <t>アプリケーション</t>
  </si>
  <si>
    <t>実装時ミス</t>
  </si>
  <si>
    <t>（開発者）</t>
  </si>
  <si>
    <t>認証情報と認可情報の不整合</t>
  </si>
  <si>
    <t>データ連携停止</t>
  </si>
  <si>
    <t>OGGエラー / Kafkaエラー / NiFiエラー / Kuduエラー</t>
  </si>
  <si>
    <t>監視</t>
  </si>
  <si>
    <t>データ連携遅延</t>
  </si>
  <si>
    <t>データ量急増 / 経時劣化</t>
  </si>
  <si>
    <t>監視 / Atlasの一時停止 / Kafka永続化フローの一時停止 / 定期的な再起動</t>
  </si>
  <si>
    <t>ai21レベルアップ / データ完全性の欠如</t>
  </si>
  <si>
    <t>定期的なバージョンアップ確認</t>
  </si>
  <si>
    <t>APIエラー</t>
  </si>
  <si>
    <t>認証エラー / インターフェース違反 / レート制限超過 / リトライ回数超過</t>
  </si>
  <si>
    <t>APIM設定時ミス</t>
  </si>
  <si>
    <t>データマネジメント</t>
  </si>
  <si>
    <t>Ranger権限設定ミス</t>
  </si>
  <si>
    <t>ユーザー・グループ設定不備 / RLS・CLS設定不備 / リソース名不一致</t>
  </si>
  <si>
    <t>販社コード設定ミス</t>
  </si>
  <si>
    <t>データ連携設定ミス</t>
  </si>
  <si>
    <t>DBエラー</t>
  </si>
  <si>
    <t>DBサーバー停止 / 接続エラー / コネクション枯渇 / SQL構文エラー / デッドロック</t>
  </si>
  <si>
    <t>接続エラー / DNSエラー / TLS・SSLエラー / 通信帯域エラー</t>
  </si>
  <si>
    <t>5xx系・4xx系 / メモリ・CPU・スレッド / DB・ストレージ系</t>
  </si>
  <si>
    <t>セキュリティエラー</t>
  </si>
  <si>
    <t>認証エラー / 認可エラー / ファイアウォール / シークレット・鍵管理 / 攻撃起因</t>
  </si>
  <si>
    <t>Prisma Cloudアラート</t>
  </si>
  <si>
    <t>指摘事項対応</t>
  </si>
  <si>
    <t>認証エラー（Entra ID）</t>
  </si>
  <si>
    <t>パスワード期限切れ / アカウント無効 / IdP設定不一致</t>
  </si>
  <si>
    <t>製品バグ / バージョンミスマッチ</t>
  </si>
  <si>
    <t>定期的なバージョンアップ</t>
  </si>
  <si>
    <t>※このシートをコンポーネントごとに作成する想定（あるいは複数コンポーネントでまとめて使用）</t>
  </si>
  <si>
    <t>責任境界</t>
  </si>
  <si>
    <t>運用概要</t>
  </si>
  <si>
    <t>コンポーネント</t>
  </si>
  <si>
    <t>対象のコンポーネントを記載</t>
  </si>
  <si>
    <t>担当チーム</t>
  </si>
  <si>
    <t>担当チームを記載</t>
  </si>
  <si>
    <t>責任範囲</t>
  </si>
  <si>
    <t>責任範囲を記載（どこはこのチームの責任か？）：可用性、データの完全性、処理完了保証など</t>
  </si>
  <si>
    <t>非責任範囲</t>
  </si>
  <si>
    <t>非責任範囲を記載（どんな内容はこのチームの責任範囲ではないか？）</t>
  </si>
  <si>
    <t>境界条件</t>
  </si>
  <si>
    <t>どこから他チームになるかを記載</t>
  </si>
  <si>
    <t>定常運用</t>
  </si>
  <si>
    <t>インシデント対策としての運用の定義</t>
  </si>
  <si>
    <t>このクラスターに関する定常運用を記載（過去資料も参照可能？）</t>
  </si>
  <si>
    <t>単層者（チーム）</t>
  </si>
  <si>
    <t>担当者（チーム）</t>
  </si>
  <si>
    <t>インシデントフロー</t>
  </si>
  <si>
    <t>万が一インシデントが発生してしまった場合のアクションを記載</t>
  </si>
  <si>
    <t>エスカレーション定義</t>
  </si>
  <si>
    <t>レべル</t>
  </si>
  <si>
    <t>判定基準</t>
  </si>
  <si>
    <t>事例一例</t>
  </si>
  <si>
    <t>トリガー条件</t>
  </si>
  <si>
    <t>通知先</t>
  </si>
  <si>
    <t>手段</t>
  </si>
  <si>
    <t>担当者</t>
  </si>
  <si>
    <t>タイミング</t>
  </si>
  <si>
    <t>Lv. 0</t>
  </si>
  <si>
    <t>自己完結</t>
  </si>
  <si>
    <t>単一ジョブ失敗, 影響なし</t>
  </si>
  <si>
    <t>エスカレ対象外</t>
  </si>
  <si>
    <t>限定影響</t>
  </si>
  <si>
    <t>同部門内で解決できるもの</t>
  </si>
  <si>
    <t>担当者個人で解決不可</t>
  </si>
  <si>
    <t>即時</t>
  </si>
  <si>
    <t>他チームへの影響あり</t>
  </si>
  <si>
    <t>複数部門に干渉しての解決が必要になるもの</t>
  </si>
  <si>
    <t>複数チームに影響あり</t>
  </si>
  <si>
    <t>販売店の業務に影響が出うるもの（受注不可）</t>
  </si>
  <si>
    <t>Lv. 4</t>
  </si>
  <si>
    <t>事業継続困難</t>
  </si>
  <si>
    <t>販売店顧客に影響が出る・報道が必要になるもの</t>
  </si>
  <si>
    <t>該当する事例の一例を記載</t>
  </si>
  <si>
    <t>インシデントのレベル別で通知先・手段・担当者を記載</t>
  </si>
  <si>
    <t>対応フロー</t>
  </si>
  <si>
    <t>フェーズ</t>
  </si>
  <si>
    <t>トリガー</t>
  </si>
  <si>
    <t>実施内容</t>
  </si>
  <si>
    <t>SLA目安</t>
  </si>
  <si>
    <t>検知</t>
  </si>
  <si>
    <t>アラート/問い合わせ</t>
  </si>
  <si>
    <t>トリアージ</t>
  </si>
  <si>
    <t>検知後</t>
  </si>
  <si>
    <t>レベル判定</t>
  </si>
  <si>
    <t>5~10min</t>
  </si>
  <si>
    <t>初動対応</t>
  </si>
  <si>
    <t>検知後（Lv. 1以上）</t>
  </si>
  <si>
    <t>検知後（Lv. 2以上）</t>
  </si>
  <si>
    <t>エスカレーション定義に基づき実施</t>
  </si>
  <si>
    <t>復旧</t>
  </si>
  <si>
    <t>原因特定後</t>
  </si>
  <si>
    <t>報告</t>
  </si>
  <si>
    <t>復旧後</t>
  </si>
  <si>
    <t>事後分析</t>
  </si>
  <si>
    <t>完了後</t>
  </si>
  <si>
    <t>基盤自動化へ向けて.pptx</t>
  </si>
  <si>
    <t>データ基盤プロダクト品質アップデート_20260319.pptx</t>
  </si>
  <si>
    <t>Sprint6</t>
  </si>
  <si>
    <t>Sprint7</t>
  </si>
  <si>
    <t>Sprint8</t>
  </si>
  <si>
    <t>Sprint9</t>
  </si>
  <si>
    <t>Sprint10</t>
  </si>
  <si>
    <t>Sprint11</t>
  </si>
  <si>
    <t>Sprint12</t>
  </si>
  <si>
    <t>大項目</t>
  </si>
  <si>
    <t>中項目</t>
  </si>
  <si>
    <t>小項目</t>
  </si>
  <si>
    <t>汎用ラベル</t>
  </si>
  <si>
    <t>PROEVER URL</t>
  </si>
  <si>
    <t>ステータス</t>
  </si>
  <si>
    <t>月</t>
  </si>
  <si>
    <t>火</t>
  </si>
  <si>
    <t>水</t>
  </si>
  <si>
    <t>木</t>
  </si>
  <si>
    <t>金</t>
  </si>
  <si>
    <t>土</t>
  </si>
  <si>
    <t>日</t>
  </si>
  <si>
    <t>号口運用の設計</t>
  </si>
  <si>
    <t>運用の調査</t>
  </si>
  <si>
    <t>三ツ井、木村</t>
  </si>
  <si>
    <t>【号口の運用設計】運用の調査_インフラ（できていること、できていないことの可視化） | PROEVER</t>
  </si>
  <si>
    <t>完了</t>
  </si>
  <si>
    <t>※できている、できていないの可視化</t>
  </si>
  <si>
    <t>西村、kim</t>
  </si>
  <si>
    <t>【号口の運用設計】運用の調査_データ基盤（できていること、できていないことの可視化） | PROEVER</t>
  </si>
  <si>
    <t>U-SLIM（インフラ）</t>
  </si>
  <si>
    <t>【号口の運用設計】運用の調査_U-SLIM（インフラ） | PROEVER</t>
  </si>
  <si>
    <t>U-SLIM（データ基盤）</t>
  </si>
  <si>
    <t>【号口の運用設計】運用の調査_U-SLIM（データ基盤） | PROEVER</t>
  </si>
  <si>
    <t>DX道場（インフラ）</t>
  </si>
  <si>
    <t>【号口の運用設計】運用の調査_DX道場（インフラ） | PROEVER</t>
  </si>
  <si>
    <t>DX道場（データ基盤）</t>
  </si>
  <si>
    <t>【号口の運用設計】運用の調査_DX道場（データ基盤） | PROEVER</t>
  </si>
  <si>
    <t>データ基盤_追加調査（DATA VIZ向け）</t>
  </si>
  <si>
    <t>【号口運用の設計】1-9_運用の調査_データ基盤_追加調査 | PROEVER</t>
  </si>
  <si>
    <t>進行中</t>
  </si>
  <si>
    <t>監視設計の強化</t>
  </si>
  <si>
    <t>【号口運用の設計】監視設計の強化_インフラ | PROEVER</t>
  </si>
  <si>
    <t>準備中</t>
  </si>
  <si>
    <t>※できていない箇所の見直し</t>
  </si>
  <si>
    <t>【号口運用の設計】監視設計の強化_データ基盤 | PROEVER</t>
  </si>
  <si>
    <t>監視実装</t>
  </si>
  <si>
    <t>Azure VM_CPU</t>
  </si>
  <si>
    <t>Azure Monitor, Cloudera Manager</t>
    <phoneticPr fontId="10"/>
  </si>
  <si>
    <t>できていない / データマネジメントシステムと連携</t>
  </si>
  <si>
    <t>西出、Kim</t>
  </si>
  <si>
    <t>【号口運用の設計】3-1_監視実装_Azure VM CPU | PROEVER</t>
  </si>
  <si>
    <t>Azure VM_メモリ</t>
  </si>
  <si>
    <t>Azure Monitor, Cloudera Manager</t>
  </si>
  <si>
    <t>【号口運用の設計】3-2_監視実装_Azure VM_メモリ | PROEVER</t>
  </si>
  <si>
    <t>Azure VM_ディスク</t>
  </si>
  <si>
    <t>【号口運用の設計】3-3_監視実装_Azure VM_ディスク | PROEVER</t>
  </si>
  <si>
    <t>Azure VM_ネットワーク</t>
  </si>
  <si>
    <t>【号口運用の設計】3-4_監視実装_Azure VM_ネットワーク | PROEVER</t>
  </si>
  <si>
    <t>Kubernetes_CPU</t>
    <phoneticPr fontId="10"/>
  </si>
  <si>
    <t>【号口運用の設計】3-5_監視実装_Kubernetes_CPU | PROEVER</t>
  </si>
  <si>
    <t>Kubernetes_メモリ</t>
  </si>
  <si>
    <t>【号口運用の設計】3-6_監視実装_Kubernetes_メモリ | PROEVER</t>
  </si>
  <si>
    <t>Kubernetes_ディスク</t>
  </si>
  <si>
    <t>【号口運用の設計】3-7_監視実装_Kubernetes_ディスク | PROEVER</t>
  </si>
  <si>
    <t>Kubernetes_ネットワーク</t>
  </si>
  <si>
    <t>【号口運用の設計】3-8_監視実装_Kubernetes_ネットワーク | PROEVER</t>
  </si>
  <si>
    <t>Kubernetes_Podステータス</t>
  </si>
  <si>
    <t>【号口運用の設計】3-9_監視実装_Kubernetes_Podステータス | PROEVER</t>
  </si>
  <si>
    <t>ネットワーク_DNS</t>
  </si>
  <si>
    <t>【号口運用の設計】3-10_監視実装_ネットワーク_DNS | PROEVER</t>
  </si>
  <si>
    <t>ネットワーク_TLS・SSL</t>
  </si>
  <si>
    <t>【号口運用の設計】3-11_監視実装_ネットワーク_TLS・SSL | PROEVER</t>
  </si>
  <si>
    <t>ネットワーク_通信帯域</t>
  </si>
  <si>
    <t>【号口運用の設計】3-12_監視実装_ネットワーク_通信帯域 | PROEVER</t>
  </si>
  <si>
    <t>セキュリティ_Prisma Cloud</t>
    <phoneticPr fontId="10"/>
  </si>
  <si>
    <t>【号口運用の設計】3-13_監視実装_セキュリティ_Prisma Cloud | PROEVER</t>
  </si>
  <si>
    <t>セキュリティ_WAF</t>
  </si>
  <si>
    <t>【号口運用の設計】3-14_監視実装_セキュリティ_WAF | PROEVER</t>
  </si>
  <si>
    <t>【号口運用の設計】3-15_監視実装_シークレット・鍵管理 | PROEVER</t>
  </si>
  <si>
    <t>OGG_Extract</t>
  </si>
  <si>
    <t>Oracle Monitor</t>
  </si>
  <si>
    <t>【号口運用の設計】3-16_監視実装_OGG_Extract | PROEVER</t>
  </si>
  <si>
    <t>OGG_Replicat</t>
  </si>
  <si>
    <t>【号口運用の設計】3-17_監視実装_OGG_Replicat | PROEVER</t>
  </si>
  <si>
    <t>OGG_分散サービス</t>
  </si>
  <si>
    <t>【号口運用の設計】3-18_監視実装_OGG_分散サービス | PROEVER</t>
  </si>
  <si>
    <t>Ranger_Plugin同期</t>
  </si>
  <si>
    <t>【号口運用の設計】3-19_監視実装_Ranger_Plugin同期 | PROEVER</t>
  </si>
  <si>
    <t>Ranger_Admin</t>
    <phoneticPr fontId="10"/>
  </si>
  <si>
    <t>【号口運用の設計】3-20_監視実装_Ranger_Admin | PROEVER</t>
  </si>
  <si>
    <t>【号口運用の設計】3-21_監視実装_Impala_ | PROEVER</t>
  </si>
  <si>
    <t>【号口運用の設計】3-22_監視実装_API基盤 | PROEVER</t>
  </si>
  <si>
    <t>【号口運用の設計】3-23_監視実装_APIM | PROEVER</t>
  </si>
  <si>
    <t>西出</t>
  </si>
  <si>
    <t>【号口運用の設計】2-24_監視実装_DataViz | PROEVER</t>
  </si>
  <si>
    <t>Azure App Service（U-SLIM）</t>
  </si>
  <si>
    <t>【号口運用の設計】2-25_監視実装_Azure App Service（U-SLIM） | PROEVER</t>
  </si>
  <si>
    <t>PowerBI（DX道場）</t>
  </si>
  <si>
    <t>【号口運用の設計】2-26_監視実装_PowerBI（DX道場） | PROEVER</t>
  </si>
  <si>
    <t>PowerBI（NEO活用）</t>
  </si>
  <si>
    <t>⁠【号口運用の設計】2-27_監視実装_PowerBI（NEO活用） | PROEVER</t>
  </si>
  <si>
    <t>インシデントレベルのガイドライン作成</t>
  </si>
  <si>
    <t>【号口の運用設計】インシデントレベルのガイドライン作成_インフラ | PROEVER</t>
  </si>
  <si>
    <t>【号口の運用設計】インシデントレベルのガイドライン作成_データ基盤 | PROEVER</t>
  </si>
  <si>
    <t>飯塚亘</t>
  </si>
  <si>
    <t>【号口運用の設計】3インシデントレベルのガイドライン作成_4U-SLIM（インフラ） | PROEVER</t>
  </si>
  <si>
    <t>【号口運用の設計】3インシデントレベルのガイドライン作成_4U-SLIM（データ基盤） | PROEVER</t>
  </si>
  <si>
    <t>【号口運用の設計】3インシデントレベルのガイドライン作成_6DX道場（インフラ） | PROEVER</t>
  </si>
  <si>
    <t>【号口運用の設計】3インシデントレベルのガイドライン作成_7DX道場（データ基盤） | PROEVER</t>
  </si>
  <si>
    <t>データ運用ポータルへの統合</t>
  </si>
  <si>
    <t>異常監視_仕様調査_Cloudera Manager</t>
  </si>
  <si>
    <t>【号口の運用設計】5-1_異常監視_仕様調査_Cloudera Manager | PROEVER</t>
  </si>
  <si>
    <t>異常監視_仕様調査_Azure Monitor</t>
  </si>
  <si>
    <t>【号口の運用設計】5-2_異常監視_仕様調査_Azure Monitor | PROEVER</t>
  </si>
  <si>
    <t>異常監視_仕様調査_Oracle Monitor</t>
  </si>
  <si>
    <t>【号口の運用設計】5-3_異常監視_仕様調査_Oracle Monitor | PROEVER</t>
  </si>
  <si>
    <t>異常監視_仕様調査_Prisma Cloud</t>
  </si>
  <si>
    <t>【号口の運用設計】5-4_異常監視_仕様調査_Prisma Cloud | PROEVER</t>
  </si>
  <si>
    <t>異常監視_実装_Cloudera Manager</t>
  </si>
  <si>
    <t>【号口の運用設計】5-5_異常監視_実装_ Cloudera Manager | PROEVER</t>
  </si>
  <si>
    <t>異常監視_実装_Azure Monitor</t>
  </si>
  <si>
    <t>【号口の運用設計】5-6_異常監視_実装_Azure Monitor | PROEVER</t>
  </si>
  <si>
    <t>異常監視_実装_Oracle Monitor</t>
  </si>
  <si>
    <t>【号口の運用設計】5-7_異常監視_実装_Oracle Monitor | PROEVER</t>
  </si>
  <si>
    <t>異常監視_実装_Prisma Cloud</t>
  </si>
  <si>
    <t>【号口の運用設計】5-8_異常監視_実装_Prisma Cloud | PROEVER</t>
  </si>
  <si>
    <t>エスカレーションフローの設計</t>
  </si>
  <si>
    <t>【号口の運用設計】エスカレーションフローの作成_インフラ | PROEVER</t>
  </si>
  <si>
    <t>【号口の運用設計】エスカレーションフローの作成_データ基盤 | PROEVER</t>
  </si>
  <si>
    <t>【号口運用の設計】6-4_エスカレーションフローの作成_U-SLIM（インフラ） | PROEVER</t>
  </si>
  <si>
    <t>【号口運用の設計】6-5_エスカレーションフローの作成_U-SLIM（データ基盤） | PROEVER</t>
  </si>
  <si>
    <t>【号口運用の設計】6-6_エスカレーションフローの作成_DX道場（インフラ） | PROEVER</t>
  </si>
  <si>
    <t>【号口運用の設計】6-7_エスカレーションフローの作成_DX道場（データ基盤） | PROEVER</t>
  </si>
  <si>
    <t>監視ツール</t>
  </si>
  <si>
    <t>接続方式</t>
  </si>
  <si>
    <t>IF簡易仕様の用意</t>
  </si>
  <si>
    <t>API接続</t>
  </si>
  <si>
    <t>Cloudera マネージャー</t>
  </si>
  <si>
    <t>カスタムスクリプト</t>
  </si>
  <si>
    <t>U-SLIM 監視・エスカレーション ヒアリング質問票</t>
  </si>
  <si>
    <t>対象者：周さん、木村さん　／　目的：現行の監視・障害対応・責任分界・エスカレーション・既存資料を確認する</t>
  </si>
  <si>
    <t>回答は「現在実施している運用」と「今後の予定」を分けて記録してください。資料がない場合は「資料なし」、確認できない場合は「未回答」と明記ししてください。</t>
  </si>
  <si>
    <t>質問No.</t>
  </si>
  <si>
    <t>大分類</t>
  </si>
  <si>
    <t>対象機能・論点</t>
  </si>
  <si>
    <t>質問内容</t>
  </si>
  <si>
    <t>回答</t>
  </si>
  <si>
    <t>回答者</t>
  </si>
  <si>
    <t>実施状況</t>
  </si>
  <si>
    <t>根拠資料</t>
  </si>
  <si>
    <t>追加確認・不明点</t>
  </si>
  <si>
    <t>現行／将来</t>
  </si>
  <si>
    <t>Excel反映先</t>
  </si>
  <si>
    <t>U-01</t>
  </si>
  <si>
    <t>対象範囲</t>
  </si>
  <si>
    <t>全体</t>
  </si>
  <si>
    <t>現在、U-SLIMで本番運用している画面・機能・バッチ・データ連携には、どのようなものがありますか。</t>
  </si>
  <si>
    <t>現在運用中
車両検索 / 小売 工程管理(トライアル) / 実績ダッシュボード(トライアル)/販売店L/T一覧(トライアル)
今後の予定
小売 経営層管理 / 卸 経営層管理 / 卸工程管理 / レンタ店 管理</t>
  </si>
  <si>
    <t>木村
周</t>
    <rPh sb="3" eb="4">
      <t>シュウ</t>
    </rPh>
    <phoneticPr fontId="1"/>
  </si>
  <si>
    <t>未回答</t>
  </si>
  <si>
    <t>https://tatgroup.sharepoint.com/:f:/s/TEC_U-SLIM879/IgAV4DCPNNbITpyONL-CtkvyAblGOW5CiBusXoi60A-MeVQ?e=7cPy3K
03_WEB化対応
07_販売店・経営層向けPBI・WEB
06_実績ダッシュボード</t>
    <phoneticPr fontId="1"/>
  </si>
  <si>
    <t>現行</t>
  </si>
  <si>
    <t>U-02</t>
  </si>
  <si>
    <t>Power BI</t>
  </si>
  <si>
    <t>Power BIは現在も検証用途のみでしょうか。それとも、本番の業務画面として利用しているものがありますか。</t>
  </si>
  <si>
    <t>検証用途のみです。
今後も本番(号口)はU-SLIMの一機能として提供していくはずです。</t>
  </si>
  <si>
    <t>木村</t>
  </si>
  <si>
    <t>U-03</t>
  </si>
  <si>
    <t>Azure App Service、NiFi、Power BI以外に、運用監視の対象としている機能やシステムはありますか。</t>
  </si>
  <si>
    <t>ないと思います。</t>
    <rPh sb="3" eb="4">
      <t>オモ</t>
    </rPh>
    <phoneticPr fontId="1"/>
  </si>
  <si>
    <t>周</t>
    <rPh sb="0" eb="1">
      <t>シュウ</t>
    </rPh>
    <phoneticPr fontId="1"/>
  </si>
  <si>
    <t>U-04</t>
  </si>
  <si>
    <t>運用体制</t>
  </si>
  <si>
    <t>U-SLIMの運用について、周さん、木村さんさんの担当範囲はそれぞれどこでしょうか。</t>
  </si>
  <si>
    <r>
      <rPr>
        <sz val="11"/>
        <color rgb="FF000000"/>
        <rFont val="Carlito"/>
        <family val="3"/>
        <charset val="128"/>
      </rPr>
      <t>周さん
リリース対応</t>
    </r>
    <r>
      <rPr>
        <sz val="11"/>
        <color rgb="FFFF0000"/>
        <rFont val="Carlito"/>
        <family val="3"/>
        <charset val="128"/>
      </rPr>
      <t>(周さん・彭さん)</t>
    </r>
    <r>
      <rPr>
        <sz val="11"/>
        <color rgb="FF000000"/>
        <rFont val="Carlito"/>
        <family val="3"/>
        <charset val="128"/>
      </rPr>
      <t>・障害対応(</t>
    </r>
    <r>
      <rPr>
        <sz val="11"/>
        <color rgb="FFFF0000"/>
        <rFont val="Carlito"/>
        <family val="3"/>
        <charset val="128"/>
      </rPr>
      <t xml:space="preserve">周さん、鄭さん)
</t>
    </r>
    <r>
      <rPr>
        <sz val="11"/>
        <color rgb="FF000000"/>
        <rFont val="Carlito"/>
        <family val="3"/>
        <charset val="128"/>
      </rPr>
      <t>木村
運用については主担当無し</t>
    </r>
  </si>
  <si>
    <t>U-05</t>
  </si>
  <si>
    <t>責任分界</t>
  </si>
  <si>
    <t>トヨテック側と顧客側で、それぞれどこまでを担当していますか。</t>
  </si>
  <si>
    <t>トヨテック側で開発~品質確認~リリースまで行っています。
今後は顧客側の受入テストフローが強化されます。明文化はされていないです。</t>
  </si>
  <si>
    <t>U-06</t>
  </si>
  <si>
    <t>現在の監視方法</t>
  </si>
  <si>
    <t>現在、U-SLIMが正常に動作していることを、どのような方法で確認していますか。</t>
  </si>
  <si>
    <t>通常：azure app Servicesで捕まった予期せぬシステムエラーを　(TEC_U-SLIM(基盤検証)_13_WebAppアラート共有)に送信する。自動監視
長期休暇：　(TEC_U-SLIM(基盤検証)_13_WebAppアラート共有)にエラー有無に加えて、ログインして、主要的な機能を利用可否を確認します。
NIFI：実行ログは正しく出力されるかどうか、保守チームより、監視します。(通常と長期休暇と関係なく、保守体制より対応)</t>
  </si>
  <si>
    <t>U-07</t>
  </si>
  <si>
    <t>自動監視している項目と、人が目視で確認している項目を分けて教えてください。</t>
    <phoneticPr fontId="1"/>
  </si>
  <si>
    <t>エラー監視以外は目視</t>
    <phoneticPr fontId="1"/>
  </si>
  <si>
    <t>U-08</t>
  </si>
  <si>
    <t>画面・ログイン</t>
  </si>
  <si>
    <t>画面が表示できるか、ログインできるか、主要機能が動作するかについて、定期的な確認を行っていますか。</t>
  </si>
  <si>
    <t>毎週火曜 20:00~リリースに伴うテストは実施しますが、主要機能の動作確認はルール化されていないので、やっていないという回答にします。</t>
    <phoneticPr fontId="1"/>
  </si>
  <si>
    <t>U-09</t>
  </si>
  <si>
    <t>データ連携</t>
  </si>
  <si>
    <t>データが最新状態になっているか、データ連携が停止・遅延していないかを確認していますか。</t>
    <phoneticPr fontId="1"/>
  </si>
  <si>
    <t>現状基盤チームより、「(TEC_U-SLIM(基盤検証)_一般」のチャンネルで通知します。</t>
  </si>
  <si>
    <t>U-10</t>
  </si>
  <si>
    <t>問い合わせ</t>
  </si>
  <si>
    <t>利用者からの問い合わせや障害連絡によって、初めて異常に気付くケースはありますか。</t>
  </si>
  <si>
    <t>問い合わせをいただいて、そこから調査や仕様変更を行うことはあります。</t>
  </si>
  <si>
    <t>U-11</t>
  </si>
  <si>
    <t>日次・週次・月次など、定期的に行っている運用確認はありますか。</t>
  </si>
  <si>
    <t>週次のリリース
週次のユーザー数増加監視
週次のユーザー追加
週次の販売店追加
週次のU-Pass利用販売店更新
定期のマニュアル改訂</t>
    <rPh sb="21" eb="23">
      <t>シュウジ</t>
    </rPh>
    <rPh sb="28" eb="30">
      <t>ツイカ</t>
    </rPh>
    <rPh sb="31" eb="33">
      <t>シュウジ</t>
    </rPh>
    <rPh sb="34" eb="37">
      <t>ハンバイテン</t>
    </rPh>
    <rPh sb="37" eb="39">
      <t>ツイカ</t>
    </rPh>
    <rPh sb="40" eb="42">
      <t>シュウジ</t>
    </rPh>
    <rPh sb="49" eb="54">
      <t>リヨウハンバイテン</t>
    </rPh>
    <rPh sb="54" eb="56">
      <t>コウシン</t>
    </rPh>
    <rPh sb="57" eb="59">
      <t>テイキ</t>
    </rPh>
    <rPh sb="65" eb="67">
      <t>カイテイ</t>
    </rPh>
    <phoneticPr fontId="1"/>
  </si>
  <si>
    <t>U-12</t>
  </si>
  <si>
    <t>スポット運用</t>
  </si>
  <si>
    <t>構成変更、リリース、データ更新などの際にだけ行うスポット確認はありますか。</t>
  </si>
  <si>
    <t>特にない</t>
    <rPh sb="0" eb="1">
      <t>トク</t>
    </rPh>
    <phoneticPr fontId="1"/>
  </si>
  <si>
    <t>周</t>
    <phoneticPr fontId="1"/>
  </si>
  <si>
    <t>U-13</t>
  </si>
  <si>
    <t>Excelに記載されているAzure Monitorの監視設定は、現在も有効でしょうか。</t>
    <phoneticPr fontId="1"/>
  </si>
  <si>
    <t>エクセル資料不明。
App Serviceのヘルスチェックは有効の状態です</t>
    <rPh sb="4" eb="6">
      <t>シリョウ</t>
    </rPh>
    <rPh sb="6" eb="8">
      <t>フメイ</t>
    </rPh>
    <rPh sb="30" eb="32">
      <t>ユウコウ</t>
    </rPh>
    <rPh sb="33" eb="35">
      <t>ジョウタイ</t>
    </rPh>
    <phoneticPr fontId="1"/>
  </si>
  <si>
    <t>U-14</t>
  </si>
  <si>
    <t>ヘルスチェック</t>
  </si>
  <si>
    <t>App Serviceのヘルスチェックアラートが発生した場合、最初に誰が確認しますか。</t>
    <phoneticPr fontId="1"/>
  </si>
  <si>
    <t>U-17を参照
※送信しないエラーあり(曾さん・鄭さんに聞いてみて)</t>
    <rPh sb="5" eb="7">
      <t>サンショウ</t>
    </rPh>
    <rPh sb="9" eb="11">
      <t>ソウシン</t>
    </rPh>
    <rPh sb="20" eb="21">
      <t>ソウ</t>
    </rPh>
    <rPh sb="28" eb="29">
      <t>キ</t>
    </rPh>
    <phoneticPr fontId="1"/>
  </si>
  <si>
    <t>U-15</t>
  </si>
  <si>
    <t>DB例外</t>
  </si>
  <si>
    <t>DB例外のアラートが発生した場合、最初に誰が内容を確認しますか。</t>
  </si>
  <si>
    <t>U-17を参照
※送信しないエラーあり(曾さん・鄭さんに聞いてみて)</t>
    <rPh sb="24" eb="25">
      <t>テイ</t>
    </rPh>
    <phoneticPr fontId="1"/>
  </si>
  <si>
    <t>U-16</t>
  </si>
  <si>
    <t>Teams通知</t>
  </si>
  <si>
    <t>Teamsの「13_WebAppアラート共有」への通知は、現在も使用していますか。</t>
    <phoneticPr fontId="1"/>
  </si>
  <si>
    <t>利用しています。</t>
    <rPh sb="0" eb="2">
      <t>リヨウ</t>
    </rPh>
    <phoneticPr fontId="1"/>
  </si>
  <si>
    <t>U-17</t>
  </si>
  <si>
    <t>通知を確認する担当者は決まっていますか。それとも、チーム内の誰かが確認する運用ですか。</t>
  </si>
  <si>
    <t>基盤チームはアラート情報をPM、障害対応者に通知します。
障害原因は障害対応者より、調査して、結果を保守チームのメンバー及びPMに報告します。</t>
    <rPh sb="0" eb="2">
      <t>キバン</t>
    </rPh>
    <rPh sb="10" eb="12">
      <t>ジョウホウ</t>
    </rPh>
    <rPh sb="20" eb="21">
      <t>シャ</t>
    </rPh>
    <rPh sb="22" eb="24">
      <t>ツウチ</t>
    </rPh>
    <rPh sb="29" eb="31">
      <t>ショウガイ</t>
    </rPh>
    <rPh sb="31" eb="33">
      <t>ゲンイン</t>
    </rPh>
    <rPh sb="42" eb="44">
      <t>チョウサ</t>
    </rPh>
    <rPh sb="47" eb="49">
      <t>ケッカ</t>
    </rPh>
    <rPh sb="50" eb="52">
      <t>ホシュ</t>
    </rPh>
    <rPh sb="60" eb="61">
      <t>オヨ</t>
    </rPh>
    <rPh sb="65" eb="67">
      <t>ホウコク</t>
    </rPh>
    <phoneticPr fontId="1"/>
  </si>
  <si>
    <t>U-18</t>
  </si>
  <si>
    <t>一次調査</t>
  </si>
  <si>
    <t>アラート発生後に、最初に確認する画面・ログ・項目は決まっていますか。</t>
  </si>
  <si>
    <t>U-17を参照</t>
    <rPh sb="5" eb="7">
      <t>サンショウ</t>
    </rPh>
    <phoneticPr fontId="1"/>
  </si>
  <si>
    <t>U-19</t>
  </si>
  <si>
    <t>切り分け</t>
  </si>
  <si>
    <t>アプリ側の問題か、Azure・インフラ側の問題かを、誰が切り分けますか。</t>
  </si>
  <si>
    <t>アラートの原因を調査した作業メンバー</t>
    <phoneticPr fontId="1"/>
  </si>
  <si>
    <t>U-20</t>
  </si>
  <si>
    <t>一次対応</t>
  </si>
  <si>
    <t>App Serviceの再起動や設定変更など、一次対応を行える担当者は誰ですか。</t>
    <phoneticPr fontId="1"/>
  </si>
  <si>
    <t>App Serviceの再起動することは極めて避けたいことです。
エラー内容より、至急対応、臨時リリースより対応。</t>
  </si>
  <si>
    <t>U-21</t>
  </si>
  <si>
    <t>承認</t>
  </si>
  <si>
    <t>一次対応に承認が必要な場合、誰へ確認しますか。</t>
  </si>
  <si>
    <t>原因をお客様に説明してから、承認を受った後に、臨時リリースで対応します。</t>
    <rPh sb="0" eb="2">
      <t>ゲンイン</t>
    </rPh>
    <rPh sb="4" eb="6">
      <t>キャクサマ</t>
    </rPh>
    <rPh sb="7" eb="9">
      <t>セツメイ</t>
    </rPh>
    <rPh sb="14" eb="16">
      <t>ショウニン</t>
    </rPh>
    <rPh sb="17" eb="18">
      <t>ウケ</t>
    </rPh>
    <rPh sb="20" eb="21">
      <t>アト</t>
    </rPh>
    <rPh sb="23" eb="25">
      <t>リンジ</t>
    </rPh>
    <rPh sb="30" eb="32">
      <t>タイオウ</t>
    </rPh>
    <phoneticPr fontId="1"/>
  </si>
  <si>
    <t>U-22</t>
  </si>
  <si>
    <t>復旧確認</t>
  </si>
  <si>
    <t>復旧後、正常になったことをどのように確認していますか。</t>
  </si>
  <si>
    <t>リリース手順書を参照します</t>
    <rPh sb="4" eb="6">
      <t>テジュン</t>
    </rPh>
    <rPh sb="6" eb="7">
      <t>ショ</t>
    </rPh>
    <rPh sb="8" eb="10">
      <t>サンショウ</t>
    </rPh>
    <phoneticPr fontId="1"/>
  </si>
  <si>
    <t>U-23</t>
  </si>
  <si>
    <t>NiFi・データ連携</t>
  </si>
  <si>
    <t>NiFiで行っている処理のうち、U-SLIMに関係するデータ連携はどれですか。</t>
  </si>
  <si>
    <t>★外部連携情報
・GAZOOデータ
・UPASSデータ
・データ図書館データ
★USLIM独自の蓄積処理</t>
    <rPh sb="1" eb="3">
      <t>ガイブ</t>
    </rPh>
    <rPh sb="3" eb="5">
      <t>レンケイ</t>
    </rPh>
    <rPh sb="5" eb="7">
      <t>ジョウホウ</t>
    </rPh>
    <rPh sb="32" eb="35">
      <t>トショカン</t>
    </rPh>
    <rPh sb="45" eb="47">
      <t>ドクジ</t>
    </rPh>
    <rPh sb="48" eb="50">
      <t>チクセキ</t>
    </rPh>
    <rPh sb="50" eb="52">
      <t>ショリ</t>
    </rPh>
    <phoneticPr fontId="1"/>
  </si>
  <si>
    <t>U-24</t>
  </si>
  <si>
    <t>影響範囲</t>
  </si>
  <si>
    <t>NiFiの処理が停止または遅延した場合、U-SLIMのどの画面・機能・データに影響しますか。</t>
  </si>
  <si>
    <t>★外部連携情報
・GAZOOデータ
車両検索、工程管理など
・UPASSデータ
車両検索
・データ図書館データ
車両検索、工程管理など
★USLIM独自の蓄積処理
車両検索、工程管理・実績ダッシュボードなど</t>
    <rPh sb="18" eb="20">
      <t>シャリョウ</t>
    </rPh>
    <rPh sb="20" eb="22">
      <t>ケンサク</t>
    </rPh>
    <rPh sb="23" eb="25">
      <t>コウテイ</t>
    </rPh>
    <rPh sb="25" eb="27">
      <t>カンリ</t>
    </rPh>
    <rPh sb="92" eb="94">
      <t>ジッセキ</t>
    </rPh>
    <phoneticPr fontId="1"/>
  </si>
  <si>
    <t>U-25</t>
  </si>
  <si>
    <t>一次確認</t>
  </si>
  <si>
    <t>NiFiの異常を最初に確認するのは、データ基盤担当でしょうか、U-SLIM担当でしょうか。</t>
  </si>
  <si>
    <t>NIFIエラータイプより違う
★NIFI停止など
・保守チーム
★データ元からデータが連携されていない場合
・保守チーム・基盤チーム</t>
    <rPh sb="12" eb="13">
      <t>チガ</t>
    </rPh>
    <rPh sb="20" eb="22">
      <t>テイシ</t>
    </rPh>
    <rPh sb="36" eb="37">
      <t>モト</t>
    </rPh>
    <rPh sb="43" eb="45">
      <t>レンケイ</t>
    </rPh>
    <rPh sb="51" eb="53">
      <t>バアイ</t>
    </rPh>
    <rPh sb="61" eb="63">
      <t>キバン</t>
    </rPh>
    <phoneticPr fontId="1"/>
  </si>
  <si>
    <t>U-26</t>
  </si>
  <si>
    <t>Teamsの「12_CDPアラート共有」からU-SLIM担当へ連絡するルールはありますか。</t>
  </si>
  <si>
    <t>知り限り、ルールないと思います。</t>
    <rPh sb="0" eb="1">
      <t>シ</t>
    </rPh>
    <rPh sb="2" eb="3">
      <t>カギ</t>
    </rPh>
    <rPh sb="11" eb="12">
      <t>オモ</t>
    </rPh>
    <phoneticPr fontId="1"/>
  </si>
  <si>
    <t>U-27</t>
  </si>
  <si>
    <t>NiFi障害時の一次対応者と、U-SLIM側の確認担当者は誰ですか。</t>
  </si>
  <si>
    <t>現状は周です。
実績ダッシュボード本気に運用に伴って、彭さん・夏さんにも通知する可能性があります</t>
  </si>
  <si>
    <t>U-28</t>
  </si>
  <si>
    <t>遅延監視</t>
  </si>
  <si>
    <t>データ連携の停止・遅延を、業務アプリ側で確認する方法はありますか。</t>
  </si>
  <si>
    <t>特にないです。</t>
    <rPh sb="0" eb="1">
      <t>トク</t>
    </rPh>
    <phoneticPr fontId="1"/>
  </si>
  <si>
    <t>U-29</t>
  </si>
  <si>
    <t>データ品質</t>
  </si>
  <si>
    <t>データ欠損、重複、古いデータの表示を確認する方法はありますか。</t>
  </si>
  <si>
    <t>基盤チームの方針に準じます。
APPチームは対策、確認方法がありません。</t>
    <rPh sb="0" eb="2">
      <t>キバン</t>
    </rPh>
    <rPh sb="6" eb="8">
      <t>ホウシン</t>
    </rPh>
    <rPh sb="9" eb="10">
      <t>ジュン</t>
    </rPh>
    <rPh sb="22" eb="24">
      <t>タイサク</t>
    </rPh>
    <rPh sb="25" eb="27">
      <t>カクニン</t>
    </rPh>
    <rPh sb="27" eb="29">
      <t>ホウホウ</t>
    </rPh>
    <phoneticPr fontId="1"/>
  </si>
  <si>
    <t>U-30</t>
  </si>
  <si>
    <t>再実行</t>
  </si>
  <si>
    <t>失敗した処理の再実行手順はありますか。</t>
  </si>
  <si>
    <t>手順書がありません。
失敗ケースより、手動実施可能性があります。</t>
  </si>
  <si>
    <t>U-31</t>
  </si>
  <si>
    <t>重複防止</t>
  </si>
  <si>
    <t>再実行によってデータが重複しないことを、どのように確認していますか。</t>
  </si>
  <si>
    <t>Appチーム実装したNIFIは基本的に「upsert into」で実装しています。データが重複される可能がないと思います</t>
  </si>
  <si>
    <t>U-32</t>
  </si>
  <si>
    <t>再実行後のデータ確認を誰が行いますか。</t>
  </si>
  <si>
    <t>U-31より、データ確認不要です</t>
    <rPh sb="10" eb="12">
      <t>カクニン</t>
    </rPh>
    <rPh sb="12" eb="14">
      <t>フヨウ</t>
    </rPh>
    <phoneticPr fontId="1"/>
  </si>
  <si>
    <t>U-33</t>
  </si>
  <si>
    <t>障害発生後の対応</t>
  </si>
  <si>
    <t>異常を検知した後、現在はどのような順番で対応していますか。</t>
  </si>
  <si>
    <t xml:space="preserve">①保守チームより、異常情報を関係者に通知します。
②障害対応担当者より、異常を調査します。
③調査結果を保守チームとPM、リーダーに報告します。
④-1対応不要の場合、そのまま終わる
④-2要対応(バグなど)の場合、原因を分析して、対策を出して、お客様に説明してから、臨時リリースを検討する
⑤リリースの流れで対応します。
</t>
    <rPh sb="1" eb="3">
      <t>ホシュ</t>
    </rPh>
    <rPh sb="9" eb="11">
      <t>イジョウ</t>
    </rPh>
    <rPh sb="11" eb="13">
      <t>ジョウホウ</t>
    </rPh>
    <rPh sb="14" eb="17">
      <t>カンケイシャ</t>
    </rPh>
    <rPh sb="18" eb="20">
      <t>ツウチ</t>
    </rPh>
    <rPh sb="30" eb="33">
      <t>タントウシャ</t>
    </rPh>
    <rPh sb="36" eb="38">
      <t>イジョウ</t>
    </rPh>
    <rPh sb="39" eb="41">
      <t>チョウサ</t>
    </rPh>
    <rPh sb="47" eb="51">
      <t>チョウサケッカ</t>
    </rPh>
    <rPh sb="52" eb="54">
      <t>ホシュ</t>
    </rPh>
    <rPh sb="66" eb="68">
      <t>ホウコク</t>
    </rPh>
    <rPh sb="76" eb="78">
      <t>タイオウ</t>
    </rPh>
    <rPh sb="78" eb="80">
      <t>フヨウ</t>
    </rPh>
    <rPh sb="81" eb="83">
      <t>バアイ</t>
    </rPh>
    <rPh sb="88" eb="89">
      <t>オ</t>
    </rPh>
    <rPh sb="95" eb="96">
      <t>ヨウ</t>
    </rPh>
    <rPh sb="96" eb="98">
      <t>タイオウ</t>
    </rPh>
    <rPh sb="105" eb="107">
      <t>バアイ</t>
    </rPh>
    <rPh sb="108" eb="110">
      <t>ゲンイン</t>
    </rPh>
    <rPh sb="111" eb="113">
      <t>ブンセキ</t>
    </rPh>
    <rPh sb="116" eb="118">
      <t>タイサク</t>
    </rPh>
    <rPh sb="152" eb="153">
      <t>ナガ</t>
    </rPh>
    <rPh sb="155" eb="157">
      <t>タイオウ</t>
    </rPh>
    <phoneticPr fontId="1"/>
  </si>
  <si>
    <t>U-34</t>
  </si>
  <si>
    <t>最初に状況確認を行う一次対応者は誰ですか。</t>
  </si>
  <si>
    <t xml:space="preserve">障害対応担当者(周さん、鄭さん、彭さん)
※彭さんは実績ダッシュボード本番運用に次第
</t>
    <rPh sb="8" eb="9">
      <t>シュウ</t>
    </rPh>
    <rPh sb="12" eb="13">
      <t>テイ</t>
    </rPh>
    <rPh sb="16" eb="17">
      <t>ホウ</t>
    </rPh>
    <rPh sb="26" eb="28">
      <t>ジッセキ</t>
    </rPh>
    <rPh sb="35" eb="37">
      <t>ホンバン</t>
    </rPh>
    <rPh sb="37" eb="39">
      <t>ウンヨウ</t>
    </rPh>
    <rPh sb="40" eb="42">
      <t>シダイ</t>
    </rPh>
    <phoneticPr fontId="1"/>
  </si>
  <si>
    <t>U-35</t>
  </si>
  <si>
    <t>一次対応者だけで解決できない場合、次に誰へ連絡しますか。</t>
  </si>
  <si>
    <t>リーダー、PMに連絡します。</t>
    <rPh sb="8" eb="10">
      <t>レンラク</t>
    </rPh>
    <phoneticPr fontId="1"/>
  </si>
  <si>
    <t>U-36</t>
  </si>
  <si>
    <t>アプリ担当、データ基盤担当、インフラ担当の責任境界は決まっていますか。</t>
  </si>
  <si>
    <t>明確な決まりはないです</t>
  </si>
  <si>
    <t xml:space="preserve">木村
</t>
  </si>
  <si>
    <t>U-37</t>
  </si>
  <si>
    <t>障害対応の最終責任者は誰ですか。</t>
  </si>
  <si>
    <t>U-38</t>
  </si>
  <si>
    <t>顧客連絡</t>
  </si>
  <si>
    <t>顧客側の責任者へ連絡する条件は決まっていますか。</t>
  </si>
  <si>
    <t>明確な決まりはないですが、連休中の障害対応体制編成には記載があります。</t>
  </si>
  <si>
    <t>休日対応エスカレーションフロー.pptx</t>
  </si>
  <si>
    <t>U-39</t>
  </si>
  <si>
    <t>暫定対応</t>
  </si>
  <si>
    <t>暫定対応の承認者は誰ですか。</t>
  </si>
  <si>
    <t>明確な決まりがないです</t>
  </si>
  <si>
    <t>U-40</t>
  </si>
  <si>
    <t>恒久対応</t>
  </si>
  <si>
    <t>恒久対応の承認者は誰ですか。</t>
  </si>
  <si>
    <t>U-41</t>
  </si>
  <si>
    <t>完了報告</t>
  </si>
  <si>
    <t>復旧後の完了報告は、誰が誰へ行いますか。</t>
  </si>
  <si>
    <t>U-42</t>
  </si>
  <si>
    <t>事後対応</t>
  </si>
  <si>
    <t>障害後に原因分析や振り返りを行っていますか。</t>
  </si>
  <si>
    <t>リリース時にもし障害が発生した場合に分析し、記録に残すことはやっています。ただしルール化はしていません。</t>
  </si>
  <si>
    <t>本番-障害・不良管理表.xlsx</t>
  </si>
  <si>
    <t>U-43</t>
  </si>
  <si>
    <t>障害レベル・エスカレーション</t>
  </si>
  <si>
    <t>障害レベル</t>
  </si>
  <si>
    <t>U-SLIMには、現在使用している障害レベルや重要度の分類がありますか。</t>
  </si>
  <si>
    <t>ある</t>
    <phoneticPr fontId="1"/>
  </si>
  <si>
    <t>乙間</t>
    <rPh sb="0" eb="2">
      <t>オトマ</t>
    </rPh>
    <phoneticPr fontId="1"/>
  </si>
  <si>
    <t>U-44</t>
    <phoneticPr fontId="1"/>
  </si>
  <si>
    <t>ある場合、何段階で、各レベルをどのように判断していますか。</t>
  </si>
  <si>
    <t>「U-44補足」シート参照</t>
    <rPh sb="11" eb="13">
      <t>サンショウ</t>
    </rPh>
    <phoneticPr fontId="1"/>
  </si>
  <si>
    <t>U-45</t>
  </si>
  <si>
    <t>障害レベルは、影響する利用者数、停止時間、機能、データ影響など、何を基準にしていますか。</t>
  </si>
  <si>
    <t>U-SLIM提供時間</t>
    <phoneticPr fontId="1"/>
  </si>
  <si>
    <t>U-46</t>
  </si>
  <si>
    <t>画面停止</t>
  </si>
  <si>
    <t>画面が完全に利用できない場合は、どのレベルとして扱いますか。</t>
  </si>
  <si>
    <t>高</t>
    <rPh sb="0" eb="1">
      <t>タカ</t>
    </rPh>
    <phoneticPr fontId="1"/>
  </si>
  <si>
    <t>U-47</t>
  </si>
  <si>
    <t>一部機能停止</t>
  </si>
  <si>
    <t>一部機能のみ利用できない場合は、どのレベルとして扱いますか。</t>
  </si>
  <si>
    <t>中</t>
    <rPh sb="0" eb="1">
      <t>チュウ</t>
    </rPh>
    <phoneticPr fontId="1"/>
  </si>
  <si>
    <t>U-48</t>
  </si>
  <si>
    <t>データ遅延</t>
  </si>
  <si>
    <t>データ更新が遅れているが画面は表示できる場合、どのように扱いますか。</t>
  </si>
  <si>
    <t>低</t>
    <rPh sb="0" eb="1">
      <t>ヒク</t>
    </rPh>
    <phoneticPr fontId="1"/>
  </si>
  <si>
    <t>U-49</t>
  </si>
  <si>
    <t>誤データ・情報漏えい</t>
  </si>
  <si>
    <t>誤ったデータや他販社のデータが表示された場合、通常の機能障害とは別に扱いますか。</t>
  </si>
  <si>
    <t>U-50</t>
  </si>
  <si>
    <t>レベル別対応</t>
  </si>
  <si>
    <t>障害レベルごとに、連絡先や対応開始時間が決まっていますか。</t>
  </si>
  <si>
    <t>U-51</t>
  </si>
  <si>
    <t>夜間・休日</t>
  </si>
  <si>
    <t>夜間・休日に障害が発生した場合の連絡方法はありますか。</t>
  </si>
  <si>
    <t>休日分は存在します。夜間(20:00~翌8:00)はU-SLIMがメンテナンスタイムのため、U-SLIMの障害が発生することは原則ないと考えています。</t>
  </si>
  <si>
    <t>U-52</t>
  </si>
  <si>
    <t>利用者告知</t>
  </si>
  <si>
    <t>利用者や顧客へ告知する条件は決まっていますか。</t>
  </si>
  <si>
    <t>利用者：発生から24時間経過後も解消されない場合
※24時間とは、販売店様への影響があってから24時間とする（※U-SLIM提供時間外の障害は、U-SLIMが開始する8:00から24時間とする）​</t>
    <rPh sb="0" eb="3">
      <t>リヨウシャ</t>
    </rPh>
    <phoneticPr fontId="1"/>
  </si>
  <si>
    <t>U-53</t>
  </si>
  <si>
    <t>既存資料・証跡</t>
  </si>
  <si>
    <t>運用資料</t>
  </si>
  <si>
    <t>現在の監視項目や運用方法が記載された資料はありますか。</t>
  </si>
  <si>
    <t>https://tatgroup.sharepoint.com/:p:/s/TEC_U-SLIM879/IQBpHyVY05CWS7K7H6rDTSRYAZIVoKi-kFtuCoMtZ5YdTpI?e=3r0WCc</t>
    <phoneticPr fontId="1"/>
  </si>
  <si>
    <t>U-54</t>
  </si>
  <si>
    <t>手順書・連絡網</t>
  </si>
  <si>
    <t>障害対応手順書、連絡網、体制図はありますか。</t>
  </si>
  <si>
    <t>体制図・連絡網はあります</t>
  </si>
  <si>
    <t>U-55</t>
  </si>
  <si>
    <t>過去記録</t>
  </si>
  <si>
    <t>過去の障害チケットや対応記録を確認できますか。</t>
  </si>
  <si>
    <t>2026/07/15日から
本番-障害・不良管理表.xlsxで管理します</t>
    <rPh sb="10" eb="11">
      <t>ニチ</t>
    </rPh>
    <rPh sb="14" eb="16">
      <t>ホンバン</t>
    </rPh>
    <rPh sb="17" eb="19">
      <t>ショウガイ</t>
    </rPh>
    <rPh sb="20" eb="22">
      <t>フリョウ</t>
    </rPh>
    <rPh sb="22" eb="24">
      <t>カンリ</t>
    </rPh>
    <rPh sb="24" eb="25">
      <t>ヒョウ</t>
    </rPh>
    <rPh sb="31" eb="33">
      <t>カンリ</t>
    </rPh>
    <phoneticPr fontId="1"/>
  </si>
  <si>
    <t>U-56</t>
  </si>
  <si>
    <t>アラート証跡</t>
  </si>
  <si>
    <t>アラート通知の設定画面や通知例を確認できますか。</t>
  </si>
  <si>
    <t>CDPにアクセスすれば確認可能です</t>
  </si>
  <si>
    <t>U-57</t>
  </si>
  <si>
    <t>復旧手順</t>
  </si>
  <si>
    <t>再起動、再実行、切り戻しなどの手順書はありますか。</t>
  </si>
  <si>
    <t>手順書はありません</t>
  </si>
  <si>
    <t>U-58</t>
  </si>
  <si>
    <t>実運用</t>
  </si>
  <si>
    <t>資料に記載された手順は、現在も実際に使用されていますか。</t>
  </si>
  <si>
    <t>U-59</t>
  </si>
  <si>
    <t>旧資料</t>
  </si>
  <si>
    <t>古い資料や、現在は使用していないルールがありますか。</t>
  </si>
  <si>
    <t>存在すると思います。
ないと言いきれるような管理は出来ていません。</t>
  </si>
  <si>
    <t>DX道場 監視・エスカレーション ヒアリング質問票</t>
  </si>
  <si>
    <t>対象者：オウさん　／　目的：Power BI・Power Automate・DataVizの現行運用、障害対応、責任者、障害レベル、既存資料を確認する</t>
  </si>
  <si>
    <t>回答は「現在実施している運用」と「今後の予定」を分けて記録してください。資料がない場合は「資料なし」、確認できない場合は「未回答」と明記してください。</t>
    <phoneticPr fontId="1"/>
  </si>
  <si>
    <t>D-01</t>
    <phoneticPr fontId="1"/>
  </si>
  <si>
    <t>対象範囲と運用体制</t>
  </si>
  <si>
    <t>現在、DX道場で本番運用しているPower BI、Power Automate、DataVizの機能を教えてください。</t>
    <phoneticPr fontId="1"/>
  </si>
  <si>
    <t>①PowerBI、Powerautoamte：
以下のファイルを参照
https://tatgroup.sharepoint.com/:x:/s/TEC_DX-TEC/IQBy5v2j81yOSpedyhiY58tSAXVuozb4g4cnYFYguv2eeig?e=So8eFS
②Dataviz:
本番運用はまだ開始していません</t>
  </si>
  <si>
    <t>欧</t>
    <rPh sb="0" eb="1">
      <t>オウ</t>
    </rPh>
    <phoneticPr fontId="1"/>
  </si>
  <si>
    <t>D-02</t>
  </si>
  <si>
    <t>Power BI、Power Automate、DataVizについて、それぞれの担当者は誰ですか。</t>
  </si>
  <si>
    <r>
      <rPr>
        <sz val="11"/>
        <color rgb="FF000000"/>
        <rFont val="Noto Sans JP"/>
        <family val="3"/>
        <charset val="128"/>
      </rPr>
      <t xml:space="preserve">監視担当者？
</t>
    </r>
    <r>
      <rPr>
        <sz val="11"/>
        <color rgb="FF000000"/>
        <rFont val="Carlito"/>
        <family val="3"/>
        <charset val="128"/>
      </rPr>
      <t>休日；劉　虹帆さん。胡　欣欣さん
平日：欧</t>
    </r>
  </si>
  <si>
    <t>D-03</t>
  </si>
  <si>
    <t>担当範囲</t>
  </si>
  <si>
    <t>オウさんの担当範囲と、他の担当者へ確認が必要な範囲を教えてください。</t>
    <phoneticPr fontId="1"/>
  </si>
  <si>
    <t>担当範囲：システム環境の管理、本番リリース対応、調査など
他の担当者へ確認が必要な範囲： 上記担当範囲以外の事項</t>
  </si>
  <si>
    <t>欧</t>
    <phoneticPr fontId="1"/>
  </si>
  <si>
    <t>D-04</t>
  </si>
  <si>
    <t>トヨテック側と利用部門・顧客側の責任範囲は決まっていますか。</t>
    <phoneticPr fontId="1"/>
  </si>
  <si>
    <t>決まっていません</t>
  </si>
  <si>
    <t>D-05</t>
  </si>
  <si>
    <t>リリース状況</t>
  </si>
  <si>
    <t>現在は未リリースまたは検証段階の機能がありますか。</t>
  </si>
  <si>
    <t>あります</t>
    <phoneticPr fontId="1"/>
  </si>
  <si>
    <t>D-06</t>
  </si>
  <si>
    <t>Power BI・Power Automateの監視</t>
  </si>
  <si>
    <t>Excelに記載されているPower Automateの監視フローは、現在も利用していますか。</t>
  </si>
  <si>
    <t>利用しています</t>
    <rPh sb="0" eb="2">
      <t>リヨウ</t>
    </rPh>
    <phoneticPr fontId="1"/>
  </si>
  <si>
    <t>D-07</t>
  </si>
  <si>
    <t>リカバリ作業自動化_v2</t>
  </si>
  <si>
    <t>「リカバリ作業自動化_v2」は、どの処理を監視・復旧するフローですか。</t>
  </si>
  <si>
    <t>DX道場のpowerbiのセマンティックモデルの更新処理</t>
  </si>
  <si>
    <t>D-08</t>
  </si>
  <si>
    <t>実行結果の確認</t>
  </si>
  <si>
    <t>「実行結果の確認」は、どの処理結果を確認していますか。</t>
  </si>
  <si>
    <t>マスタメンテナンス機能の処理</t>
    <rPh sb="9" eb="11">
      <t>キノウ</t>
    </rPh>
    <rPh sb="12" eb="14">
      <t>ショリ</t>
    </rPh>
    <phoneticPr fontId="1"/>
  </si>
  <si>
    <t>D-09</t>
  </si>
  <si>
    <t>Power BI更新失敗</t>
  </si>
  <si>
    <t>Power BIデータセット更新失敗の通知を、実際に確認する担当者は誰ですか。</t>
    <phoneticPr fontId="1"/>
  </si>
  <si>
    <t>「【DX道場】PowerBIインポートモードデータ更新状況確認」にいるメンバー
主に吉田さん、欧が確認します</t>
  </si>
  <si>
    <t>D-10</t>
  </si>
  <si>
    <t>マスタメンテナンス</t>
  </si>
  <si>
    <t>マスタメンテナンス処理の失敗通知を、実際に確認する担当者は誰ですか。</t>
  </si>
  <si>
    <t>D-11</t>
  </si>
  <si>
    <t>Power Automate障害</t>
  </si>
  <si>
    <t>Power Automate自体が失敗・タイムアウトした場合、誰が気付きますか。</t>
  </si>
  <si>
    <t>D-12</t>
  </si>
  <si>
    <t>メール通知</t>
  </si>
  <si>
    <t>フロー所有者用アカウントへ届いたメールを、誰がどの頻度で確認していますか。</t>
  </si>
  <si>
    <t>確認者：欧
確認頻度：都度確認</t>
    <rPh sb="0" eb="2">
      <t>カクニン</t>
    </rPh>
    <rPh sb="2" eb="3">
      <t>シャ</t>
    </rPh>
    <rPh sb="4" eb="5">
      <t>オウ</t>
    </rPh>
    <rPh sb="6" eb="8">
      <t>カクニン</t>
    </rPh>
    <rPh sb="8" eb="10">
      <t>ヒンド</t>
    </rPh>
    <rPh sb="11" eb="13">
      <t>ツド</t>
    </rPh>
    <rPh sb="13" eb="15">
      <t>カクニン</t>
    </rPh>
    <phoneticPr fontId="1"/>
  </si>
  <si>
    <t>D-13</t>
  </si>
  <si>
    <t>代替通知</t>
  </si>
  <si>
    <t>メールが見落とされた場合の代替通知はありますか。</t>
    <phoneticPr fontId="1"/>
  </si>
  <si>
    <t>ないです</t>
    <phoneticPr fontId="1"/>
  </si>
  <si>
    <t>D-14</t>
  </si>
  <si>
    <t>通知改善</t>
  </si>
  <si>
    <t>Teamsやデータマネジメントシステムへの通知追加は、決定済みでしょうか。それとも今後の案でしょうか。</t>
    <phoneticPr fontId="1"/>
  </si>
  <si>
    <t>今後の案</t>
    <phoneticPr fontId="1"/>
  </si>
  <si>
    <t>D-15</t>
  </si>
  <si>
    <t>通知内容</t>
  </si>
  <si>
    <t>通知メールに、対象処理、発生時刻、エラー内容、再実行要否などは記載されていますか。</t>
  </si>
  <si>
    <t>はい</t>
    <phoneticPr fontId="1"/>
  </si>
  <si>
    <t>D-16</t>
  </si>
  <si>
    <t>失敗時の対応・再実行</t>
  </si>
  <si>
    <t>Power BIのデータセット更新に失敗した場合、現在どのような手順で対応していますか。</t>
  </si>
  <si>
    <t>①原因確認
②スクリプトで再更新を実行</t>
  </si>
  <si>
    <t>D-17</t>
  </si>
  <si>
    <t>再実行方式</t>
  </si>
  <si>
    <t>自動再実行と手動再実行のどちらを使用していますか。</t>
  </si>
  <si>
    <t>自動でリカバリしても失敗した場合は通知が送信されます。その際は、手動でエラー内容を確認し、再実行します。</t>
  </si>
  <si>
    <t>D-18</t>
  </si>
  <si>
    <t>再実行担当</t>
  </si>
  <si>
    <t>再実行を行う担当者は誰ですか。</t>
  </si>
  <si>
    <t>D-19</t>
  </si>
  <si>
    <t>事前確認</t>
  </si>
  <si>
    <t>再実行前に確認する項目はありますか。</t>
  </si>
  <si>
    <t>あります。
※失敗対象、エラー内容など</t>
    <phoneticPr fontId="1"/>
  </si>
  <si>
    <t>D-20</t>
  </si>
  <si>
    <t>再実行後、Power BIに正しいデータが表示されたことを誰が確認しますか。</t>
  </si>
  <si>
    <t>D-21</t>
  </si>
  <si>
    <t>マスタメンテナンス処理が失敗した場合、業務へどのような影響がありますか。</t>
  </si>
  <si>
    <t>ユーザーが変更した内容が帳票に反映されないです</t>
    <rPh sb="12" eb="14">
      <t>チョウヒョウ</t>
    </rPh>
    <phoneticPr fontId="1"/>
  </si>
  <si>
    <t>D-22</t>
  </si>
  <si>
    <t>許容遅延</t>
  </si>
  <si>
    <t>データ更新の遅延を許容できる時間は決まっていますか。</t>
  </si>
  <si>
    <t>決まっていません</t>
    <rPh sb="0" eb="1">
      <t>キ</t>
    </rPh>
    <phoneticPr fontId="1"/>
  </si>
  <si>
    <t>D-23</t>
  </si>
  <si>
    <t>再発・連続失敗</t>
  </si>
  <si>
    <t>同じ処理が複数回失敗した場合、上位担当者へ連絡する条件はありますか。</t>
    <phoneticPr fontId="1"/>
  </si>
  <si>
    <t xml:space="preserve">現状ですと、原因を確認し、復旧できない場合は上位担当者へ連絡します。
</t>
    <rPh sb="0" eb="2">
      <t>ゲンジョウ</t>
    </rPh>
    <phoneticPr fontId="1"/>
  </si>
  <si>
    <t>D-24</t>
  </si>
  <si>
    <t>代替手段</t>
  </si>
  <si>
    <t>復旧できない場合の手動作業や代替手段はありますか。</t>
  </si>
  <si>
    <t>D-25</t>
  </si>
  <si>
    <t>過去事例</t>
  </si>
  <si>
    <t>過去に発生した代表的な障害と、その対応例を確認できますか。</t>
    <phoneticPr fontId="1"/>
  </si>
  <si>
    <t>障害内容:
Power BIの大量のセマンティックモデル更新が失敗しました。リカバリ用のPower Automateがエラーを検出し、自動的に再実行も3回試みましたが、すべて失敗しました。その後、Power Automateからグループチャットへ通知が送信され、調査を実施しました。
原因:
調査の結果、GatewayのCドライブ容量不足が原因であることが判明しました。
過去の障害調査のためにGatewayの詳細ログ出力機能を有効化していたことでした。詳細ログが大量に出力され続けたことで、ログファイルが蓄積し、Cドライブの空き容量が不足になりました。
対応内容:
Gatewayの詳細ログ出力機能を無効化
不要なログファイルを削除し、ディスク容量を確保
更新失敗となった全販売店のセマンティックモデルに対して再更新スクリプトを実行
セマンティックモデルの更新が正常に完了したことを確認</t>
  </si>
  <si>
    <t>D-26</t>
  </si>
  <si>
    <t>DataVizは現在リリース済みでしょうか。</t>
  </si>
  <si>
    <t>検証段階です。
本番運用はまだ開始していません。</t>
  </si>
  <si>
    <t>D-27</t>
  </si>
  <si>
    <t>リリース予定</t>
  </si>
  <si>
    <t>未リリースの場合、現時点で予定されているリリース時期はありますか。</t>
  </si>
  <si>
    <t>D-28</t>
  </si>
  <si>
    <t>機能</t>
  </si>
  <si>
    <t>DataVizで利用者が使用する主な画面・機能は何ですか。</t>
  </si>
  <si>
    <t xml:space="preserve">「D-01」の機能と同じ予定です。
本番運用はまだ開始していません。
</t>
    <rPh sb="7" eb="9">
      <t>キノウ</t>
    </rPh>
    <rPh sb="10" eb="11">
      <t>オナ</t>
    </rPh>
    <rPh sb="12" eb="14">
      <t>ヨテイ</t>
    </rPh>
    <phoneticPr fontId="1"/>
  </si>
  <si>
    <t>D-29</t>
  </si>
  <si>
    <t>DataVizが停止した場合、どの利用者・業務に影響しますか。</t>
  </si>
  <si>
    <t>帳票を利用できません。</t>
    <rPh sb="0" eb="2">
      <t>チョウヒョウ</t>
    </rPh>
    <rPh sb="3" eb="5">
      <t>リヨウ</t>
    </rPh>
    <phoneticPr fontId="1"/>
  </si>
  <si>
    <t>D-30</t>
  </si>
  <si>
    <t>リリース後の運用責任者は決まっていますか。</t>
  </si>
  <si>
    <t>D-31</t>
  </si>
  <si>
    <t>監視対象</t>
  </si>
  <si>
    <t>監視対象として想定している項目はありますか。</t>
  </si>
  <si>
    <t>あります
※CDP側のCPU資料、メモリー使用率など</t>
    <rPh sb="9" eb="10">
      <t>ガワ</t>
    </rPh>
    <rPh sb="14" eb="16">
      <t>シリョウ</t>
    </rPh>
    <rPh sb="21" eb="23">
      <t>シヨウ</t>
    </rPh>
    <rPh sb="23" eb="24">
      <t>リツ</t>
    </rPh>
    <phoneticPr fontId="1"/>
  </si>
  <si>
    <t>D-32</t>
  </si>
  <si>
    <t>監視範囲</t>
  </si>
  <si>
    <t>画面表示、ログイン、データ更新、エラー、性能など、どこまで監視する予定ですか。</t>
  </si>
  <si>
    <t>D-33</t>
  </si>
  <si>
    <t>依存関係</t>
  </si>
  <si>
    <t>DataVizが参照するデータ基盤やデータ連携処理は何ですか。</t>
    <phoneticPr fontId="1"/>
  </si>
  <si>
    <t>以下のDBを参照する予定：
・本番環境：
　　　ai21rep_pr_dx_kudu
　　　ai21rep_pr_kudu
　　　ai21rep_stg_pr_dx_kudu
　　　neo1rep_pr_kudu
・検証環境：
　　　ai21rep_ve_dx_kudu
　　　ai21rep_ve_kudu
　　　ai21rep_ve_stg_kudu
　　　ai21rep_ve_test_kudu
　　　neo1rep_ve_kudu</t>
  </si>
  <si>
    <t>D-34</t>
  </si>
  <si>
    <t>基盤障害連絡</t>
  </si>
  <si>
    <t>データ基盤側で障害が起きた場合、DataViz担当へ連絡するルールはありますか。</t>
  </si>
  <si>
    <t>まだ決まっていません</t>
    <rPh sb="2" eb="3">
      <t>キ</t>
    </rPh>
    <phoneticPr fontId="1"/>
  </si>
  <si>
    <t>D-35</t>
  </si>
  <si>
    <t>タスク範囲</t>
  </si>
  <si>
    <t>DataVizの監視設計は今回のタスクで行いますか。それともリリース後の別タスクでしょうか。</t>
    <phoneticPr fontId="1"/>
  </si>
  <si>
    <t>まだ決まっていません</t>
    <phoneticPr fontId="1"/>
  </si>
  <si>
    <t>D-36</t>
  </si>
  <si>
    <t>責任者・エスカレーション</t>
  </si>
  <si>
    <t>DX道場の一次対応者は誰ですか。</t>
    <phoneticPr fontId="1"/>
  </si>
  <si>
    <t>佐々木　健人さん</t>
    <phoneticPr fontId="1"/>
  </si>
  <si>
    <t>D-37</t>
  </si>
  <si>
    <t>最終責任者</t>
  </si>
  <si>
    <t>Power BI、Power Automate、DataVizの最終責任者は、それぞれ誰ですか。</t>
  </si>
  <si>
    <t>吉田　博さん（PM）</t>
    <phoneticPr fontId="1"/>
  </si>
  <si>
    <t>D-38</t>
  </si>
  <si>
    <t>一次対応者だけで解決できない場合、誰へ連絡しますか。</t>
    <phoneticPr fontId="1"/>
  </si>
  <si>
    <t>吉田　博さん（PM）</t>
    <rPh sb="0" eb="2">
      <t>ヨシダ</t>
    </rPh>
    <rPh sb="3" eb="4">
      <t>ヒロシ</t>
    </rPh>
    <phoneticPr fontId="1"/>
  </si>
  <si>
    <t>D-39</t>
  </si>
  <si>
    <t>基盤側の障害とアプリ側の障害を、誰が切り分けますか。</t>
  </si>
  <si>
    <t>D-40</t>
  </si>
  <si>
    <t>暫定対応と恒久対応の承認者は誰ですか。</t>
  </si>
  <si>
    <t>D-41</t>
  </si>
  <si>
    <t>利用者連絡</t>
  </si>
  <si>
    <t>利用部門または顧客へ連絡する責任者は誰ですか。</t>
  </si>
  <si>
    <t>佐々木　健人さん</t>
    <rPh sb="0" eb="3">
      <t>ササキ</t>
    </rPh>
    <rPh sb="4" eb="6">
      <t>タケヒト</t>
    </rPh>
    <phoneticPr fontId="1"/>
  </si>
  <si>
    <t>D-42</t>
  </si>
  <si>
    <t>夜間・休日の対応ルールはありますか。</t>
  </si>
  <si>
    <t>あります
休日；劉　虹帆さん。胡　欣欣さん
平日：欧</t>
  </si>
  <si>
    <t>D-43</t>
  </si>
  <si>
    <t>代理者</t>
  </si>
  <si>
    <t>担当者不在時の代理者は決まっていますか。</t>
  </si>
  <si>
    <t>D-44</t>
  </si>
  <si>
    <t>定期報告</t>
  </si>
  <si>
    <t>対応中の定期報告や、復旧後の完了報告は必要ですか。</t>
  </si>
  <si>
    <t>必要です</t>
    <rPh sb="0" eb="2">
      <t>ヒツヨウ</t>
    </rPh>
    <phoneticPr fontId="1"/>
  </si>
  <si>
    <t>D-45</t>
  </si>
  <si>
    <t>重要度分類</t>
  </si>
  <si>
    <t>DX道場で現在使用している障害レベルや重要度分類はありますか。</t>
  </si>
  <si>
    <t>D-46</t>
    <phoneticPr fontId="1"/>
  </si>
  <si>
    <t>Power BIのデータ更新失敗は、どのような基準で重大度を判断していますか。</t>
    <phoneticPr fontId="1"/>
  </si>
  <si>
    <t>全ユーザーに影響する場合：重大
データ更新が24時間以上停止する場合：重大</t>
    <phoneticPr fontId="1"/>
  </si>
  <si>
    <t>D-47</t>
  </si>
  <si>
    <t>一部の帳票だけ更新できない場合と、すべての帳票が利用できない場合を分けていますか。</t>
    <phoneticPr fontId="1"/>
  </si>
  <si>
    <t>はい、分けています</t>
    <phoneticPr fontId="1"/>
  </si>
  <si>
    <t>D-48</t>
  </si>
  <si>
    <t>データ鮮度</t>
  </si>
  <si>
    <t>データが古いまま表示される状態は、どのように扱っていますか。</t>
    <phoneticPr fontId="1"/>
  </si>
  <si>
    <t>障害として扱っています
※D-46を参照</t>
    <rPh sb="18" eb="20">
      <t>サンショウ</t>
    </rPh>
    <phoneticPr fontId="1"/>
  </si>
  <si>
    <t>D-49</t>
  </si>
  <si>
    <t>誤データ</t>
  </si>
  <si>
    <t>誤ったデータが表示された場合、停止障害より重大に扱うケースはありますか。</t>
  </si>
  <si>
    <t>D-50</t>
  </si>
  <si>
    <t>継続時間・利用者数</t>
  </si>
  <si>
    <t>障害の継続時間や影響する利用者数によって、レベルを変更しますか。</t>
    <phoneticPr fontId="1"/>
  </si>
  <si>
    <t>変更します
※D-46を参照</t>
    <rPh sb="12" eb="14">
      <t>サンショウ</t>
    </rPh>
    <phoneticPr fontId="1"/>
  </si>
  <si>
    <t>D-51</t>
  </si>
  <si>
    <t>各レベルの対応開始時間、連絡先、利用者告知のルールはありますか。</t>
  </si>
  <si>
    <t xml:space="preserve">あります。
</t>
    <phoneticPr fontId="1"/>
  </si>
  <si>
    <t>D-52</t>
  </si>
  <si>
    <t>既存資料</t>
  </si>
  <si>
    <t>Power Automate資料</t>
  </si>
  <si>
    <t>Power Automateフローの構成や所有者を確認できる資料はありますか。</t>
    <phoneticPr fontId="1"/>
  </si>
  <si>
    <t>所有者を確認できる資料はあります</t>
    <rPh sb="0" eb="3">
      <t>ショユウシャ</t>
    </rPh>
    <rPh sb="4" eb="6">
      <t>カクニン</t>
    </rPh>
    <rPh sb="9" eb="11">
      <t>シリョウ</t>
    </rPh>
    <phoneticPr fontId="1"/>
  </si>
  <si>
    <t>D-53</t>
  </si>
  <si>
    <t>Power BI手順</t>
  </si>
  <si>
    <t>Power BIのデータセット更新手順・再実行手順はありますか。</t>
  </si>
  <si>
    <t xml:space="preserve">あります
https://tatgroup.sharepoint.com/:x:/s/TEC_DX-TEC/IQA9t0v-v7sCR5g5JrnYKRreAUqanW8pSiyY5Px0yhAgHZ0?e=dC2O0x
</t>
  </si>
  <si>
    <t>D-54</t>
  </si>
  <si>
    <t>障害対応資料</t>
  </si>
  <si>
    <t>障害対応手順書や連絡網はありますか。</t>
    <phoneticPr fontId="1"/>
  </si>
  <si>
    <t>連絡網あります。
障害対応手順書はないです。</t>
  </si>
  <si>
    <t>D-55</t>
  </si>
  <si>
    <t>過去の失敗メール、障害チケット、対応記録を確認できますか。</t>
    <phoneticPr fontId="1"/>
  </si>
  <si>
    <t>障害チケット、対応記録はないです。
過去の失敗メールはあります。</t>
  </si>
  <si>
    <t>D-56</t>
  </si>
  <si>
    <t>DataViz資料</t>
  </si>
  <si>
    <t>DataVizの構成資料、リリース計画、運用設計資料はありますか。</t>
    <phoneticPr fontId="1"/>
  </si>
  <si>
    <t xml:space="preserve">DataVizの構成資料、はあります。
リリース計画、運用設計資料はないです。
https://tatgroup.sharepoint.com/:x:/s/msteams_a2d958/IQALhxqTfbsvQ6HLsiviw64QASVZkbFVFm84aff4C8MsqnM?e=edeVeC
</t>
  </si>
  <si>
    <t>D-57</t>
  </si>
  <si>
    <t>旧資料・旧フロー</t>
  </si>
  <si>
    <t>現在使用していない古い資料やフローはありますか。</t>
  </si>
  <si>
    <t>DX道場　号口運用設計 追加確認回答表</t>
  </si>
  <si>
    <t>目的：DX道場の回答内容を「号口運用設計」Excelへ反映するため、未確定の項目だけを追加確認します。
黄色のセルへご記入ください。既存資料がある場合は、回答を新規作成せず、資料名・保存場所・URLをご記載ください。</t>
  </si>
  <si>
    <t>回答者情報</t>
  </si>
  <si>
    <t>回答者名</t>
  </si>
  <si>
    <t>欧　煒良</t>
    <phoneticPr fontId="1"/>
  </si>
  <si>
    <t>回答日</t>
  </si>
  <si>
    <t>1．障害レベルの段階数・重大度の方向</t>
  </si>
  <si>
    <t>確認内容</t>
  </si>
  <si>
    <t>補足・資料リンク</t>
  </si>
  <si>
    <t>障害レベルは何段階ですか。</t>
  </si>
  <si>
    <t>その他</t>
    <phoneticPr fontId="1"/>
  </si>
  <si>
    <t>現時点では障害レベルに関する明確な区分は設けておりません。重大な障害が発生した場合は、TMC担当者へ連絡するとともに、必要に応じてDX道場のTOPページに告知を掲載し、利用者へ周知しています。</t>
  </si>
  <si>
    <t>重大度の方向はどちらですか。</t>
  </si>
  <si>
    <t>レベル1が最も軽微、数字が大きいほど重大</t>
  </si>
  <si>
    <t>既存の障害レベル表・資料はありますか。</t>
  </si>
  <si>
    <t>2．障害レベルごとの判断・連絡・承認ルール</t>
    <phoneticPr fontId="1"/>
  </si>
  <si>
    <t>既存資料に記載がある場合は、表をすべて埋めず「資料名・保存場所・URL」を下部へ記載してください。
元Excelはレベル1（極小）～レベル4（極大）の4段階のため、現在のルールを対応づけて記入してください。</t>
  </si>
  <si>
    <t>元Excelの区分</t>
  </si>
  <si>
    <t>現在のレベル名・対応レベル</t>
  </si>
  <si>
    <t>主な判断基準</t>
  </si>
  <si>
    <t>一次対応者</t>
  </si>
  <si>
    <t>エスカレーション先</t>
  </si>
  <si>
    <t>暫定対応の承認者</t>
  </si>
  <si>
    <t>恒久対応の承認者</t>
  </si>
  <si>
    <t>対応中の報告頻度</t>
  </si>
  <si>
    <t>現時点では障害レベルに関する明確な区分は設けておりません</t>
  </si>
  <si>
    <t>既存資料名・保存場所・URL</t>
  </si>
  <si>
    <t>3．アラート発生後の対応順序</t>
  </si>
  <si>
    <t>現在の回答から、以下の流れと認識しています。内容が正しければ「正しい」を選択し、誤りがある場合は「修正あり」を選択して、正しい順序・役割を記入してください。</t>
  </si>
  <si>
    <t>順序</t>
  </si>
  <si>
    <t>現在の認識</t>
  </si>
  <si>
    <t>確認結果</t>
  </si>
  <si>
    <t>正しい内容・修正点</t>
  </si>
  <si>
    <t>オウさんまたは休日担当者がアラートを確認する</t>
  </si>
  <si>
    <t>正しい</t>
  </si>
  <si>
    <t>オウさんが原因調査・切り分け・再実行を行う</t>
  </si>
  <si>
    <t>修正あり</t>
  </si>
  <si>
    <t>内部の自動通知によるアラートについては欧が対応しています。利用者が問題を発見した場合は、まず佐々木さんへ連絡が入り、佐々木さんが一次対応として状況を確認したうえで、必要に応じて関係者へ連携しています。</t>
  </si>
  <si>
    <t>復旧できない場合は吉田 博さん（PM）へエスカレーションする</t>
  </si>
  <si>
    <t>佐々木 健人さんが利用部門または顧客へ連絡する</t>
  </si>
  <si>
    <t>佐々木さんが「一次対応者」となるタイミング・役割</t>
    <phoneticPr fontId="1"/>
  </si>
  <si>
    <t>利用者から障害の連絡を受けたタイミングで、佐々木さんが一次対応者となります。一次対応者として、まず状況確認を行い、必要に応じて関係者への連携や対応依頼を実施します。</t>
    <phoneticPr fontId="1"/>
  </si>
  <si>
    <t>4．顧客側責任者</t>
  </si>
  <si>
    <t>顧客側責任者は決まっていますか。</t>
    <phoneticPr fontId="1"/>
  </si>
  <si>
    <t>決まっている</t>
  </si>
  <si>
    <t>DX道場： 向井 敬詞　TMC
NEO：千徳 俊介　TMC
Bz4x：中村 健太郎　TMC
新車注文書明細: 赤尾 愉歩　TMC</t>
    <phoneticPr fontId="1"/>
  </si>
  <si>
    <t>元Excelには「未決定」と記載して問題ないですか。</t>
  </si>
  <si>
    <t>問題ない</t>
  </si>
  <si>
    <t>補足</t>
  </si>
  <si>
    <t>5．DataVizの今回の扱い</t>
  </si>
  <si>
    <t>DataVizは現在検証段階で本番運用前のため、今回の号口運用設計では「N/A」とし、監視・エスカレーションの詳細設計は本番リリース時の別タスクとして扱う認識でよいですか。</t>
  </si>
  <si>
    <t>この認識で問題ございません</t>
    <phoneticPr fontId="1"/>
  </si>
  <si>
    <t>補足・修正内容</t>
  </si>
  <si>
    <t>回答完了確認</t>
  </si>
  <si>
    <t>項目</t>
  </si>
  <si>
    <t>障害レベル・レベル別対応</t>
  </si>
  <si>
    <t>対応順序</t>
  </si>
  <si>
    <t>顧客側責任者</t>
  </si>
  <si>
    <t>DataVizの扱い</t>
  </si>
  <si>
    <r>
      <t>【サービスレベル】</t>
    </r>
    <r>
      <rPr>
        <sz val="12"/>
        <color rgb="FF000000"/>
        <rFont val="游ゴシック"/>
        <family val="3"/>
        <charset val="128"/>
      </rPr>
      <t>​​</t>
    </r>
  </si>
  <si>
    <r>
      <t>【対応内容】</t>
    </r>
    <r>
      <rPr>
        <sz val="12"/>
        <color rgb="FF000000"/>
        <rFont val="游ゴシック"/>
        <family val="3"/>
        <charset val="128"/>
      </rPr>
      <t>​​</t>
    </r>
  </si>
  <si>
    <t>停止状況​​</t>
  </si>
  <si>
    <t>レベル​​</t>
  </si>
  <si>
    <t>サービス状況​​</t>
  </si>
  <si>
    <r>
      <t>完全停止</t>
    </r>
    <r>
      <rPr>
        <sz val="12"/>
        <color rgb="FF000000"/>
        <rFont val="游ゴシック"/>
        <family val="3"/>
        <charset val="128"/>
      </rPr>
      <t>​​</t>
    </r>
  </si>
  <si>
    <t>高​​</t>
  </si>
  <si>
    <t>症状​​</t>
  </si>
  <si>
    <t>U-SLIMが利用できない​​</t>
  </si>
  <si>
    <t>即時対応​</t>
  </si>
  <si>
    <t>1時間おきの状況のレポート​</t>
  </si>
  <si>
    <t>解消策を立案し、検証環境での解消策を検証​</t>
  </si>
  <si>
    <t>対応内容についてPOの承認を得て緊急リリースを行う​</t>
  </si>
  <si>
    <t>例​​</t>
  </si>
  <si>
    <r>
      <t>U-SLIMにログインできない</t>
    </r>
    <r>
      <rPr>
        <sz val="12"/>
        <color rgb="FF000000"/>
        <rFont val="游ゴシック"/>
        <family val="1"/>
        <charset val="128"/>
      </rPr>
      <t>​​</t>
    </r>
    <phoneticPr fontId="1"/>
  </si>
  <si>
    <r>
      <t>部分停止</t>
    </r>
    <r>
      <rPr>
        <sz val="12"/>
        <color rgb="FF000000"/>
        <rFont val="游ゴシック"/>
        <family val="3"/>
        <charset val="128"/>
      </rPr>
      <t>​​</t>
    </r>
  </si>
  <si>
    <t>中​​</t>
  </si>
  <si>
    <t>一部機能のみ利用不可​​</t>
  </si>
  <si>
    <t>3時間おきの状況のレポート​</t>
  </si>
  <si>
    <t>対応内容についてPOの承認を得てリリースを行う​</t>
  </si>
  <si>
    <t>提案予定入力・編集できない​​</t>
  </si>
  <si>
    <t>共有在庫のリンク先が開かない​​</t>
  </si>
  <si>
    <t>提案予定状況管理画面が開けない​​</t>
  </si>
  <si>
    <r>
      <t>機能低下</t>
    </r>
    <r>
      <rPr>
        <sz val="12"/>
        <color rgb="FF000000"/>
        <rFont val="游ゴシック"/>
        <family val="3"/>
        <charset val="128"/>
      </rPr>
      <t>​​</t>
    </r>
  </si>
  <si>
    <t>低​​</t>
  </si>
  <si>
    <t>遅延や不安定な状態だが利用可能​​</t>
  </si>
  <si>
    <t>経過観察​</t>
  </si>
  <si>
    <t>発生から24時間経過後も解消されない場合、フラグ無しでお知らせ​を掲載​</t>
  </si>
  <si>
    <t>外部システムからデータ連携遅延​​</t>
  </si>
  <si>
    <t>DX道場の主要画面・帳票が全体的に利用できない、または主要データの更新停止により業務利用できない状態</t>
  </si>
  <si>
    <t>即時に状況を確認する</t>
  </si>
  <si>
    <t>内部の自動通知で検知した場合は、欧さんがアラート確認・切り分け・再実行を行う</t>
  </si>
  <si>
    <t>利用者から申告があった場合は、佐々木健人さんが一次対応して、必要に応じて関係者へ連携する。</t>
  </si>
  <si>
    <t>普及できない場合は吉田博さん(PM)へエスカレーションする。重大障害時はTMC担当者へ連絡して、必要に応じてDX道場TOPページへ告知する。</t>
  </si>
  <si>
    <t>PowerBI全体が閲覧できない
主要データ更新が停止し、最新情報を利用できない</t>
  </si>
  <si>
    <t>※正式な報告頻度・承認条件・告知条件は未設定</t>
  </si>
  <si>
    <t>一部の帳票・昨日・データ更新のみ利用できない状態</t>
  </si>
  <si>
    <t>状況確認後、原因調査・切り分け・再実行を行う。</t>
  </si>
  <si>
    <t>内部通知は欧さん、利用者申告は佐々木健人さんが一次対応する。</t>
  </si>
  <si>
    <t>必要に応じて関係者へ連携して、復旧できない場合や影響が拡大した場合は吉田博さん(PM)へエスカレーションする。</t>
  </si>
  <si>
    <t>利用部門・顧客への連絡は佐々木健人さんが担当。</t>
  </si>
  <si>
    <t>特定のPowerBI帳票が表示できない</t>
  </si>
  <si>
    <t>※正式な対応開始時間・報告頻度・告知条件は未設定</t>
  </si>
  <si>
    <t>特定のセマンティックモデル更新のみ失敗</t>
  </si>
  <si>
    <t>マスタメンテナンス処理またはPowerAutomateフローの一部が失敗している。</t>
  </si>
  <si>
    <t>データ更新遅延や一時的な処理遅延があるが、主要機能は利用可能な状態。</t>
  </si>
  <si>
    <t>アラートまたは利用者申告を確認して、必要に応じて再実行・経過観察を行う。</t>
  </si>
  <si>
    <t>影響が長期化または拡大する場合は関係者へ連携して、PMへのエスカレーションを検討する。</t>
  </si>
  <si>
    <t>データ更新遅延、古いデータ表示、一次的なPower AutoMateフロー失敗</t>
  </si>
  <si>
    <t>※正式なレベル区分ではなく、告知・承認条件は未設定。</t>
  </si>
  <si>
    <t>※欧さんから「DX道場では正式なレベル区分およびレベル別対応基準を設けていない」と回答をいただいている。</t>
  </si>
  <si>
    <t>　上表はU-SLIM同様に比較・整理するため、現在確認できている対応実態を「高・中・低相当」に仮整理したもの。正式な運用ルール・合意済みではありませんが、おおむね【対応内容】の内容は票の通りに動いている。</t>
  </si>
  <si>
    <t>　欧さんにも確認をいただいて問題ないといただきました。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</si>
</sst>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63">
    <font>
      <sz val="11"/>
      <color theme="1"/>
      <name val="游ゴシック"/>
      <family val="2"/>
      <scheme val="minor"/>
    </font>
    <font>
      <u/>
      <sz val="11"/>
      <color theme="10"/>
      <name val="游ゴシック"/>
      <family val="2"/>
      <scheme val="minor"/>
    </font>
    <font>
      <sz val="11"/>
      <color theme="1"/>
      <name val="Yu Gothic UI"/>
      <family val="3"/>
      <charset val="128"/>
    </font>
    <font>
      <b/>
      <sz val="14"/>
      <color theme="1"/>
      <name val="Yu Gothic UI"/>
      <family val="3"/>
      <charset val="128"/>
    </font>
    <font>
      <b/>
      <sz val="11"/>
      <color theme="1"/>
      <name val="Yu Gothic UI"/>
      <family val="3"/>
      <charset val="128"/>
    </font>
    <font>
      <sz val="11"/>
      <color rgb="FFC00000"/>
      <name val="Yu Gothic UI"/>
      <family val="3"/>
      <charset val="128"/>
    </font>
    <font>
      <sz val="11"/>
      <color rgb="FF000000"/>
      <name val="Yu Gothic UI"/>
      <family val="3"/>
      <charset val="128"/>
    </font>
    <font>
      <b/>
      <sz val="18"/>
      <color theme="1"/>
      <name val="Yu Gothic UI"/>
      <family val="3"/>
      <charset val="128"/>
    </font>
    <font>
      <b/>
      <sz val="11"/>
      <color theme="0"/>
      <name val="Yu Gothic UI"/>
      <family val="3"/>
      <charset val="128"/>
    </font>
    <font>
      <sz val="14"/>
      <color theme="1"/>
      <name val="Yu Gothic UI"/>
      <family val="3"/>
      <charset val="128"/>
    </font>
    <font>
      <sz val="6"/>
      <name val="游ゴシック"/>
      <family val="3"/>
      <charset val="128"/>
      <scheme val="minor"/>
    </font>
    <font>
      <sz val="11"/>
      <color theme="1"/>
      <name val="游ゴシック"/>
      <family val="2"/>
      <scheme val="minor"/>
    </font>
    <font>
      <sz val="11"/>
      <color rgb="FFA5A5A5"/>
      <name val="Yu Gothic UI"/>
      <family val="3"/>
      <charset val="128"/>
    </font>
    <font>
      <sz val="11"/>
      <color rgb="FF7F7F7F"/>
      <name val="Yu Gothic UI"/>
      <family val="3"/>
      <charset val="128"/>
    </font>
    <font>
      <sz val="12"/>
      <color theme="1"/>
      <name val="Yu Gothic UI"/>
      <family val="3"/>
      <charset val="128"/>
    </font>
    <font>
      <sz val="11"/>
      <name val="Yu Gothic UI"/>
      <family val="3"/>
      <charset val="128"/>
    </font>
    <font>
      <b/>
      <sz val="11"/>
      <color rgb="FFFFFFFF"/>
      <name val="Yu Gothic UI"/>
      <family val="3"/>
      <charset val="128"/>
    </font>
    <font>
      <sz val="11"/>
      <color rgb="FF2E75B5"/>
      <name val="Yu Gothic UI"/>
      <family val="3"/>
      <charset val="128"/>
    </font>
    <font>
      <sz val="11"/>
      <color rgb="FF4A86E8"/>
      <name val="Yu Gothic UI"/>
      <family val="3"/>
      <charset val="128"/>
    </font>
    <font>
      <b/>
      <sz val="20"/>
      <color theme="1"/>
      <name val="Yu Gothic UI"/>
      <family val="3"/>
      <charset val="128"/>
    </font>
    <font>
      <sz val="15"/>
      <color theme="1"/>
      <name val="Yu Gothic UI"/>
      <family val="3"/>
      <charset val="128"/>
    </font>
    <font>
      <b/>
      <sz val="12"/>
      <color theme="1"/>
      <name val="Yu Gothic UI"/>
      <family val="3"/>
      <charset val="128"/>
    </font>
    <font>
      <b/>
      <sz val="15"/>
      <color theme="1"/>
      <name val="Yu Gothic UI"/>
      <family val="3"/>
      <charset val="128"/>
    </font>
    <font>
      <b/>
      <sz val="16"/>
      <color theme="1"/>
      <name val="Yu Gothic UI"/>
      <family val="3"/>
      <charset val="128"/>
    </font>
    <font>
      <sz val="12"/>
      <name val="Yu Gothic UI"/>
      <family val="3"/>
      <charset val="128"/>
    </font>
    <font>
      <sz val="11"/>
      <color rgb="FFFF0000"/>
      <name val="Yu Gothic UI"/>
      <family val="3"/>
      <charset val="128"/>
    </font>
    <font>
      <b/>
      <sz val="11"/>
      <color rgb="FF000000"/>
      <name val="Yu Gothic UI"/>
      <family val="3"/>
      <charset val="128"/>
    </font>
    <font>
      <strike/>
      <sz val="11"/>
      <color rgb="FF000000"/>
      <name val="Yu Gothic UI"/>
      <family val="3"/>
      <charset val="128"/>
    </font>
    <font>
      <b/>
      <sz val="11"/>
      <color rgb="FFFF0000"/>
      <name val="Yu Gothic UI"/>
      <family val="3"/>
      <charset val="128"/>
    </font>
    <font>
      <strike/>
      <sz val="11"/>
      <color theme="1"/>
      <name val="Yu Gothic UI"/>
      <family val="3"/>
      <charset val="128"/>
    </font>
    <font>
      <b/>
      <sz val="11"/>
      <color theme="1"/>
      <name val="游ゴシック"/>
      <family val="2"/>
      <scheme val="minor"/>
    </font>
    <font>
      <sz val="11"/>
      <color rgb="FF000000"/>
      <name val="游ゴシック"/>
      <family val="3"/>
      <charset val="128"/>
      <scheme val="minor"/>
    </font>
    <font>
      <u/>
      <sz val="11"/>
      <color rgb="FF0563C1"/>
      <name val="游ゴシック"/>
      <family val="3"/>
      <charset val="128"/>
      <scheme val="minor"/>
    </font>
    <font>
      <u/>
      <sz val="11"/>
      <color theme="10"/>
      <name val="Calibri"/>
    </font>
    <font>
      <u/>
      <sz val="11"/>
      <color theme="10"/>
      <name val="游ゴシック"/>
      <scheme val="minor"/>
    </font>
    <font>
      <sz val="11"/>
      <color rgb="FF4472C4"/>
      <name val="Yu Gothic UI"/>
      <family val="3"/>
      <charset val="128"/>
    </font>
    <font>
      <sz val="11"/>
      <color theme="4"/>
      <name val="Yu Gothic UI"/>
      <family val="3"/>
      <charset val="128"/>
    </font>
    <font>
      <sz val="14"/>
      <color rgb="FF000000"/>
      <name val="游ゴシック"/>
      <family val="3"/>
      <charset val="128"/>
    </font>
    <font>
      <sz val="11"/>
      <color rgb="FF000000"/>
      <name val="游ゴシック"/>
      <family val="3"/>
      <charset val="128"/>
    </font>
    <font>
      <b/>
      <sz val="12"/>
      <color rgb="FF000000"/>
      <name val="游ゴシック"/>
      <family val="3"/>
      <charset val="128"/>
    </font>
    <font>
      <sz val="12"/>
      <color rgb="FF000000"/>
      <name val="游ゴシック"/>
      <family val="3"/>
      <charset val="128"/>
    </font>
    <font>
      <sz val="12"/>
      <color rgb="FF000000"/>
      <name val="游ゴシック"/>
      <family val="1"/>
      <charset val="128"/>
    </font>
    <font>
      <sz val="9.6"/>
      <color rgb="FF000000"/>
      <name val="游ゴシック"/>
      <family val="3"/>
      <charset val="128"/>
    </font>
    <font>
      <b/>
      <sz val="16"/>
      <color rgb="FFFFFFFF"/>
      <name val="Carlito"/>
      <family val="3"/>
      <charset val="128"/>
    </font>
    <font>
      <sz val="11"/>
      <color rgb="FF1F1F1F"/>
      <name val="Carlito"/>
      <family val="3"/>
      <charset val="128"/>
    </font>
    <font>
      <i/>
      <sz val="11"/>
      <color rgb="FF404040"/>
      <name val="Carlito"/>
      <family val="3"/>
      <charset val="128"/>
    </font>
    <font>
      <b/>
      <sz val="11"/>
      <color rgb="FFFFFFFF"/>
      <name val="Carlito"/>
      <family val="3"/>
      <charset val="128"/>
    </font>
    <font>
      <sz val="11"/>
      <color theme="1"/>
      <name val="Carlito"/>
      <family val="3"/>
      <charset val="128"/>
    </font>
    <font>
      <sz val="11"/>
      <color rgb="FF000000"/>
      <name val="Carlito"/>
      <family val="3"/>
      <charset val="134"/>
    </font>
    <font>
      <sz val="11"/>
      <color rgb="FF000000"/>
      <name val="Noto Sans JP"/>
      <family val="3"/>
      <charset val="128"/>
    </font>
    <font>
      <sz val="11"/>
      <color rgb="FF000000"/>
      <name val="Carlito"/>
      <family val="3"/>
      <charset val="128"/>
    </font>
    <font>
      <b/>
      <sz val="10"/>
      <color rgb="FFFFFFFF"/>
      <name val="Yu Gothic UI"/>
      <family val="3"/>
      <charset val="128"/>
    </font>
    <font>
      <sz val="10"/>
      <color rgb="FF1F1F1F"/>
      <name val="Yu Gothic UI"/>
      <family val="3"/>
      <charset val="128"/>
    </font>
    <font>
      <sz val="10"/>
      <name val="Yu Gothic UI"/>
      <family val="3"/>
      <charset val="128"/>
    </font>
    <font>
      <b/>
      <sz val="10"/>
      <name val="Yu Gothic UI"/>
      <family val="3"/>
      <charset val="128"/>
    </font>
    <font>
      <sz val="11"/>
      <color rgb="FFFF0000"/>
      <name val="Carlito"/>
      <family val="3"/>
      <charset val="128"/>
    </font>
    <font>
      <u/>
      <sz val="11"/>
      <color theme="10"/>
      <name val="游ゴシック"/>
      <family val="3"/>
      <charset val="128"/>
      <scheme val="minor"/>
    </font>
    <font>
      <sz val="10"/>
      <color rgb="FF000000"/>
      <name val="游ゴシック"/>
      <family val="3"/>
      <charset val="128"/>
    </font>
    <font>
      <sz val="8"/>
      <color rgb="FF000000"/>
      <name val="游ゴシック"/>
      <family val="3"/>
      <charset val="128"/>
    </font>
    <font>
      <sz val="11"/>
      <color rgb="FF000000"/>
      <name val="游ゴシック"/>
      <family val="2"/>
      <scheme val="minor"/>
    </font>
    <font>
      <u/>
      <sz val="11"/>
      <color rgb="FF0563C1"/>
      <name val="游ゴシック"/>
      <family val="2"/>
      <scheme val="minor"/>
    </font>
    <font>
      <u/>
      <sz val="11"/>
      <color rgb="FF000000"/>
      <name val="游ゴシック"/>
      <family val="2"/>
      <scheme val="minor"/>
    </font>
    <font>
      <sz val="11"/>
      <color theme="1" tint="0.499984740745262"/>
      <name val="Yu Gothic UI"/>
      <family val="3"/>
      <charset val="128"/>
    </font>
  </fonts>
  <fills count="48">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D6DCE4"/>
        <bgColor rgb="FFD6DCE4"/>
      </patternFill>
    </fill>
    <fill>
      <patternFill patternType="solid">
        <fgColor rgb="FFE2EFD9"/>
        <bgColor rgb="FFE2EFD9"/>
      </patternFill>
    </fill>
    <fill>
      <patternFill patternType="solid">
        <fgColor rgb="FFBFBFBF"/>
        <bgColor rgb="FFBFBFBF"/>
      </patternFill>
    </fill>
    <fill>
      <patternFill patternType="solid">
        <fgColor rgb="FFFFF2CB"/>
        <bgColor rgb="FFFFF2CB"/>
      </patternFill>
    </fill>
    <fill>
      <patternFill patternType="solid">
        <fgColor rgb="FFAEABAB"/>
        <bgColor rgb="FFAEABAB"/>
      </patternFill>
    </fill>
    <fill>
      <patternFill patternType="solid">
        <fgColor rgb="FF9CC2E5"/>
        <bgColor rgb="FF9CC2E5"/>
      </patternFill>
    </fill>
    <fill>
      <patternFill patternType="solid">
        <fgColor rgb="FF595959"/>
        <bgColor rgb="FF595959"/>
      </patternFill>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FFE598"/>
        <bgColor rgb="FFFFE598"/>
      </patternFill>
    </fill>
    <fill>
      <patternFill patternType="solid">
        <fgColor rgb="FFF4B083"/>
        <bgColor rgb="FFF4B083"/>
      </patternFill>
    </fill>
    <fill>
      <patternFill patternType="solid">
        <fgColor rgb="FF3F3F3F"/>
        <bgColor rgb="FF3F3F3F"/>
      </patternFill>
    </fill>
    <fill>
      <patternFill patternType="solid">
        <fgColor rgb="FFE7E6E6"/>
        <bgColor rgb="FFE7E6E6"/>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2F2F2"/>
      </patternFill>
    </fill>
    <fill>
      <patternFill patternType="solid">
        <fgColor rgb="FFD9D9D9"/>
        <bgColor indexed="64"/>
      </patternFill>
    </fill>
    <fill>
      <patternFill patternType="solid">
        <fgColor rgb="FFFFCCCC"/>
        <bgColor indexed="64"/>
      </patternFill>
    </fill>
    <fill>
      <patternFill patternType="solid">
        <fgColor rgb="FFFDEADA"/>
        <bgColor indexed="64"/>
      </patternFill>
    </fill>
    <fill>
      <patternFill patternType="solid">
        <fgColor rgb="FFDCE6F2"/>
        <bgColor indexed="64"/>
      </patternFill>
    </fill>
    <fill>
      <patternFill patternType="solid">
        <fgColor rgb="FF1F4E78"/>
        <bgColor rgb="FF1F4E78"/>
      </patternFill>
    </fill>
    <fill>
      <patternFill patternType="solid">
        <fgColor rgb="FFD9EAF7"/>
        <bgColor rgb="FFD9EAF7"/>
      </patternFill>
    </fill>
    <fill>
      <patternFill patternType="solid">
        <fgColor rgb="FFEAF2F8"/>
        <bgColor rgb="FFEAF2F8"/>
      </patternFill>
    </fill>
    <fill>
      <patternFill patternType="solid">
        <fgColor rgb="FF5B9BD5"/>
        <bgColor rgb="FF5B9BD5"/>
      </patternFill>
    </fill>
    <fill>
      <patternFill patternType="solid">
        <fgColor rgb="FFF7FBFE"/>
        <bgColor rgb="FFF7FBFE"/>
      </patternFill>
    </fill>
    <fill>
      <patternFill patternType="solid">
        <fgColor rgb="FF1F4E78"/>
      </patternFill>
    </fill>
    <fill>
      <patternFill patternType="solid">
        <fgColor rgb="FFEAF3F8"/>
      </patternFill>
    </fill>
    <fill>
      <patternFill patternType="solid">
        <fgColor rgb="FFD9EAF7"/>
      </patternFill>
    </fill>
    <fill>
      <patternFill patternType="solid">
        <fgColor rgb="FFFFF2CC"/>
      </patternFill>
    </fill>
  </fills>
  <borders count="233">
    <border>
      <left/>
      <right/>
      <top/>
      <bottom/>
      <diagonal/>
    </border>
    <border>
      <left style="medium">
        <color rgb="FF000000"/>
      </left>
      <right style="dotted">
        <color rgb="FF000000"/>
      </right>
      <top style="medium">
        <color rgb="FF000000"/>
      </top>
      <bottom style="double">
        <color rgb="FF000000"/>
      </bottom>
      <diagonal/>
    </border>
    <border>
      <left/>
      <right style="medium">
        <color rgb="FF000000"/>
      </right>
      <top style="dotted">
        <color rgb="FF000000"/>
      </top>
      <bottom style="dotted">
        <color rgb="FF000000"/>
      </bottom>
      <diagonal/>
    </border>
    <border>
      <left/>
      <right style="medium">
        <color rgb="FF000000"/>
      </right>
      <top style="medium">
        <color rgb="FF000000"/>
      </top>
      <bottom style="double">
        <color rgb="FF000000"/>
      </bottom>
      <diagonal/>
    </border>
    <border>
      <left/>
      <right style="medium">
        <color rgb="FF000000"/>
      </right>
      <top/>
      <bottom style="dotted">
        <color rgb="FF000000"/>
      </bottom>
      <diagonal/>
    </border>
    <border>
      <left style="dotted">
        <color rgb="FF000000"/>
      </left>
      <right style="thin">
        <color rgb="FF000000"/>
      </right>
      <top style="medium">
        <color rgb="FF000000"/>
      </top>
      <bottom style="double">
        <color rgb="FF000000"/>
      </bottom>
      <diagonal/>
    </border>
    <border>
      <left style="dotted">
        <color rgb="FF000000"/>
      </left>
      <right style="thin">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medium">
        <color rgb="FF000000"/>
      </left>
      <right/>
      <top style="medium">
        <color rgb="FF000000"/>
      </top>
      <bottom style="double">
        <color rgb="FF000000"/>
      </bottom>
      <diagonal/>
    </border>
    <border>
      <left style="medium">
        <color rgb="FF000000"/>
      </left>
      <right/>
      <top style="double">
        <color rgb="FF000000"/>
      </top>
      <bottom/>
      <diagonal/>
    </border>
    <border>
      <left style="medium">
        <color rgb="FF000000"/>
      </left>
      <right/>
      <top/>
      <bottom/>
      <diagonal/>
    </border>
    <border>
      <left style="thin">
        <color rgb="FF000000"/>
      </left>
      <right/>
      <top style="medium">
        <color rgb="FF000000"/>
      </top>
      <bottom style="double">
        <color rgb="FF000000"/>
      </bottom>
      <diagonal/>
    </border>
    <border>
      <left style="thin">
        <color rgb="FF000000"/>
      </left>
      <right/>
      <top style="dotted">
        <color rgb="FF000000"/>
      </top>
      <bottom style="dotted">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style="thin">
        <color rgb="FF000000"/>
      </left>
      <right style="dotted">
        <color rgb="FF000000"/>
      </right>
      <top/>
      <bottom style="dotted">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dotted">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right style="dotted">
        <color rgb="FF000000"/>
      </right>
      <top style="medium">
        <color rgb="FF000000"/>
      </top>
      <bottom style="double">
        <color rgb="FF000000"/>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right style="dotted">
        <color rgb="FF000000"/>
      </right>
      <top style="thin">
        <color rgb="FF000000"/>
      </top>
      <bottom style="medium">
        <color rgb="FF000000"/>
      </bottom>
      <diagonal/>
    </border>
    <border>
      <left/>
      <right/>
      <top/>
      <bottom style="dotted">
        <color rgb="FF000000"/>
      </bottom>
      <diagonal/>
    </border>
    <border>
      <left/>
      <right/>
      <top style="dotted">
        <color rgb="FF000000"/>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thin">
        <color rgb="FF000000"/>
      </right>
      <top/>
      <bottom style="dotted">
        <color rgb="FF000000"/>
      </bottom>
      <diagonal/>
    </border>
    <border>
      <left/>
      <right style="thin">
        <color rgb="FF000000"/>
      </right>
      <top style="dotted">
        <color rgb="FF000000"/>
      </top>
      <bottom style="dotted">
        <color rgb="FF000000"/>
      </bottom>
      <diagonal/>
    </border>
    <border>
      <left/>
      <right style="thin">
        <color rgb="FF000000"/>
      </right>
      <top/>
      <bottom style="double">
        <color rgb="FF000000"/>
      </bottom>
      <diagonal/>
    </border>
    <border>
      <left/>
      <right style="dotted">
        <color rgb="FF000000"/>
      </right>
      <top/>
      <bottom style="double">
        <color rgb="FF000000"/>
      </bottom>
      <diagonal/>
    </border>
    <border>
      <left style="dotted">
        <color rgb="FF000000"/>
      </left>
      <right style="thin">
        <color rgb="FF000000"/>
      </right>
      <top/>
      <bottom style="double">
        <color rgb="FF000000"/>
      </bottom>
      <diagonal/>
    </border>
    <border>
      <left/>
      <right/>
      <top/>
      <bottom style="double">
        <color rgb="FF000000"/>
      </bottom>
      <diagonal/>
    </border>
    <border>
      <left style="medium">
        <color rgb="FF000000"/>
      </left>
      <right style="thin">
        <color rgb="FF000000"/>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style="thin">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right style="thin">
        <color rgb="FF000000"/>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style="thin">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right/>
      <top style="medium">
        <color rgb="FF000000"/>
      </top>
      <bottom style="double">
        <color rgb="FF000000"/>
      </bottom>
      <diagonal/>
    </border>
    <border>
      <left/>
      <right/>
      <top style="dotted">
        <color rgb="FF000000"/>
      </top>
      <bottom style="medium">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bottom style="double">
        <color rgb="FF000000"/>
      </bottom>
      <diagonal/>
    </border>
    <border>
      <left/>
      <right style="medium">
        <color rgb="FF000000"/>
      </right>
      <top/>
      <bottom style="double">
        <color rgb="FF000000"/>
      </bottom>
      <diagonal/>
    </border>
    <border>
      <left style="medium">
        <color rgb="FF000000"/>
      </left>
      <right style="thin">
        <color rgb="FF000000"/>
      </right>
      <top/>
      <bottom style="double">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thin">
        <color rgb="FF000000"/>
      </right>
      <top style="medium">
        <color rgb="FF000000"/>
      </top>
      <bottom style="dotted">
        <color rgb="FF000000"/>
      </bottom>
      <diagonal/>
    </border>
    <border>
      <left style="medium">
        <color rgb="FF000000"/>
      </left>
      <right/>
      <top style="medium">
        <color rgb="FF000000"/>
      </top>
      <bottom style="dotted">
        <color rgb="FF000000"/>
      </bottom>
      <diagonal/>
    </border>
    <border>
      <left/>
      <right style="thin">
        <color rgb="FF000000"/>
      </right>
      <top style="medium">
        <color rgb="FF000000"/>
      </top>
      <bottom style="dotted">
        <color rgb="FF000000"/>
      </bottom>
      <diagonal/>
    </border>
    <border>
      <left style="medium">
        <color rgb="FF000000"/>
      </left>
      <right/>
      <top/>
      <bottom style="dotted">
        <color rgb="FF000000"/>
      </bottom>
      <diagonal/>
    </border>
    <border>
      <left style="dotted">
        <color rgb="FF000000"/>
      </left>
      <right/>
      <top style="medium">
        <color rgb="FF000000"/>
      </top>
      <bottom style="double">
        <color rgb="FF000000"/>
      </bottom>
      <diagonal/>
    </border>
    <border>
      <left style="dotted">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thin">
        <color rgb="FF000000"/>
      </left>
      <right/>
      <top style="double">
        <color rgb="FF000000"/>
      </top>
      <bottom style="dotted">
        <color rgb="FF000000"/>
      </bottom>
      <diagonal/>
    </border>
    <border>
      <left/>
      <right style="dotted">
        <color rgb="FF000000"/>
      </right>
      <top style="double">
        <color rgb="FF000000"/>
      </top>
      <bottom style="dotted">
        <color rgb="FF000000"/>
      </bottom>
      <diagonal/>
    </border>
    <border>
      <left style="thin">
        <color rgb="FF000000"/>
      </left>
      <right/>
      <top style="dotted">
        <color rgb="FF000000"/>
      </top>
      <bottom style="medium">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uble">
        <color rgb="FF000000"/>
      </top>
      <bottom style="dotted">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dotted">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style="medium">
        <color rgb="FF000000"/>
      </right>
      <top style="medium">
        <color rgb="FF000000"/>
      </top>
      <bottom style="double">
        <color rgb="FF000000"/>
      </bottom>
      <diagonal/>
    </border>
    <border>
      <left style="thin">
        <color rgb="FF000000"/>
      </left>
      <right style="medium">
        <color rgb="FF000000"/>
      </right>
      <top/>
      <bottom style="dotted">
        <color rgb="FF000000"/>
      </bottom>
      <diagonal/>
    </border>
    <border>
      <left style="thin">
        <color rgb="FF000000"/>
      </left>
      <right style="medium">
        <color rgb="FF000000"/>
      </right>
      <top style="dotted">
        <color rgb="FF000000"/>
      </top>
      <bottom style="dotted">
        <color rgb="FF000000"/>
      </bottom>
      <diagonal/>
    </border>
    <border>
      <left style="thin">
        <color rgb="FF000000"/>
      </left>
      <right style="medium">
        <color rgb="FF000000"/>
      </right>
      <top style="dotted">
        <color rgb="FF000000"/>
      </top>
      <bottom/>
      <diagonal/>
    </border>
    <border>
      <left style="thin">
        <color rgb="FF000000"/>
      </left>
      <right style="medium">
        <color rgb="FF000000"/>
      </right>
      <top style="dotted">
        <color rgb="FF000000"/>
      </top>
      <bottom style="thin">
        <color rgb="FF000000"/>
      </bottom>
      <diagonal/>
    </border>
    <border>
      <left style="thin">
        <color rgb="FF000000"/>
      </left>
      <right style="medium">
        <color rgb="FF000000"/>
      </right>
      <top/>
      <bottom/>
      <diagonal/>
    </border>
    <border>
      <left style="medium">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right style="dotted">
        <color rgb="FF000000"/>
      </right>
      <top/>
      <bottom/>
      <diagonal/>
    </border>
    <border>
      <left style="dotted">
        <color rgb="FF000000"/>
      </left>
      <right style="dotted">
        <color rgb="FF000000"/>
      </right>
      <top/>
      <bottom/>
      <diagonal/>
    </border>
    <border>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medium">
        <color rgb="FF000000"/>
      </right>
      <top style="dotted">
        <color rgb="FF000000"/>
      </top>
      <bottom style="thin">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diagonal/>
    </border>
    <border>
      <left style="dotted">
        <color rgb="FF000000"/>
      </left>
      <right/>
      <top style="thin">
        <color rgb="FF000000"/>
      </top>
      <bottom style="dotted">
        <color rgb="FF000000"/>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top/>
      <bottom/>
      <diagonal/>
    </border>
    <border>
      <left style="dotted">
        <color rgb="FF000000"/>
      </left>
      <right/>
      <top/>
      <bottom style="dotted">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dotted">
        <color rgb="FF000000"/>
      </left>
      <right/>
      <top style="dotted">
        <color rgb="FF000000"/>
      </top>
      <bottom style="thin">
        <color rgb="FF000000"/>
      </bottom>
      <diagonal/>
    </border>
    <border>
      <left style="dotted">
        <color rgb="FF000000"/>
      </left>
      <right/>
      <top style="dotted">
        <color rgb="FF000000"/>
      </top>
      <bottom style="medium">
        <color rgb="FF000000"/>
      </bottom>
      <diagonal/>
    </border>
    <border>
      <left style="thin">
        <color rgb="FF000000"/>
      </left>
      <right style="dotted">
        <color rgb="FF000000"/>
      </right>
      <top style="thin">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thin">
        <color rgb="FF000000"/>
      </left>
      <right style="dotted">
        <color rgb="FF000000"/>
      </right>
      <top style="dotted">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bottom style="thin">
        <color rgb="FF000000"/>
      </bottom>
      <diagonal/>
    </border>
    <border>
      <left/>
      <right/>
      <top style="medium">
        <color rgb="FF000000"/>
      </top>
      <bottom/>
      <diagonal/>
    </border>
    <border>
      <left/>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dotted">
        <color rgb="FF000000"/>
      </left>
      <right style="medium">
        <color rgb="FF000000"/>
      </right>
      <top style="thin">
        <color rgb="FF000000"/>
      </top>
      <bottom style="double">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thin">
        <color rgb="FF000000"/>
      </left>
      <right style="dotted">
        <color rgb="FF000000"/>
      </right>
      <top style="thin">
        <color rgb="FF000000"/>
      </top>
      <bottom style="double">
        <color rgb="FF000000"/>
      </bottom>
      <diagonal/>
    </border>
    <border>
      <left style="dotted">
        <color rgb="FF000000"/>
      </left>
      <right style="dotted">
        <color rgb="FF000000"/>
      </right>
      <top style="thin">
        <color rgb="FF000000"/>
      </top>
      <bottom style="double">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top style="thin">
        <color rgb="FF000000"/>
      </top>
      <bottom style="medium">
        <color rgb="FF000000"/>
      </bottom>
      <diagonal/>
    </border>
    <border>
      <left style="dotted">
        <color rgb="FF000000"/>
      </left>
      <right/>
      <top style="thin">
        <color rgb="FF000000"/>
      </top>
      <bottom style="thin">
        <color rgb="FF000000"/>
      </bottom>
      <diagonal/>
    </border>
    <border>
      <left style="dotted">
        <color rgb="FF000000"/>
      </left>
      <right/>
      <top style="thin">
        <color rgb="FF000000"/>
      </top>
      <bottom style="double">
        <color rgb="FF000000"/>
      </bottom>
      <diagonal/>
    </border>
    <border>
      <left style="thin">
        <color rgb="FF000000"/>
      </left>
      <right/>
      <top/>
      <bottom style="dotted">
        <color rgb="FF000000"/>
      </bottom>
      <diagonal/>
    </border>
    <border>
      <left style="thin">
        <color rgb="FF000000"/>
      </left>
      <right/>
      <top style="thin">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top style="dotted">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double">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dotted">
        <color rgb="FF000000"/>
      </left>
      <right style="thin">
        <color rgb="FF000000"/>
      </right>
      <top style="thin">
        <color rgb="FF000000"/>
      </top>
      <bottom style="dotted">
        <color rgb="FF000000"/>
      </bottom>
      <diagonal/>
    </border>
    <border>
      <left style="thin">
        <color rgb="FF000000"/>
      </left>
      <right/>
      <top/>
      <bottom style="double">
        <color rgb="FF000000"/>
      </bottom>
      <diagonal/>
    </border>
    <border>
      <left style="dotted">
        <color rgb="FF000000"/>
      </left>
      <right/>
      <top/>
      <bottom style="double">
        <color rgb="FF000000"/>
      </bottom>
      <diagonal/>
    </border>
    <border>
      <left style="thin">
        <color rgb="FF000000"/>
      </left>
      <right style="dotted">
        <color rgb="FF000000"/>
      </right>
      <top style="dotted">
        <color rgb="FF000000"/>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thin">
        <color rgb="FF000000"/>
      </right>
      <top style="dotted">
        <color rgb="FF000000"/>
      </top>
      <bottom style="double">
        <color rgb="FF000000"/>
      </bottom>
      <diagonal/>
    </border>
    <border>
      <left style="dotted">
        <color rgb="FF000000"/>
      </left>
      <right style="thin">
        <color rgb="FF000000"/>
      </right>
      <top style="dotted">
        <color rgb="FF000000"/>
      </top>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style="thin">
        <color rgb="FF000000"/>
      </left>
      <right style="dotted">
        <color rgb="FF000000"/>
      </right>
      <top/>
      <bottom/>
      <diagonal/>
    </border>
    <border>
      <left style="dotted">
        <color rgb="FF000000"/>
      </left>
      <right style="thin">
        <color rgb="FF000000"/>
      </right>
      <top style="thin">
        <color rgb="FF000000"/>
      </top>
      <bottom style="double">
        <color rgb="FF000000"/>
      </bottom>
      <diagonal/>
    </border>
    <border>
      <left style="thin">
        <color rgb="FF000000"/>
      </left>
      <right style="dotted">
        <color rgb="FF000000"/>
      </right>
      <top style="thin">
        <color rgb="FF000000"/>
      </top>
      <bottom/>
      <diagonal/>
    </border>
    <border>
      <left/>
      <right style="thin">
        <color rgb="FF000000"/>
      </right>
      <top style="thin">
        <color rgb="FF000000"/>
      </top>
      <bottom style="double">
        <color rgb="FF000000"/>
      </bottom>
      <diagonal/>
    </border>
    <border>
      <left/>
      <right style="dotted">
        <color rgb="FF000000"/>
      </right>
      <top style="thin">
        <color rgb="FF000000"/>
      </top>
      <bottom/>
      <diagonal/>
    </border>
    <border>
      <left style="dotted">
        <color rgb="FF000000"/>
      </left>
      <right style="dotted">
        <color rgb="FF000000"/>
      </right>
      <top style="medium">
        <color rgb="FF000000"/>
      </top>
      <bottom/>
      <diagonal/>
    </border>
    <border>
      <left style="medium">
        <color rgb="FF000000"/>
      </left>
      <right style="dotted">
        <color rgb="FF000000"/>
      </right>
      <top style="thin">
        <color rgb="FF000000"/>
      </top>
      <bottom style="double">
        <color rgb="FF000000"/>
      </bottom>
      <diagonal/>
    </border>
    <border>
      <left style="medium">
        <color rgb="FF000000"/>
      </left>
      <right style="dotted">
        <color rgb="FF000000"/>
      </right>
      <top/>
      <bottom/>
      <diagonal/>
    </border>
    <border>
      <left style="medium">
        <color rgb="FF000000"/>
      </left>
      <right style="dotted">
        <color rgb="FF000000"/>
      </right>
      <top style="thin">
        <color rgb="FF000000"/>
      </top>
      <bottom/>
      <diagonal/>
    </border>
    <border>
      <left style="dotted">
        <color rgb="FF000000"/>
      </left>
      <right style="medium">
        <color rgb="FF000000"/>
      </right>
      <top style="thin">
        <color rgb="FF000000"/>
      </top>
      <bottom style="dotted">
        <color rgb="FF000000"/>
      </bottom>
      <diagonal/>
    </border>
    <border>
      <left style="medium">
        <color rgb="FF000000"/>
      </left>
      <right style="dotted">
        <color rgb="FF000000"/>
      </right>
      <top/>
      <bottom style="medium">
        <color rgb="FF000000"/>
      </bottom>
      <diagonal/>
    </border>
    <border>
      <left style="medium">
        <color rgb="FF000000"/>
      </left>
      <right/>
      <top style="dotted">
        <color rgb="FF000000"/>
      </top>
      <bottom/>
      <diagonal/>
    </border>
    <border>
      <left/>
      <right style="medium">
        <color rgb="FF000000"/>
      </right>
      <top style="dotted">
        <color rgb="FF000000"/>
      </top>
      <bottom/>
      <diagonal/>
    </border>
    <border>
      <left style="thin">
        <color rgb="FF000000"/>
      </left>
      <right style="dotted">
        <color rgb="FF000000"/>
      </right>
      <top style="double">
        <color rgb="FF000000"/>
      </top>
      <bottom style="dotted">
        <color rgb="FF000000"/>
      </bottom>
      <diagonal/>
    </border>
    <border>
      <left style="dotted">
        <color rgb="FF000000"/>
      </left>
      <right style="thin">
        <color rgb="FF000000"/>
      </right>
      <top/>
      <bottom/>
      <diagonal/>
    </border>
    <border>
      <left style="dotted">
        <color rgb="FF000000"/>
      </left>
      <right style="dotted">
        <color rgb="FF000000"/>
      </right>
      <top style="dotted">
        <color indexed="64"/>
      </top>
      <bottom/>
      <diagonal/>
    </border>
    <border>
      <left style="dotted">
        <color rgb="FF000000"/>
      </left>
      <right style="dotted">
        <color rgb="FF000000"/>
      </right>
      <top style="dotted">
        <color indexed="64"/>
      </top>
      <bottom style="dotted">
        <color indexed="64"/>
      </bottom>
      <diagonal/>
    </border>
    <border>
      <left style="dotted">
        <color rgb="FF000000"/>
      </left>
      <right style="thin">
        <color rgb="FF000000"/>
      </right>
      <top style="dotted">
        <color indexed="64"/>
      </top>
      <bottom style="dotted">
        <color rgb="FF000000"/>
      </bottom>
      <diagonal/>
    </border>
    <border>
      <left/>
      <right style="dotted">
        <color rgb="FF000000"/>
      </right>
      <top style="dotted">
        <color indexed="64"/>
      </top>
      <bottom/>
      <diagonal/>
    </border>
    <border>
      <left/>
      <right style="thin">
        <color rgb="FF000000"/>
      </right>
      <top style="dotted">
        <color indexed="64"/>
      </top>
      <bottom/>
      <diagonal/>
    </border>
    <border>
      <left style="dotted">
        <color indexed="64"/>
      </left>
      <right style="thin">
        <color rgb="FF000000"/>
      </right>
      <top style="dotted">
        <color indexed="64"/>
      </top>
      <bottom/>
      <diagonal/>
    </border>
    <border>
      <left/>
      <right/>
      <top style="dotted">
        <color indexed="64"/>
      </top>
      <bottom/>
      <diagonal/>
    </border>
    <border>
      <left style="dotted">
        <color rgb="FF000000"/>
      </left>
      <right style="thin">
        <color rgb="FF000000"/>
      </right>
      <top style="dotted">
        <color rgb="FF000000"/>
      </top>
      <bottom style="thin">
        <color indexed="64"/>
      </bottom>
      <diagonal/>
    </border>
    <border>
      <left style="thin">
        <color rgb="FF000000"/>
      </left>
      <right/>
      <top/>
      <bottom style="thin">
        <color rgb="FF000000"/>
      </bottom>
      <diagonal/>
    </border>
    <border>
      <left style="dotted">
        <color rgb="FF000000"/>
      </left>
      <right style="thin">
        <color rgb="FF000000"/>
      </right>
      <top style="thin">
        <color rgb="FF000000"/>
      </top>
      <bottom/>
      <diagonal/>
    </border>
    <border>
      <left/>
      <right style="dotted">
        <color rgb="FF000000"/>
      </right>
      <top style="dotted">
        <color rgb="FF000000"/>
      </top>
      <bottom style="double">
        <color rgb="FF000000"/>
      </bottom>
      <diagonal/>
    </border>
    <border>
      <left style="dotted">
        <color rgb="FF000000"/>
      </left>
      <right/>
      <top style="dotted">
        <color rgb="FF000000"/>
      </top>
      <bottom style="double">
        <color rgb="FF000000"/>
      </bottom>
      <diagonal/>
    </border>
    <border>
      <left style="thin">
        <color rgb="FF000000"/>
      </left>
      <right style="thin">
        <color rgb="FF000000"/>
      </right>
      <top style="thin">
        <color rgb="FF000000"/>
      </top>
      <bottom style="dotted">
        <color rgb="FF000000"/>
      </bottom>
      <diagonal/>
    </border>
    <border>
      <left style="dotted">
        <color rgb="FF000000"/>
      </left>
      <right style="medium">
        <color rgb="FF000000"/>
      </right>
      <top/>
      <bottom/>
      <diagonal/>
    </border>
    <border>
      <left/>
      <right style="thin">
        <color rgb="FF000000"/>
      </right>
      <top/>
      <bottom/>
      <diagonal/>
    </border>
    <border>
      <left/>
      <right style="medium">
        <color rgb="FF808080"/>
      </right>
      <top style="thin">
        <color rgb="FF000000"/>
      </top>
      <bottom/>
      <diagonal/>
    </border>
    <border>
      <left style="medium">
        <color rgb="FF808080"/>
      </left>
      <right style="thin">
        <color rgb="FF000000"/>
      </right>
      <top style="thin">
        <color rgb="FF000000"/>
      </top>
      <bottom/>
      <diagonal/>
    </border>
    <border>
      <left style="thin">
        <color rgb="FF000000"/>
      </left>
      <right style="medium">
        <color rgb="FF808080"/>
      </right>
      <top style="thin">
        <color rgb="FF000000"/>
      </top>
      <bottom/>
      <diagonal/>
    </border>
    <border>
      <left style="medium">
        <color rgb="FF808080"/>
      </left>
      <right style="thin">
        <color rgb="FF000000"/>
      </right>
      <top/>
      <bottom/>
      <diagonal/>
    </border>
    <border>
      <left style="thin">
        <color rgb="FF000000"/>
      </left>
      <right/>
      <top style="medium">
        <color rgb="FF808080"/>
      </top>
      <bottom/>
      <diagonal/>
    </border>
    <border>
      <left style="medium">
        <color rgb="FF808080"/>
      </left>
      <right style="medium">
        <color rgb="FF808080"/>
      </right>
      <top style="medium">
        <color rgb="FF808080"/>
      </top>
      <bottom/>
      <diagonal/>
    </border>
    <border>
      <left/>
      <right style="medium">
        <color rgb="FF808080"/>
      </right>
      <top style="medium">
        <color rgb="FF808080"/>
      </top>
      <bottom/>
      <diagonal/>
    </border>
    <border>
      <left style="medium">
        <color rgb="FF808080"/>
      </left>
      <right style="thin">
        <color rgb="FF000000"/>
      </right>
      <top style="medium">
        <color rgb="FF808080"/>
      </top>
      <bottom/>
      <diagonal/>
    </border>
    <border>
      <left style="medium">
        <color rgb="FF808080"/>
      </left>
      <right style="medium">
        <color rgb="FF808080"/>
      </right>
      <top/>
      <bottom/>
      <diagonal/>
    </border>
    <border>
      <left/>
      <right style="medium">
        <color rgb="FF808080"/>
      </right>
      <top/>
      <bottom/>
      <diagonal/>
    </border>
    <border>
      <left style="medium">
        <color rgb="FF808080"/>
      </left>
      <right style="medium">
        <color rgb="FF808080"/>
      </right>
      <top style="dotted">
        <color rgb="FF808080"/>
      </top>
      <bottom/>
      <diagonal/>
    </border>
    <border>
      <left/>
      <right style="medium">
        <color rgb="FF808080"/>
      </right>
      <top style="dotted">
        <color rgb="FF808080"/>
      </top>
      <bottom/>
      <diagonal/>
    </border>
    <border>
      <left style="medium">
        <color rgb="FF808080"/>
      </left>
      <right style="medium">
        <color rgb="FF808080"/>
      </right>
      <top/>
      <bottom style="thin">
        <color rgb="FF000000"/>
      </bottom>
      <diagonal/>
    </border>
    <border>
      <left/>
      <right style="medium">
        <color rgb="FF808080"/>
      </right>
      <top/>
      <bottom style="thin">
        <color rgb="FF000000"/>
      </bottom>
      <diagonal/>
    </border>
    <border>
      <left style="medium">
        <color rgb="FF808080"/>
      </left>
      <right style="thin">
        <color rgb="FF000000"/>
      </right>
      <top/>
      <bottom style="thin">
        <color rgb="FF000000"/>
      </bottom>
      <diagonal/>
    </border>
    <border>
      <left style="medium">
        <color rgb="FF808080"/>
      </left>
      <right style="medium">
        <color rgb="FF808080"/>
      </right>
      <top style="thin">
        <color rgb="FF000000"/>
      </top>
      <bottom/>
      <diagonal/>
    </border>
    <border>
      <left style="medium">
        <color rgb="FF808080"/>
      </left>
      <right style="medium">
        <color rgb="FF808080"/>
      </right>
      <top/>
      <bottom style="dotted">
        <color rgb="FF808080"/>
      </bottom>
      <diagonal/>
    </border>
    <border>
      <left/>
      <right style="medium">
        <color rgb="FF808080"/>
      </right>
      <top/>
      <bottom style="dotted">
        <color rgb="FF808080"/>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medium">
        <color rgb="FF808080"/>
      </left>
      <right style="thin">
        <color rgb="FF000000"/>
      </right>
      <top style="dotted">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style="dotted">
        <color rgb="FF000000"/>
      </top>
      <bottom/>
      <diagonal/>
    </border>
    <border>
      <left style="dotted">
        <color rgb="FF000000"/>
      </left>
      <right style="medium">
        <color rgb="FF000000"/>
      </right>
      <top/>
      <bottom style="thin">
        <color rgb="FF000000"/>
      </bottom>
      <diagonal/>
    </border>
  </borders>
  <cellStyleXfs count="8">
    <xf numFmtId="0" fontId="0" fillId="0" borderId="0"/>
    <xf numFmtId="0" fontId="11" fillId="0" borderId="0"/>
    <xf numFmtId="0" fontId="11" fillId="0" borderId="0"/>
    <xf numFmtId="0" fontId="11" fillId="0" borderId="0"/>
    <xf numFmtId="0" fontId="11" fillId="0" borderId="0"/>
    <xf numFmtId="0" fontId="11" fillId="0" borderId="0"/>
    <xf numFmtId="0" fontId="11" fillId="0" borderId="0"/>
    <xf numFmtId="0" fontId="56" fillId="0" borderId="0" applyNumberFormat="0" applyFill="0" applyBorder="0" applyAlignment="0" applyProtection="0"/>
  </cellStyleXfs>
  <cellXfs count="1229">
    <xf numFmtId="0" fontId="0" fillId="0" borderId="0" xfId="0"/>
    <xf numFmtId="0" fontId="1" fillId="0" borderId="0" xfId="7" applyFont="1"/>
    <xf numFmtId="0" fontId="2" fillId="0" borderId="0" xfId="0" applyFont="1"/>
    <xf numFmtId="0" fontId="2" fillId="0" borderId="2" xfId="0" applyFont="1" applyBorder="1"/>
    <xf numFmtId="0" fontId="2" fillId="0" borderId="4" xfId="0" applyFont="1" applyBorder="1"/>
    <xf numFmtId="0" fontId="2" fillId="0" borderId="6" xfId="0" applyFont="1" applyBorder="1"/>
    <xf numFmtId="0" fontId="2" fillId="0" borderId="7" xfId="0" applyFont="1" applyBorder="1"/>
    <xf numFmtId="0" fontId="2" fillId="0" borderId="9" xfId="0" applyFont="1" applyBorder="1"/>
    <xf numFmtId="0" fontId="2" fillId="0" borderId="10" xfId="0" applyFont="1" applyBorder="1"/>
    <xf numFmtId="0" fontId="2" fillId="0" borderId="13" xfId="0" applyFont="1" applyBorder="1"/>
    <xf numFmtId="0" fontId="3" fillId="0" borderId="0" xfId="0" applyFont="1"/>
    <xf numFmtId="0" fontId="2" fillId="0" borderId="0" xfId="0" applyFont="1" applyAlignment="1">
      <alignmen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xf>
    <xf numFmtId="0" fontId="2" fillId="0" borderId="21" xfId="0" applyFont="1" applyBorder="1" applyAlignment="1">
      <alignment vertical="top"/>
    </xf>
    <xf numFmtId="0" fontId="2" fillId="0" borderId="22" xfId="0" applyFont="1" applyBorder="1" applyAlignment="1">
      <alignment vertical="top"/>
    </xf>
    <xf numFmtId="0" fontId="2"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xf>
    <xf numFmtId="0" fontId="3" fillId="0" borderId="0" xfId="0" applyFont="1"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4" fillId="0" borderId="22" xfId="0" applyFont="1" applyBorder="1" applyAlignment="1">
      <alignment vertical="top"/>
    </xf>
    <xf numFmtId="0" fontId="4" fillId="0" borderId="1" xfId="0" applyFont="1" applyBorder="1" applyAlignment="1">
      <alignment vertical="top"/>
    </xf>
    <xf numFmtId="0" fontId="4" fillId="0" borderId="23" xfId="0" applyFont="1" applyBorder="1" applyAlignment="1">
      <alignment vertical="top"/>
    </xf>
    <xf numFmtId="0" fontId="4" fillId="0" borderId="3" xfId="0" applyFont="1" applyBorder="1" applyAlignment="1">
      <alignment vertical="top"/>
    </xf>
    <xf numFmtId="0" fontId="4" fillId="0" borderId="0" xfId="0" applyFont="1" applyAlignment="1">
      <alignment vertical="top"/>
    </xf>
    <xf numFmtId="0" fontId="5" fillId="0" borderId="0" xfId="0" applyFont="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6" xfId="0" applyFont="1" applyBorder="1"/>
    <xf numFmtId="0" fontId="2" fillId="0" borderId="47" xfId="0" applyFont="1" applyBorder="1"/>
    <xf numFmtId="0" fontId="2" fillId="0" borderId="49" xfId="0" applyFont="1" applyBorder="1"/>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7" xfId="0" applyFont="1" applyBorder="1"/>
    <xf numFmtId="0" fontId="2" fillId="0" borderId="58" xfId="0" applyFont="1" applyBorder="1"/>
    <xf numFmtId="0" fontId="2" fillId="0" borderId="59" xfId="0" applyFont="1" applyBorder="1"/>
    <xf numFmtId="0" fontId="4" fillId="0" borderId="0" xfId="0" applyFont="1"/>
    <xf numFmtId="0" fontId="7" fillId="2" borderId="0" xfId="0" applyFont="1" applyFill="1"/>
    <xf numFmtId="0" fontId="2" fillId="2" borderId="0" xfId="0" applyFont="1" applyFill="1"/>
    <xf numFmtId="0" fontId="2" fillId="0" borderId="64" xfId="0" applyFont="1" applyBorder="1"/>
    <xf numFmtId="0" fontId="2" fillId="0" borderId="65" xfId="0" applyFont="1" applyBorder="1"/>
    <xf numFmtId="0" fontId="4" fillId="0" borderId="57" xfId="0" applyFont="1" applyBorder="1"/>
    <xf numFmtId="0" fontId="4" fillId="0" borderId="58" xfId="0" applyFont="1" applyBorder="1"/>
    <xf numFmtId="0" fontId="4" fillId="0" borderId="61" xfId="0" applyFont="1" applyBorder="1"/>
    <xf numFmtId="0" fontId="2" fillId="0" borderId="61" xfId="0" applyFont="1" applyBorder="1"/>
    <xf numFmtId="0" fontId="4" fillId="3" borderId="59" xfId="0" applyFont="1" applyFill="1" applyBorder="1"/>
    <xf numFmtId="0" fontId="2" fillId="3" borderId="56" xfId="0" applyFont="1" applyFill="1" applyBorder="1"/>
    <xf numFmtId="0" fontId="4" fillId="3" borderId="41" xfId="0" applyFont="1" applyFill="1" applyBorder="1"/>
    <xf numFmtId="0" fontId="4" fillId="3" borderId="42" xfId="0" applyFont="1" applyFill="1" applyBorder="1"/>
    <xf numFmtId="0" fontId="4" fillId="3" borderId="43" xfId="0" applyFont="1" applyFill="1" applyBorder="1"/>
    <xf numFmtId="0" fontId="4" fillId="0" borderId="39" xfId="0" applyFont="1" applyBorder="1"/>
    <xf numFmtId="0" fontId="4" fillId="0" borderId="48" xfId="0" applyFont="1" applyBorder="1"/>
    <xf numFmtId="0" fontId="4" fillId="0" borderId="23" xfId="0" applyFont="1" applyBorder="1"/>
    <xf numFmtId="0" fontId="4" fillId="0" borderId="63" xfId="0" applyFont="1" applyBorder="1"/>
    <xf numFmtId="0" fontId="4" fillId="0" borderId="40" xfId="0" applyFont="1" applyBorder="1"/>
    <xf numFmtId="0" fontId="4" fillId="0" borderId="3" xfId="0" applyFont="1" applyBorder="1"/>
    <xf numFmtId="0" fontId="4" fillId="0" borderId="5" xfId="0" applyFont="1" applyBorder="1"/>
    <xf numFmtId="0" fontId="2" fillId="0" borderId="72" xfId="0" applyFont="1" applyBorder="1"/>
    <xf numFmtId="0" fontId="2" fillId="0" borderId="73" xfId="0" applyFont="1" applyBorder="1"/>
    <xf numFmtId="0" fontId="2" fillId="0" borderId="74" xfId="0" applyFont="1" applyBorder="1"/>
    <xf numFmtId="0" fontId="6" fillId="0" borderId="73" xfId="0" applyFont="1" applyBorder="1"/>
    <xf numFmtId="0" fontId="2" fillId="0" borderId="75" xfId="0" applyFont="1" applyBorder="1"/>
    <xf numFmtId="0" fontId="4" fillId="4" borderId="8" xfId="0" applyFont="1" applyFill="1" applyBorder="1"/>
    <xf numFmtId="0" fontId="4" fillId="4" borderId="71" xfId="0" applyFont="1" applyFill="1" applyBorder="1"/>
    <xf numFmtId="0" fontId="4" fillId="4" borderId="48" xfId="0" applyFont="1" applyFill="1" applyBorder="1"/>
    <xf numFmtId="0" fontId="2" fillId="0" borderId="14" xfId="0" applyFont="1" applyBorder="1"/>
    <xf numFmtId="0" fontId="2" fillId="0" borderId="76" xfId="0" applyFont="1" applyBorder="1"/>
    <xf numFmtId="0" fontId="4" fillId="4" borderId="40" xfId="0" applyFont="1" applyFill="1" applyBorder="1"/>
    <xf numFmtId="0" fontId="2" fillId="0" borderId="78" xfId="0" applyFont="1" applyBorder="1"/>
    <xf numFmtId="0" fontId="2" fillId="0" borderId="79" xfId="0" applyFont="1" applyBorder="1"/>
    <xf numFmtId="0" fontId="2" fillId="0" borderId="80" xfId="0" applyFont="1" applyBorder="1"/>
    <xf numFmtId="0" fontId="4" fillId="4" borderId="81" xfId="0" applyFont="1" applyFill="1" applyBorder="1"/>
    <xf numFmtId="0" fontId="2" fillId="0" borderId="82" xfId="0" applyFont="1" applyBorder="1"/>
    <xf numFmtId="0" fontId="2" fillId="0" borderId="83" xfId="0" applyFont="1" applyBorder="1"/>
    <xf numFmtId="0" fontId="2" fillId="0" borderId="85" xfId="0" applyFont="1" applyBorder="1"/>
    <xf numFmtId="0" fontId="2" fillId="0" borderId="86" xfId="0" applyFont="1" applyBorder="1"/>
    <xf numFmtId="0" fontId="2" fillId="5" borderId="82" xfId="0" applyFont="1" applyFill="1" applyBorder="1"/>
    <xf numFmtId="0" fontId="2" fillId="5" borderId="83" xfId="0" applyFont="1" applyFill="1" applyBorder="1"/>
    <xf numFmtId="0" fontId="2" fillId="5" borderId="84" xfId="0" applyFont="1" applyFill="1" applyBorder="1"/>
    <xf numFmtId="0" fontId="7" fillId="5" borderId="0" xfId="0" applyFont="1" applyFill="1"/>
    <xf numFmtId="0" fontId="2" fillId="5" borderId="0" xfId="0" applyFont="1" applyFill="1" applyAlignment="1">
      <alignment vertical="top"/>
    </xf>
    <xf numFmtId="0" fontId="7" fillId="0" borderId="0" xfId="0" applyFont="1"/>
    <xf numFmtId="0" fontId="2" fillId="0" borderId="0" xfId="4" applyFont="1"/>
    <xf numFmtId="0" fontId="2" fillId="0" borderId="147" xfId="4" applyFont="1" applyBorder="1"/>
    <xf numFmtId="0" fontId="2" fillId="0" borderId="103" xfId="4" applyFont="1" applyBorder="1"/>
    <xf numFmtId="0" fontId="2" fillId="0" borderId="148" xfId="4" applyFont="1" applyBorder="1"/>
    <xf numFmtId="0" fontId="2" fillId="0" borderId="102" xfId="4" applyFont="1" applyBorder="1"/>
    <xf numFmtId="0" fontId="2" fillId="15" borderId="147" xfId="4" applyFont="1" applyFill="1" applyBorder="1"/>
    <xf numFmtId="0" fontId="2" fillId="15" borderId="148" xfId="4" applyFont="1" applyFill="1" applyBorder="1"/>
    <xf numFmtId="0" fontId="2" fillId="0" borderId="149" xfId="4" applyFont="1" applyBorder="1"/>
    <xf numFmtId="0" fontId="2" fillId="0" borderId="95" xfId="4" applyFont="1" applyBorder="1"/>
    <xf numFmtId="0" fontId="2" fillId="0" borderId="106" xfId="4" applyFont="1" applyBorder="1"/>
    <xf numFmtId="0" fontId="4" fillId="0" borderId="151" xfId="4" applyFont="1" applyBorder="1"/>
    <xf numFmtId="0" fontId="4" fillId="0" borderId="64" xfId="4" applyFont="1" applyBorder="1"/>
    <xf numFmtId="0" fontId="4" fillId="0" borderId="38" xfId="4" applyFont="1" applyBorder="1"/>
    <xf numFmtId="0" fontId="4" fillId="0" borderId="152" xfId="4" applyFont="1" applyBorder="1"/>
    <xf numFmtId="0" fontId="2" fillId="0" borderId="154" xfId="4" applyFont="1" applyBorder="1" applyAlignment="1">
      <alignment horizontal="center"/>
    </xf>
    <xf numFmtId="0" fontId="2" fillId="0" borderId="16" xfId="4" applyFont="1" applyBorder="1"/>
    <xf numFmtId="0" fontId="12" fillId="17" borderId="30" xfId="4" applyFont="1" applyFill="1" applyBorder="1"/>
    <xf numFmtId="0" fontId="2" fillId="0" borderId="30" xfId="4" applyFont="1" applyBorder="1"/>
    <xf numFmtId="0" fontId="2" fillId="17" borderId="30" xfId="4" applyFont="1" applyFill="1" applyBorder="1"/>
    <xf numFmtId="0" fontId="2" fillId="17" borderId="6" xfId="4" applyFont="1" applyFill="1" applyBorder="1"/>
    <xf numFmtId="0" fontId="2" fillId="14" borderId="16" xfId="4" applyFont="1" applyFill="1" applyBorder="1"/>
    <xf numFmtId="0" fontId="2" fillId="14" borderId="30" xfId="4" applyFont="1" applyFill="1" applyBorder="1"/>
    <xf numFmtId="0" fontId="2" fillId="0" borderId="69" xfId="4" applyFont="1" applyBorder="1"/>
    <xf numFmtId="0" fontId="12" fillId="17" borderId="32" xfId="4" applyFont="1" applyFill="1" applyBorder="1"/>
    <xf numFmtId="0" fontId="2" fillId="0" borderId="32" xfId="4" applyFont="1" applyBorder="1"/>
    <xf numFmtId="0" fontId="2" fillId="17" borderId="32" xfId="4" applyFont="1" applyFill="1" applyBorder="1"/>
    <xf numFmtId="0" fontId="2" fillId="17" borderId="7" xfId="4" applyFont="1" applyFill="1" applyBorder="1"/>
    <xf numFmtId="0" fontId="2" fillId="14" borderId="69" xfId="4" applyFont="1" applyFill="1" applyBorder="1"/>
    <xf numFmtId="0" fontId="2" fillId="14" borderId="32" xfId="4" applyFont="1" applyFill="1" applyBorder="1"/>
    <xf numFmtId="0" fontId="2" fillId="0" borderId="77" xfId="4" applyFont="1" applyBorder="1"/>
    <xf numFmtId="0" fontId="2" fillId="0" borderId="91" xfId="4" applyFont="1" applyBorder="1"/>
    <xf numFmtId="0" fontId="12" fillId="17" borderId="91" xfId="4" applyFont="1" applyFill="1" applyBorder="1"/>
    <xf numFmtId="0" fontId="2" fillId="17" borderId="91" xfId="4" applyFont="1" applyFill="1" applyBorder="1"/>
    <xf numFmtId="0" fontId="2" fillId="17" borderId="156" xfId="4" applyFont="1" applyFill="1" applyBorder="1"/>
    <xf numFmtId="0" fontId="2" fillId="14" borderId="91" xfId="4" applyFont="1" applyFill="1" applyBorder="1"/>
    <xf numFmtId="0" fontId="2" fillId="0" borderId="117" xfId="4" applyFont="1" applyBorder="1"/>
    <xf numFmtId="0" fontId="2" fillId="0" borderId="93" xfId="4" applyFont="1" applyBorder="1"/>
    <xf numFmtId="0" fontId="12" fillId="17" borderId="93" xfId="4" applyFont="1" applyFill="1" applyBorder="1"/>
    <xf numFmtId="0" fontId="2" fillId="17" borderId="93" xfId="4" applyFont="1" applyFill="1" applyBorder="1"/>
    <xf numFmtId="0" fontId="2" fillId="17" borderId="150" xfId="4" applyFont="1" applyFill="1" applyBorder="1"/>
    <xf numFmtId="0" fontId="2" fillId="0" borderId="105" xfId="4" applyFont="1" applyBorder="1"/>
    <xf numFmtId="0" fontId="2" fillId="0" borderId="118" xfId="4" applyFont="1" applyBorder="1"/>
    <xf numFmtId="0" fontId="2" fillId="0" borderId="97" xfId="4" applyFont="1" applyBorder="1"/>
    <xf numFmtId="0" fontId="12" fillId="17" borderId="97" xfId="4" applyFont="1" applyFill="1" applyBorder="1"/>
    <xf numFmtId="0" fontId="2" fillId="17" borderId="97" xfId="4" applyFont="1" applyFill="1" applyBorder="1"/>
    <xf numFmtId="0" fontId="2" fillId="17" borderId="157" xfId="4" applyFont="1" applyFill="1" applyBorder="1"/>
    <xf numFmtId="0" fontId="2" fillId="14" borderId="117" xfId="4" applyFont="1" applyFill="1" applyBorder="1"/>
    <xf numFmtId="0" fontId="2" fillId="14" borderId="93" xfId="4" applyFont="1" applyFill="1" applyBorder="1"/>
    <xf numFmtId="0" fontId="2" fillId="14" borderId="118" xfId="4" applyFont="1" applyFill="1" applyBorder="1"/>
    <xf numFmtId="0" fontId="2" fillId="14" borderId="97" xfId="4" applyFont="1" applyFill="1" applyBorder="1"/>
    <xf numFmtId="0" fontId="2" fillId="0" borderId="27" xfId="4" applyFont="1" applyBorder="1"/>
    <xf numFmtId="0" fontId="2" fillId="0" borderId="107" xfId="4" applyFont="1" applyBorder="1"/>
    <xf numFmtId="0" fontId="2" fillId="0" borderId="28" xfId="4" applyFont="1" applyBorder="1"/>
    <xf numFmtId="0" fontId="2" fillId="0" borderId="99" xfId="4" applyFont="1" applyBorder="1"/>
    <xf numFmtId="0" fontId="2" fillId="0" borderId="12" xfId="4" applyFont="1" applyBorder="1"/>
    <xf numFmtId="0" fontId="2" fillId="0" borderId="80" xfId="4" applyFont="1" applyBorder="1"/>
    <xf numFmtId="0" fontId="2" fillId="0" borderId="100" xfId="4" applyFont="1" applyBorder="1"/>
    <xf numFmtId="0" fontId="2" fillId="0" borderId="143" xfId="4" applyFont="1" applyBorder="1"/>
    <xf numFmtId="0" fontId="2" fillId="0" borderId="124" xfId="4" applyFont="1" applyBorder="1"/>
    <xf numFmtId="0" fontId="2" fillId="0" borderId="101" xfId="4" applyFont="1" applyBorder="1"/>
    <xf numFmtId="0" fontId="2" fillId="0" borderId="141" xfId="4" applyFont="1" applyBorder="1"/>
    <xf numFmtId="0" fontId="2" fillId="0" borderId="75" xfId="4" applyFont="1" applyBorder="1"/>
    <xf numFmtId="0" fontId="2" fillId="0" borderId="115" xfId="4" applyFont="1" applyBorder="1"/>
    <xf numFmtId="0" fontId="2" fillId="0" borderId="142" xfId="4" applyFont="1" applyBorder="1"/>
    <xf numFmtId="0" fontId="2" fillId="0" borderId="0" xfId="5" applyFont="1"/>
    <xf numFmtId="0" fontId="2" fillId="0" borderId="0" xfId="5" applyFont="1" applyAlignment="1">
      <alignment wrapText="1"/>
    </xf>
    <xf numFmtId="0" fontId="2" fillId="0" borderId="0" xfId="5" applyFont="1" applyAlignment="1">
      <alignment horizontal="center"/>
    </xf>
    <xf numFmtId="0" fontId="2" fillId="0" borderId="0" xfId="5" applyFont="1" applyAlignment="1">
      <alignment horizontal="center" wrapText="1"/>
    </xf>
    <xf numFmtId="0" fontId="2" fillId="0" borderId="0" xfId="5" applyFont="1" applyAlignment="1">
      <alignment horizontal="center" vertical="center"/>
    </xf>
    <xf numFmtId="0" fontId="3" fillId="0" borderId="0" xfId="5" applyFont="1"/>
    <xf numFmtId="0" fontId="9" fillId="0" borderId="0" xfId="5" applyFont="1"/>
    <xf numFmtId="0" fontId="9" fillId="0" borderId="0" xfId="5" applyFont="1" applyAlignment="1">
      <alignment wrapText="1"/>
    </xf>
    <xf numFmtId="0" fontId="4" fillId="22" borderId="125" xfId="5" applyFont="1" applyFill="1" applyBorder="1" applyAlignment="1">
      <alignment horizontal="center" vertical="center"/>
    </xf>
    <xf numFmtId="0" fontId="4" fillId="22"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18" borderId="125" xfId="5" applyFont="1" applyFill="1" applyBorder="1" applyAlignment="1">
      <alignment horizontal="center" vertical="center"/>
    </xf>
    <xf numFmtId="0" fontId="4" fillId="25" borderId="125" xfId="5" applyFont="1" applyFill="1" applyBorder="1" applyAlignment="1">
      <alignment horizontal="center" vertical="center"/>
    </xf>
    <xf numFmtId="0" fontId="4" fillId="26" borderId="125" xfId="5" applyFont="1" applyFill="1" applyBorder="1" applyAlignment="1">
      <alignment horizontal="center" vertical="center"/>
    </xf>
    <xf numFmtId="0" fontId="8" fillId="27" borderId="125" xfId="5" applyFont="1" applyFill="1" applyBorder="1" applyAlignment="1">
      <alignment horizontal="center" vertical="center"/>
    </xf>
    <xf numFmtId="0" fontId="4" fillId="22" borderId="135" xfId="5" applyFont="1" applyFill="1" applyBorder="1" applyAlignment="1">
      <alignment horizontal="center" vertical="center"/>
    </xf>
    <xf numFmtId="0" fontId="4" fillId="22" borderId="126" xfId="5" applyFont="1" applyFill="1" applyBorder="1" applyAlignment="1">
      <alignment horizontal="center" vertical="center"/>
    </xf>
    <xf numFmtId="0" fontId="4" fillId="22" borderId="127" xfId="5" applyFont="1" applyFill="1" applyBorder="1" applyAlignment="1">
      <alignment horizontal="center" vertical="center"/>
    </xf>
    <xf numFmtId="0" fontId="4" fillId="23" borderId="131" xfId="5" applyFont="1" applyFill="1" applyBorder="1" applyAlignment="1">
      <alignment horizontal="center" vertical="center" wrapText="1"/>
    </xf>
    <xf numFmtId="0" fontId="4" fillId="23" borderId="132" xfId="5" applyFont="1" applyFill="1" applyBorder="1" applyAlignment="1">
      <alignment horizontal="center" vertical="center"/>
    </xf>
    <xf numFmtId="0" fontId="4" fillId="23" borderId="138" xfId="5" applyFont="1" applyFill="1" applyBorder="1" applyAlignment="1">
      <alignment horizontal="center" vertical="center"/>
    </xf>
    <xf numFmtId="0" fontId="4" fillId="23" borderId="131" xfId="5" applyFont="1" applyFill="1" applyBorder="1" applyAlignment="1">
      <alignment horizontal="center" vertical="center"/>
    </xf>
    <xf numFmtId="0" fontId="4" fillId="24" borderId="131" xfId="5" applyFont="1" applyFill="1" applyBorder="1" applyAlignment="1">
      <alignment horizontal="center" vertical="center"/>
    </xf>
    <xf numFmtId="0" fontId="4" fillId="24" borderId="138" xfId="5" applyFont="1" applyFill="1" applyBorder="1" applyAlignment="1">
      <alignment horizontal="center" vertical="center"/>
    </xf>
    <xf numFmtId="0" fontId="4" fillId="23" borderId="132" xfId="5" applyFont="1" applyFill="1" applyBorder="1" applyAlignment="1">
      <alignment horizontal="center" vertical="center" wrapText="1"/>
    </xf>
    <xf numFmtId="0" fontId="4" fillId="22" borderId="121" xfId="5" applyFont="1" applyFill="1" applyBorder="1" applyAlignment="1">
      <alignment horizontal="center" vertical="center"/>
    </xf>
    <xf numFmtId="0" fontId="4" fillId="22" borderId="108" xfId="5" applyFont="1" applyFill="1" applyBorder="1" applyAlignment="1">
      <alignment horizontal="center" vertical="center"/>
    </xf>
    <xf numFmtId="0" fontId="4" fillId="24" borderId="161" xfId="5" applyFont="1" applyFill="1" applyBorder="1" applyAlignment="1">
      <alignment horizontal="center" vertical="center"/>
    </xf>
    <xf numFmtId="0" fontId="4" fillId="23" borderId="138" xfId="5" applyFont="1" applyFill="1" applyBorder="1" applyAlignment="1">
      <alignment horizontal="center" vertical="center" wrapText="1"/>
    </xf>
    <xf numFmtId="0" fontId="4" fillId="22" borderId="144" xfId="5" applyFont="1" applyFill="1" applyBorder="1" applyAlignment="1">
      <alignment horizontal="center" vertical="center"/>
    </xf>
    <xf numFmtId="0" fontId="4" fillId="22" borderId="109" xfId="5" applyFont="1" applyFill="1" applyBorder="1" applyAlignment="1">
      <alignment horizontal="center" vertical="center"/>
    </xf>
    <xf numFmtId="0" fontId="4" fillId="22" borderId="128" xfId="5" applyFont="1" applyFill="1" applyBorder="1" applyAlignment="1">
      <alignment horizontal="center" vertical="center"/>
    </xf>
    <xf numFmtId="0" fontId="4" fillId="22" borderId="129" xfId="5" applyFont="1" applyFill="1" applyBorder="1" applyAlignment="1">
      <alignment horizontal="center" vertical="center"/>
    </xf>
    <xf numFmtId="0" fontId="4" fillId="23" borderId="133" xfId="5" applyFont="1" applyFill="1" applyBorder="1" applyAlignment="1">
      <alignment horizontal="center" vertical="center" wrapText="1"/>
    </xf>
    <xf numFmtId="0" fontId="4" fillId="23" borderId="134" xfId="5" applyFont="1" applyFill="1" applyBorder="1" applyAlignment="1">
      <alignment horizontal="center" vertical="center"/>
    </xf>
    <xf numFmtId="0" fontId="4" fillId="23" borderId="139" xfId="5" applyFont="1" applyFill="1" applyBorder="1" applyAlignment="1">
      <alignment horizontal="center" vertical="center"/>
    </xf>
    <xf numFmtId="0" fontId="4" fillId="23" borderId="133" xfId="5" applyFont="1" applyFill="1" applyBorder="1" applyAlignment="1">
      <alignment horizontal="center" vertical="center"/>
    </xf>
    <xf numFmtId="0" fontId="4" fillId="24" borderId="133" xfId="5" applyFont="1" applyFill="1" applyBorder="1" applyAlignment="1">
      <alignment horizontal="center" vertical="center"/>
    </xf>
    <xf numFmtId="0" fontId="4" fillId="24" borderId="136" xfId="5" applyFont="1" applyFill="1" applyBorder="1" applyAlignment="1">
      <alignment horizontal="center" vertical="center"/>
    </xf>
    <xf numFmtId="0" fontId="4" fillId="23" borderId="134" xfId="5" applyFont="1" applyFill="1" applyBorder="1" applyAlignment="1">
      <alignment horizontal="center" vertical="center" wrapText="1"/>
    </xf>
    <xf numFmtId="0" fontId="4" fillId="23" borderId="139" xfId="5" applyFont="1" applyFill="1" applyBorder="1" applyAlignment="1">
      <alignment horizontal="center" vertical="center" wrapText="1"/>
    </xf>
    <xf numFmtId="0" fontId="4" fillId="24" borderId="137" xfId="5" applyFont="1" applyFill="1" applyBorder="1" applyAlignment="1">
      <alignment horizontal="center" vertical="center"/>
    </xf>
    <xf numFmtId="0" fontId="4" fillId="18" borderId="128" xfId="5" applyFont="1" applyFill="1" applyBorder="1" applyAlignment="1">
      <alignment horizontal="center" vertical="center"/>
    </xf>
    <xf numFmtId="0" fontId="4" fillId="25" borderId="128" xfId="5" applyFont="1" applyFill="1" applyBorder="1" applyAlignment="1">
      <alignment horizontal="center" vertical="center"/>
    </xf>
    <xf numFmtId="0" fontId="4" fillId="26" borderId="128" xfId="5" applyFont="1" applyFill="1" applyBorder="1" applyAlignment="1">
      <alignment horizontal="center" vertical="center"/>
    </xf>
    <xf numFmtId="0" fontId="8" fillId="27" borderId="128" xfId="5" applyFont="1" applyFill="1" applyBorder="1" applyAlignment="1">
      <alignment horizontal="center" vertical="center"/>
    </xf>
    <xf numFmtId="0" fontId="4" fillId="22" borderId="162" xfId="5" applyFont="1" applyFill="1" applyBorder="1" applyAlignment="1">
      <alignment horizontal="center" vertical="center"/>
    </xf>
    <xf numFmtId="0" fontId="4" fillId="22" borderId="145" xfId="5" applyFont="1" applyFill="1" applyBorder="1" applyAlignment="1">
      <alignment horizontal="center" vertical="center"/>
    </xf>
    <xf numFmtId="0" fontId="2" fillId="0" borderId="95" xfId="5" applyFont="1" applyBorder="1" applyAlignment="1">
      <alignment vertical="top"/>
    </xf>
    <xf numFmtId="0" fontId="2" fillId="0" borderId="27" xfId="5" applyFont="1" applyBorder="1" applyAlignment="1">
      <alignment vertical="top"/>
    </xf>
    <xf numFmtId="0" fontId="2" fillId="0" borderId="30" xfId="5" applyFont="1" applyBorder="1" applyAlignment="1">
      <alignment vertical="top"/>
    </xf>
    <xf numFmtId="0" fontId="2" fillId="0" borderId="29" xfId="5" applyFont="1" applyBorder="1" applyAlignment="1">
      <alignment vertical="top"/>
    </xf>
    <xf numFmtId="0" fontId="2" fillId="0" borderId="16" xfId="5" applyFont="1" applyBorder="1" applyAlignment="1">
      <alignment vertical="top"/>
    </xf>
    <xf numFmtId="0" fontId="2" fillId="0" borderId="107" xfId="5" applyFont="1" applyBorder="1" applyAlignment="1">
      <alignment vertical="top"/>
    </xf>
    <xf numFmtId="0" fontId="2" fillId="0" borderId="140" xfId="5" applyFont="1" applyBorder="1" applyAlignment="1">
      <alignment vertical="top"/>
    </xf>
    <xf numFmtId="0" fontId="2" fillId="0" borderId="107" xfId="5" applyFont="1" applyBorder="1" applyAlignment="1">
      <alignment horizontal="center" vertical="top"/>
    </xf>
    <xf numFmtId="0" fontId="2" fillId="0" borderId="16" xfId="5" applyFont="1" applyBorder="1" applyAlignment="1">
      <alignment vertical="top" wrapText="1"/>
    </xf>
    <xf numFmtId="0" fontId="2" fillId="0" borderId="30" xfId="5" applyFont="1" applyBorder="1" applyAlignment="1">
      <alignment vertical="top" wrapText="1"/>
    </xf>
    <xf numFmtId="0" fontId="2" fillId="0" borderId="29" xfId="5" applyFont="1" applyBorder="1" applyAlignment="1">
      <alignment vertical="top" wrapText="1"/>
    </xf>
    <xf numFmtId="0" fontId="2" fillId="0" borderId="27" xfId="5" applyFont="1" applyBorder="1" applyAlignment="1">
      <alignment vertical="top" wrapText="1"/>
    </xf>
    <xf numFmtId="0" fontId="2" fillId="0" borderId="140" xfId="5" applyFont="1" applyBorder="1" applyAlignment="1">
      <alignment vertical="top" wrapText="1"/>
    </xf>
    <xf numFmtId="0" fontId="2" fillId="0" borderId="140" xfId="5" applyFont="1" applyBorder="1" applyAlignment="1">
      <alignment horizontal="center" vertical="top"/>
    </xf>
    <xf numFmtId="0" fontId="2" fillId="0" borderId="16" xfId="5" applyFont="1" applyBorder="1" applyAlignment="1">
      <alignment horizontal="center" vertical="center"/>
    </xf>
    <xf numFmtId="0" fontId="2" fillId="0" borderId="107" xfId="5" applyFont="1" applyBorder="1" applyAlignment="1">
      <alignment horizontal="center" vertical="center"/>
    </xf>
    <xf numFmtId="0" fontId="2" fillId="0" borderId="107" xfId="5" applyFont="1" applyBorder="1" applyAlignment="1">
      <alignment horizontal="left" vertical="top" wrapText="1"/>
    </xf>
    <xf numFmtId="0" fontId="2" fillId="0" borderId="107" xfId="5" applyFont="1" applyBorder="1" applyAlignment="1">
      <alignment horizontal="left" vertical="top"/>
    </xf>
    <xf numFmtId="0" fontId="2" fillId="0" borderId="50" xfId="5" applyFont="1" applyBorder="1" applyAlignment="1">
      <alignment vertical="top"/>
    </xf>
    <xf numFmtId="0" fontId="2" fillId="0" borderId="10" xfId="5" applyFont="1" applyBorder="1" applyAlignment="1">
      <alignment vertical="top"/>
    </xf>
    <xf numFmtId="0" fontId="2" fillId="0" borderId="28" xfId="5" applyFont="1" applyBorder="1" applyAlignment="1">
      <alignment vertical="top"/>
    </xf>
    <xf numFmtId="0" fontId="2" fillId="0" borderId="32" xfId="5" applyFont="1" applyBorder="1" applyAlignment="1">
      <alignment vertical="top"/>
    </xf>
    <xf numFmtId="0" fontId="2" fillId="0" borderId="31" xfId="5" applyFont="1" applyBorder="1" applyAlignment="1">
      <alignment vertical="top"/>
    </xf>
    <xf numFmtId="0" fontId="2" fillId="0" borderId="69" xfId="5" applyFont="1" applyBorder="1" applyAlignment="1">
      <alignment vertical="top"/>
    </xf>
    <xf numFmtId="0" fontId="2" fillId="0" borderId="99" xfId="5" applyFont="1" applyBorder="1" applyAlignment="1">
      <alignment vertical="top"/>
    </xf>
    <xf numFmtId="0" fontId="2" fillId="0" borderId="12" xfId="5" applyFont="1" applyBorder="1" applyAlignment="1">
      <alignment vertical="top"/>
    </xf>
    <xf numFmtId="0" fontId="2" fillId="0" borderId="32" xfId="5" applyFont="1" applyBorder="1" applyAlignment="1">
      <alignment vertical="top" wrapText="1"/>
    </xf>
    <xf numFmtId="0" fontId="2" fillId="0" borderId="31" xfId="5" applyFont="1" applyBorder="1" applyAlignment="1">
      <alignment vertical="top" wrapText="1"/>
    </xf>
    <xf numFmtId="0" fontId="2" fillId="0" borderId="28" xfId="5" applyFont="1" applyBorder="1" applyAlignment="1">
      <alignment vertical="top" wrapText="1"/>
    </xf>
    <xf numFmtId="0" fontId="2" fillId="0" borderId="69" xfId="5" applyFont="1" applyBorder="1" applyAlignment="1">
      <alignment vertical="top" wrapText="1"/>
    </xf>
    <xf numFmtId="0" fontId="2" fillId="0" borderId="12" xfId="5" applyFont="1" applyBorder="1" applyAlignment="1">
      <alignment horizontal="center" vertical="top"/>
    </xf>
    <xf numFmtId="0" fontId="2" fillId="0" borderId="51" xfId="5" applyFont="1" applyBorder="1" applyAlignment="1">
      <alignment vertical="top"/>
    </xf>
    <xf numFmtId="0" fontId="2" fillId="0" borderId="80" xfId="5" applyFont="1" applyBorder="1" applyAlignment="1">
      <alignment vertical="top"/>
    </xf>
    <xf numFmtId="0" fontId="2" fillId="0" borderId="69" xfId="5" applyFont="1" applyBorder="1" applyAlignment="1">
      <alignment horizontal="center" vertical="top"/>
    </xf>
    <xf numFmtId="0" fontId="2" fillId="0" borderId="99" xfId="5" applyFont="1" applyBorder="1" applyAlignment="1">
      <alignment horizontal="center" vertical="top"/>
    </xf>
    <xf numFmtId="0" fontId="2" fillId="0" borderId="159" xfId="5" applyFont="1" applyBorder="1" applyAlignment="1">
      <alignment horizontal="left" vertical="top"/>
    </xf>
    <xf numFmtId="0" fontId="2" fillId="0" borderId="100" xfId="5" applyFont="1" applyBorder="1" applyAlignment="1">
      <alignment vertical="top"/>
    </xf>
    <xf numFmtId="0" fontId="2" fillId="0" borderId="106" xfId="5" applyFont="1" applyBorder="1" applyAlignment="1">
      <alignment horizontal="center" vertical="top"/>
    </xf>
    <xf numFmtId="0" fontId="2" fillId="0" borderId="106" xfId="5" applyFont="1" applyBorder="1" applyAlignment="1">
      <alignment vertical="top"/>
    </xf>
    <xf numFmtId="0" fontId="2" fillId="0" borderId="32" xfId="5" applyFont="1" applyBorder="1" applyAlignment="1">
      <alignment horizontal="center" vertical="top"/>
    </xf>
    <xf numFmtId="0" fontId="2" fillId="0" borderId="27" xfId="5" applyFont="1" applyBorder="1" applyAlignment="1">
      <alignment horizontal="center" vertical="top"/>
    </xf>
    <xf numFmtId="0" fontId="2" fillId="0" borderId="16" xfId="5" applyFont="1" applyBorder="1" applyAlignment="1">
      <alignment horizontal="left" vertical="top"/>
    </xf>
    <xf numFmtId="0" fontId="2" fillId="0" borderId="91" xfId="5" applyFont="1" applyBorder="1" applyAlignment="1">
      <alignment vertical="top"/>
    </xf>
    <xf numFmtId="0" fontId="6" fillId="0" borderId="0" xfId="5" applyFont="1" applyAlignment="1">
      <alignment vertical="top"/>
    </xf>
    <xf numFmtId="0" fontId="6" fillId="0" borderId="30" xfId="5" applyFont="1" applyBorder="1" applyAlignment="1">
      <alignment vertical="top"/>
    </xf>
    <xf numFmtId="0" fontId="6" fillId="0" borderId="29" xfId="5" applyFont="1" applyBorder="1" applyAlignment="1">
      <alignment vertical="top"/>
    </xf>
    <xf numFmtId="0" fontId="6" fillId="0" borderId="27" xfId="5" applyFont="1" applyBorder="1" applyAlignment="1">
      <alignment vertical="top"/>
    </xf>
    <xf numFmtId="0" fontId="6" fillId="0" borderId="16" xfId="5" applyFont="1" applyBorder="1" applyAlignment="1">
      <alignment vertical="top"/>
    </xf>
    <xf numFmtId="0" fontId="6" fillId="0" borderId="16" xfId="5" applyFont="1" applyBorder="1" applyAlignment="1">
      <alignment vertical="top" wrapText="1"/>
    </xf>
    <xf numFmtId="0" fontId="6" fillId="0" borderId="30" xfId="5" applyFont="1" applyBorder="1" applyAlignment="1">
      <alignment vertical="top" wrapText="1"/>
    </xf>
    <xf numFmtId="0" fontId="6" fillId="0" borderId="27" xfId="5" applyFont="1" applyBorder="1" applyAlignment="1">
      <alignment vertical="top" wrapText="1"/>
    </xf>
    <xf numFmtId="0" fontId="6" fillId="0" borderId="140" xfId="5" applyFont="1" applyBorder="1" applyAlignment="1">
      <alignment horizontal="center" vertical="top"/>
    </xf>
    <xf numFmtId="0" fontId="2" fillId="0" borderId="94" xfId="5" applyFont="1" applyBorder="1" applyAlignment="1">
      <alignment vertical="top" wrapText="1"/>
    </xf>
    <xf numFmtId="0" fontId="2" fillId="0" borderId="90" xfId="5" applyFont="1" applyBorder="1" applyAlignment="1">
      <alignment vertical="top" wrapText="1"/>
    </xf>
    <xf numFmtId="0" fontId="2" fillId="0" borderId="91" xfId="5" applyFont="1" applyBorder="1" applyAlignment="1">
      <alignment vertical="top" wrapText="1"/>
    </xf>
    <xf numFmtId="0" fontId="2" fillId="0" borderId="106" xfId="5" applyFont="1" applyBorder="1" applyAlignment="1">
      <alignment vertical="top" wrapText="1"/>
    </xf>
    <xf numFmtId="0" fontId="2" fillId="0" borderId="90" xfId="5" applyFont="1" applyBorder="1" applyAlignment="1">
      <alignment vertical="top"/>
    </xf>
    <xf numFmtId="0" fontId="2" fillId="0" borderId="77" xfId="5" applyFont="1" applyBorder="1" applyAlignment="1">
      <alignment vertical="top"/>
    </xf>
    <xf numFmtId="0" fontId="2" fillId="0" borderId="80" xfId="5" applyFont="1" applyBorder="1" applyAlignment="1">
      <alignment vertical="top" wrapText="1"/>
    </xf>
    <xf numFmtId="0" fontId="2" fillId="0" borderId="143" xfId="5" applyFont="1" applyBorder="1" applyAlignment="1">
      <alignment horizontal="center"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118" xfId="5" applyFont="1" applyBorder="1" applyAlignment="1">
      <alignment vertical="top" wrapText="1"/>
    </xf>
    <xf numFmtId="0" fontId="2" fillId="0" borderId="97" xfId="5" applyFont="1" applyBorder="1" applyAlignment="1">
      <alignment vertical="top"/>
    </xf>
    <xf numFmtId="0" fontId="2" fillId="0" borderId="96" xfId="5" applyFont="1" applyBorder="1" applyAlignment="1">
      <alignment vertical="top"/>
    </xf>
    <xf numFmtId="0" fontId="2" fillId="0" borderId="75" xfId="5" applyFont="1" applyBorder="1" applyAlignment="1">
      <alignment vertical="top"/>
    </xf>
    <xf numFmtId="0" fontId="2" fillId="0" borderId="118" xfId="5" applyFont="1" applyBorder="1" applyAlignment="1">
      <alignment vertical="top"/>
    </xf>
    <xf numFmtId="0" fontId="2" fillId="0" borderId="118" xfId="5" applyFont="1" applyBorder="1" applyAlignment="1">
      <alignment horizontal="center" vertical="top"/>
    </xf>
    <xf numFmtId="0" fontId="2" fillId="0" borderId="115" xfId="5" applyFont="1" applyBorder="1" applyAlignment="1">
      <alignment horizontal="center" vertical="top"/>
    </xf>
    <xf numFmtId="0" fontId="2" fillId="0" borderId="97" xfId="5" applyFont="1" applyBorder="1" applyAlignment="1">
      <alignment vertical="top" wrapText="1"/>
    </xf>
    <xf numFmtId="0" fontId="2" fillId="0" borderId="96" xfId="5" applyFont="1" applyBorder="1" applyAlignment="1">
      <alignment vertical="top" wrapText="1"/>
    </xf>
    <xf numFmtId="0" fontId="2" fillId="0" borderId="75" xfId="5" applyFont="1" applyBorder="1" applyAlignment="1">
      <alignment vertical="top" wrapText="1"/>
    </xf>
    <xf numFmtId="0" fontId="2" fillId="0" borderId="142" xfId="5" applyFont="1" applyBorder="1" applyAlignment="1">
      <alignment horizontal="center" vertical="top"/>
    </xf>
    <xf numFmtId="0" fontId="2" fillId="0" borderId="100" xfId="5" applyFont="1" applyBorder="1" applyAlignment="1">
      <alignment vertical="top" wrapText="1"/>
    </xf>
    <xf numFmtId="0" fontId="2" fillId="0" borderId="104" xfId="5" applyFont="1" applyBorder="1" applyAlignment="1">
      <alignment horizontal="center" vertical="center"/>
    </xf>
    <xf numFmtId="0" fontId="2" fillId="0" borderId="122" xfId="5" applyFont="1" applyBorder="1" applyAlignment="1">
      <alignment horizontal="center" vertical="center"/>
    </xf>
    <xf numFmtId="0" fontId="2" fillId="0" borderId="122" xfId="5" applyFont="1" applyBorder="1" applyAlignment="1">
      <alignment horizontal="center" vertical="top"/>
    </xf>
    <xf numFmtId="0" fontId="2" fillId="0" borderId="98" xfId="5" applyFont="1" applyBorder="1" applyAlignment="1">
      <alignment vertical="top"/>
    </xf>
    <xf numFmtId="0" fontId="2" fillId="0" borderId="102" xfId="5" applyFont="1" applyBorder="1" applyAlignment="1">
      <alignment vertical="top"/>
    </xf>
    <xf numFmtId="0" fontId="2" fillId="0" borderId="16" xfId="5" applyFont="1" applyBorder="1" applyAlignment="1">
      <alignment horizontal="center" vertical="top"/>
    </xf>
    <xf numFmtId="0" fontId="2" fillId="0" borderId="107" xfId="5" applyFont="1" applyBorder="1" applyAlignment="1">
      <alignment vertical="top" wrapText="1"/>
    </xf>
    <xf numFmtId="0" fontId="2" fillId="0" borderId="159" xfId="5" applyFont="1" applyBorder="1" applyAlignment="1">
      <alignment vertical="top"/>
    </xf>
    <xf numFmtId="0" fontId="2" fillId="0" borderId="163" xfId="5" applyFont="1" applyBorder="1" applyAlignment="1">
      <alignment vertical="top" wrapText="1"/>
    </xf>
    <xf numFmtId="0" fontId="2" fillId="0" borderId="102" xfId="5" applyFont="1" applyBorder="1" applyAlignment="1">
      <alignment vertical="top" wrapText="1"/>
    </xf>
    <xf numFmtId="0" fontId="6" fillId="0" borderId="16" xfId="5" applyFont="1" applyBorder="1" applyAlignment="1">
      <alignment horizontal="center" vertical="center"/>
    </xf>
    <xf numFmtId="0" fontId="6" fillId="0" borderId="107" xfId="5" applyFont="1" applyBorder="1" applyAlignment="1">
      <alignment horizontal="center" vertical="center"/>
    </xf>
    <xf numFmtId="0" fontId="2" fillId="0" borderId="50" xfId="5" applyFont="1" applyBorder="1"/>
    <xf numFmtId="0" fontId="2" fillId="0" borderId="95" xfId="5" applyFont="1" applyBorder="1" applyAlignment="1">
      <alignment vertical="top" wrapText="1"/>
    </xf>
    <xf numFmtId="0" fontId="2" fillId="0" borderId="12" xfId="5" applyFont="1" applyBorder="1" applyAlignment="1">
      <alignment vertical="top" wrapText="1"/>
    </xf>
    <xf numFmtId="0" fontId="2" fillId="0" borderId="99" xfId="5" applyFont="1" applyBorder="1" applyAlignment="1">
      <alignment vertical="top" wrapText="1"/>
    </xf>
    <xf numFmtId="0" fontId="6" fillId="0" borderId="69" xfId="5" applyFont="1" applyBorder="1" applyAlignment="1">
      <alignment horizontal="center" vertical="center"/>
    </xf>
    <xf numFmtId="0" fontId="6" fillId="0" borderId="99" xfId="5" applyFont="1" applyBorder="1" applyAlignment="1">
      <alignment horizontal="center" vertical="center"/>
    </xf>
    <xf numFmtId="0" fontId="2" fillId="0" borderId="51" xfId="5" applyFont="1" applyBorder="1"/>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2" fillId="0" borderId="77" xfId="5" applyFont="1" applyBorder="1" applyAlignment="1">
      <alignment horizontal="center" vertical="top"/>
    </xf>
    <xf numFmtId="0" fontId="2" fillId="0" borderId="105" xfId="5" applyFont="1" applyBorder="1" applyAlignment="1">
      <alignment horizontal="left" vertical="top" wrapText="1"/>
    </xf>
    <xf numFmtId="0" fontId="2" fillId="0" borderId="118" xfId="5" applyFont="1" applyBorder="1" applyAlignment="1">
      <alignment horizontal="center" vertical="center"/>
    </xf>
    <xf numFmtId="0" fontId="2" fillId="0" borderId="115" xfId="5" applyFont="1" applyBorder="1" applyAlignment="1">
      <alignment horizontal="center" vertical="center"/>
    </xf>
    <xf numFmtId="0" fontId="2" fillId="0" borderId="98" xfId="5" applyFont="1" applyBorder="1"/>
    <xf numFmtId="0" fontId="2" fillId="0" borderId="13" xfId="5" applyFont="1" applyBorder="1" applyAlignment="1">
      <alignment vertical="top" wrapText="1"/>
    </xf>
    <xf numFmtId="0" fontId="2" fillId="0" borderId="101" xfId="5" applyFont="1" applyBorder="1" applyAlignment="1">
      <alignment vertical="top"/>
    </xf>
    <xf numFmtId="0" fontId="2" fillId="0" borderId="117" xfId="5" applyFont="1" applyBorder="1" applyAlignment="1">
      <alignment vertical="top" wrapText="1"/>
    </xf>
    <xf numFmtId="0" fontId="2" fillId="0" borderId="93" xfId="5" applyFont="1" applyBorder="1" applyAlignment="1">
      <alignment vertical="top"/>
    </xf>
    <xf numFmtId="0" fontId="2" fillId="0" borderId="92" xfId="5" applyFont="1" applyBorder="1" applyAlignment="1">
      <alignment vertical="top"/>
    </xf>
    <xf numFmtId="0" fontId="2" fillId="0" borderId="124" xfId="5" applyFont="1" applyBorder="1" applyAlignment="1">
      <alignment vertical="top"/>
    </xf>
    <xf numFmtId="0" fontId="2" fillId="0" borderId="141" xfId="5" applyFont="1" applyBorder="1" applyAlignment="1">
      <alignment vertical="top"/>
    </xf>
    <xf numFmtId="0" fontId="2" fillId="0" borderId="117" xfId="5" applyFont="1" applyBorder="1" applyAlignment="1">
      <alignment horizontal="center" vertical="top"/>
    </xf>
    <xf numFmtId="0" fontId="2" fillId="0" borderId="101" xfId="5" applyFont="1" applyBorder="1" applyAlignment="1">
      <alignment horizontal="center" vertical="top"/>
    </xf>
    <xf numFmtId="0" fontId="2" fillId="0" borderId="93" xfId="5" applyFont="1" applyBorder="1" applyAlignment="1">
      <alignment vertical="top" wrapText="1"/>
    </xf>
    <xf numFmtId="0" fontId="2" fillId="0" borderId="92" xfId="5" applyFont="1" applyBorder="1" applyAlignment="1">
      <alignment vertical="top" wrapText="1"/>
    </xf>
    <xf numFmtId="0" fontId="2" fillId="0" borderId="124" xfId="5" applyFont="1" applyBorder="1" applyAlignment="1">
      <alignment vertical="top" wrapText="1"/>
    </xf>
    <xf numFmtId="0" fontId="2" fillId="0" borderId="141" xfId="5" applyFont="1" applyBorder="1" applyAlignment="1">
      <alignment vertical="top" wrapText="1"/>
    </xf>
    <xf numFmtId="0" fontId="2" fillId="0" borderId="101" xfId="5" applyFont="1" applyBorder="1" applyAlignment="1">
      <alignment vertical="top" wrapText="1"/>
    </xf>
    <xf numFmtId="0" fontId="2" fillId="0" borderId="141" xfId="5" applyFont="1" applyBorder="1" applyAlignment="1">
      <alignment horizontal="center" vertical="top"/>
    </xf>
    <xf numFmtId="0" fontId="2" fillId="0" borderId="117" xfId="5" applyFont="1" applyBorder="1" applyAlignment="1">
      <alignment vertical="top"/>
    </xf>
    <xf numFmtId="0" fontId="2" fillId="0" borderId="69" xfId="5" applyFont="1" applyBorder="1" applyAlignment="1">
      <alignment horizontal="center" vertical="center"/>
    </xf>
    <xf numFmtId="0" fontId="2" fillId="0" borderId="99" xfId="5" applyFont="1" applyBorder="1" applyAlignment="1">
      <alignment horizontal="center" vertical="center"/>
    </xf>
    <xf numFmtId="0" fontId="2" fillId="0" borderId="14" xfId="5" applyFont="1" applyBorder="1" applyAlignment="1">
      <alignment vertical="top"/>
    </xf>
    <xf numFmtId="0" fontId="2" fillId="0" borderId="115" xfId="5" applyFont="1" applyBorder="1" applyAlignment="1">
      <alignment vertical="top"/>
    </xf>
    <xf numFmtId="0" fontId="2" fillId="0" borderId="142" xfId="5" applyFont="1" applyBorder="1" applyAlignment="1">
      <alignment vertical="top"/>
    </xf>
    <xf numFmtId="0" fontId="2" fillId="0" borderId="142" xfId="5" applyFont="1" applyBorder="1" applyAlignment="1">
      <alignment vertical="top" wrapText="1"/>
    </xf>
    <xf numFmtId="0" fontId="2" fillId="0" borderId="115" xfId="5" applyFont="1" applyBorder="1" applyAlignment="1">
      <alignment vertical="top" wrapText="1"/>
    </xf>
    <xf numFmtId="0" fontId="13" fillId="0" borderId="101" xfId="5" applyFont="1" applyBorder="1" applyAlignment="1">
      <alignment vertical="top"/>
    </xf>
    <xf numFmtId="0" fontId="13" fillId="0" borderId="117" xfId="5" applyFont="1" applyBorder="1" applyAlignment="1">
      <alignment vertical="top" wrapText="1"/>
    </xf>
    <xf numFmtId="0" fontId="13" fillId="0" borderId="93" xfId="5" applyFont="1" applyBorder="1" applyAlignment="1">
      <alignment vertical="top"/>
    </xf>
    <xf numFmtId="0" fontId="13" fillId="0" borderId="92" xfId="5" applyFont="1" applyBorder="1" applyAlignment="1">
      <alignment vertical="top"/>
    </xf>
    <xf numFmtId="0" fontId="13" fillId="0" borderId="141" xfId="5" applyFont="1" applyBorder="1" applyAlignment="1">
      <alignment vertical="top"/>
    </xf>
    <xf numFmtId="0" fontId="13" fillId="0" borderId="117" xfId="5" applyFont="1" applyBorder="1" applyAlignment="1">
      <alignment horizontal="center" vertical="top"/>
    </xf>
    <xf numFmtId="0" fontId="13" fillId="0" borderId="101" xfId="5" applyFont="1" applyBorder="1" applyAlignment="1">
      <alignment horizontal="center" vertical="top"/>
    </xf>
    <xf numFmtId="0" fontId="13" fillId="0" borderId="93" xfId="5" applyFont="1" applyBorder="1" applyAlignment="1">
      <alignment vertical="top" wrapText="1"/>
    </xf>
    <xf numFmtId="0" fontId="13" fillId="0" borderId="92" xfId="5" applyFont="1" applyBorder="1" applyAlignment="1">
      <alignment vertical="top" wrapText="1"/>
    </xf>
    <xf numFmtId="0" fontId="13" fillId="0" borderId="124" xfId="5" applyFont="1" applyBorder="1" applyAlignment="1">
      <alignment vertical="top" wrapText="1"/>
    </xf>
    <xf numFmtId="0" fontId="13" fillId="0" borderId="141" xfId="5" applyFont="1" applyBorder="1" applyAlignment="1">
      <alignment vertical="top" wrapText="1"/>
    </xf>
    <xf numFmtId="0" fontId="13" fillId="0" borderId="101" xfId="5" applyFont="1" applyBorder="1" applyAlignment="1">
      <alignment vertical="top" wrapText="1"/>
    </xf>
    <xf numFmtId="0" fontId="13" fillId="0" borderId="141" xfId="5" applyFont="1" applyBorder="1" applyAlignment="1">
      <alignment horizontal="center" vertical="top"/>
    </xf>
    <xf numFmtId="0" fontId="13" fillId="0" borderId="117" xfId="5" applyFont="1" applyBorder="1" applyAlignment="1">
      <alignment vertical="top"/>
    </xf>
    <xf numFmtId="0" fontId="13" fillId="0" borderId="16" xfId="5" applyFont="1" applyBorder="1" applyAlignment="1">
      <alignment horizontal="center" vertical="center"/>
    </xf>
    <xf numFmtId="0" fontId="13" fillId="0" borderId="107" xfId="5" applyFont="1" applyBorder="1" applyAlignment="1">
      <alignment horizontal="center" vertical="center"/>
    </xf>
    <xf numFmtId="0" fontId="13" fillId="0" borderId="50" xfId="5" applyFont="1" applyBorder="1"/>
    <xf numFmtId="0" fontId="13" fillId="0" borderId="99" xfId="5" applyFont="1" applyBorder="1" applyAlignment="1">
      <alignment vertical="top"/>
    </xf>
    <xf numFmtId="0" fontId="13" fillId="0" borderId="69" xfId="5" applyFont="1" applyBorder="1" applyAlignment="1">
      <alignment vertical="top" wrapText="1"/>
    </xf>
    <xf numFmtId="0" fontId="13" fillId="0" borderId="32" xfId="5" applyFont="1" applyBorder="1" applyAlignment="1">
      <alignment vertical="top"/>
    </xf>
    <xf numFmtId="0" fontId="13" fillId="0" borderId="31" xfId="5" applyFont="1" applyBorder="1" applyAlignment="1">
      <alignment vertical="top"/>
    </xf>
    <xf numFmtId="0" fontId="13" fillId="0" borderId="12" xfId="5" applyFont="1" applyBorder="1" applyAlignment="1">
      <alignment vertical="top"/>
    </xf>
    <xf numFmtId="0" fontId="13" fillId="0" borderId="69" xfId="5" applyFont="1" applyBorder="1" applyAlignment="1">
      <alignment horizontal="center" vertical="top"/>
    </xf>
    <xf numFmtId="0" fontId="13" fillId="0" borderId="99" xfId="5" applyFont="1" applyBorder="1" applyAlignment="1">
      <alignment horizontal="center" vertical="top"/>
    </xf>
    <xf numFmtId="0" fontId="13" fillId="0" borderId="32" xfId="5" applyFont="1" applyBorder="1" applyAlignment="1">
      <alignment vertical="top" wrapText="1"/>
    </xf>
    <xf numFmtId="0" fontId="13" fillId="0" borderId="31" xfId="5" applyFont="1" applyBorder="1" applyAlignment="1">
      <alignment vertical="top" wrapText="1"/>
    </xf>
    <xf numFmtId="0" fontId="13" fillId="0" borderId="28" xfId="5" applyFont="1" applyBorder="1" applyAlignment="1">
      <alignment vertical="top" wrapText="1"/>
    </xf>
    <xf numFmtId="0" fontId="13" fillId="0" borderId="12" xfId="5" applyFont="1" applyBorder="1" applyAlignment="1">
      <alignment vertical="top" wrapText="1"/>
    </xf>
    <xf numFmtId="0" fontId="13" fillId="0" borderId="99" xfId="5" applyFont="1" applyBorder="1" applyAlignment="1">
      <alignment vertical="top" wrapText="1"/>
    </xf>
    <xf numFmtId="0" fontId="13" fillId="0" borderId="12" xfId="5" applyFont="1" applyBorder="1" applyAlignment="1">
      <alignment horizontal="center" vertical="top"/>
    </xf>
    <xf numFmtId="0" fontId="13" fillId="0" borderId="69" xfId="5" applyFont="1" applyBorder="1" applyAlignment="1">
      <alignment vertical="top"/>
    </xf>
    <xf numFmtId="0" fontId="13" fillId="0" borderId="69" xfId="5" applyFont="1" applyBorder="1" applyAlignment="1">
      <alignment horizontal="center" vertical="center"/>
    </xf>
    <xf numFmtId="0" fontId="13" fillId="0" borderId="99" xfId="5" applyFont="1" applyBorder="1" applyAlignment="1">
      <alignment horizontal="center" vertical="center"/>
    </xf>
    <xf numFmtId="0" fontId="13" fillId="0" borderId="51" xfId="5" applyFont="1" applyBorder="1"/>
    <xf numFmtId="0" fontId="13" fillId="0" borderId="91" xfId="5" applyFont="1" applyBorder="1" applyAlignment="1">
      <alignment vertical="top"/>
    </xf>
    <xf numFmtId="0" fontId="13" fillId="0" borderId="100" xfId="5" applyFont="1" applyBorder="1" applyAlignment="1">
      <alignment vertical="top"/>
    </xf>
    <xf numFmtId="0" fontId="13" fillId="0" borderId="77" xfId="5" applyFont="1" applyBorder="1" applyAlignment="1">
      <alignment vertical="top" wrapText="1"/>
    </xf>
    <xf numFmtId="0" fontId="13" fillId="0" borderId="90" xfId="5" applyFont="1" applyBorder="1" applyAlignment="1">
      <alignment vertical="top"/>
    </xf>
    <xf numFmtId="0" fontId="13" fillId="0" borderId="143" xfId="5" applyFont="1" applyBorder="1" applyAlignment="1">
      <alignment vertical="top"/>
    </xf>
    <xf numFmtId="0" fontId="13" fillId="0" borderId="77" xfId="5" applyFont="1" applyBorder="1" applyAlignment="1">
      <alignment horizontal="center" vertical="top"/>
    </xf>
    <xf numFmtId="0" fontId="13" fillId="0" borderId="100" xfId="5" applyFont="1" applyBorder="1" applyAlignment="1">
      <alignment horizontal="center" vertical="top"/>
    </xf>
    <xf numFmtId="0" fontId="13" fillId="0" borderId="91" xfId="5" applyFont="1" applyBorder="1" applyAlignment="1">
      <alignment vertical="top" wrapText="1"/>
    </xf>
    <xf numFmtId="0" fontId="13" fillId="0" borderId="90" xfId="5" applyFont="1" applyBorder="1" applyAlignment="1">
      <alignment vertical="top" wrapText="1"/>
    </xf>
    <xf numFmtId="0" fontId="13" fillId="0" borderId="80" xfId="5" applyFont="1" applyBorder="1" applyAlignment="1">
      <alignment vertical="top" wrapText="1"/>
    </xf>
    <xf numFmtId="0" fontId="13" fillId="0" borderId="143" xfId="5" applyFont="1" applyBorder="1" applyAlignment="1">
      <alignment vertical="top" wrapText="1"/>
    </xf>
    <xf numFmtId="0" fontId="13" fillId="0" borderId="100" xfId="5" applyFont="1" applyBorder="1" applyAlignment="1">
      <alignment vertical="top" wrapText="1"/>
    </xf>
    <xf numFmtId="0" fontId="13" fillId="0" borderId="143" xfId="5" applyFont="1" applyBorder="1" applyAlignment="1">
      <alignment horizontal="center" vertical="top"/>
    </xf>
    <xf numFmtId="0" fontId="13" fillId="0" borderId="77" xfId="5" applyFont="1" applyBorder="1" applyAlignment="1">
      <alignment vertical="top"/>
    </xf>
    <xf numFmtId="0" fontId="13" fillId="0" borderId="118" xfId="5" applyFont="1" applyBorder="1" applyAlignment="1">
      <alignment horizontal="center" vertical="center"/>
    </xf>
    <xf numFmtId="0" fontId="13" fillId="0" borderId="115" xfId="5" applyFont="1" applyBorder="1" applyAlignment="1">
      <alignment horizontal="center" vertical="center"/>
    </xf>
    <xf numFmtId="0" fontId="13" fillId="0" borderId="98" xfId="5" applyFont="1" applyBorder="1"/>
    <xf numFmtId="0" fontId="13" fillId="0" borderId="30" xfId="5" applyFont="1" applyBorder="1" applyAlignment="1">
      <alignment vertical="top" wrapText="1"/>
    </xf>
    <xf numFmtId="0" fontId="13" fillId="0" borderId="116" xfId="5" applyFont="1" applyBorder="1" applyAlignment="1">
      <alignment vertical="top"/>
    </xf>
    <xf numFmtId="0" fontId="13" fillId="0" borderId="119" xfId="5" applyFont="1" applyBorder="1" applyAlignment="1">
      <alignment vertical="top" wrapText="1"/>
    </xf>
    <xf numFmtId="0" fontId="13" fillId="0" borderId="52" xfId="5" applyFont="1" applyBorder="1" applyAlignment="1">
      <alignment vertical="top"/>
    </xf>
    <xf numFmtId="0" fontId="13" fillId="0" borderId="45" xfId="5" applyFont="1" applyBorder="1" applyAlignment="1">
      <alignment vertical="top"/>
    </xf>
    <xf numFmtId="0" fontId="13" fillId="0" borderId="68" xfId="5" applyFont="1" applyBorder="1" applyAlignment="1">
      <alignment vertical="top"/>
    </xf>
    <xf numFmtId="0" fontId="13" fillId="0" borderId="119" xfId="5" applyFont="1" applyBorder="1" applyAlignment="1">
      <alignment horizontal="center" vertical="top"/>
    </xf>
    <xf numFmtId="0" fontId="13" fillId="0" borderId="116" xfId="5" applyFont="1" applyBorder="1" applyAlignment="1">
      <alignment horizontal="center" vertical="top"/>
    </xf>
    <xf numFmtId="0" fontId="13" fillId="0" borderId="52" xfId="5" applyFont="1" applyBorder="1" applyAlignment="1">
      <alignment vertical="top" wrapText="1"/>
    </xf>
    <xf numFmtId="0" fontId="13" fillId="0" borderId="45" xfId="5" applyFont="1" applyBorder="1" applyAlignment="1">
      <alignment vertical="top" wrapText="1"/>
    </xf>
    <xf numFmtId="0" fontId="13" fillId="0" borderId="49" xfId="5" applyFont="1" applyBorder="1" applyAlignment="1">
      <alignment vertical="top" wrapText="1"/>
    </xf>
    <xf numFmtId="0" fontId="13" fillId="0" borderId="68" xfId="5" applyFont="1" applyBorder="1" applyAlignment="1">
      <alignment vertical="top" wrapText="1"/>
    </xf>
    <xf numFmtId="0" fontId="13" fillId="0" borderId="116" xfId="5" applyFont="1" applyBorder="1" applyAlignment="1">
      <alignment vertical="top" wrapText="1"/>
    </xf>
    <xf numFmtId="0" fontId="13" fillId="0" borderId="68" xfId="5" applyFont="1" applyBorder="1" applyAlignment="1">
      <alignment horizontal="center" vertical="top"/>
    </xf>
    <xf numFmtId="0" fontId="13" fillId="0" borderId="119" xfId="5" applyFont="1" applyBorder="1" applyAlignment="1">
      <alignment vertical="top"/>
    </xf>
    <xf numFmtId="0" fontId="13" fillId="0" borderId="119" xfId="5" applyFont="1" applyBorder="1" applyAlignment="1">
      <alignment horizontal="center" vertical="center"/>
    </xf>
    <xf numFmtId="0" fontId="13" fillId="0" borderId="116" xfId="5" applyFont="1" applyBorder="1" applyAlignment="1">
      <alignment horizontal="center" vertical="center"/>
    </xf>
    <xf numFmtId="0" fontId="13" fillId="0" borderId="53" xfId="5" applyFont="1" applyBorder="1"/>
    <xf numFmtId="0" fontId="4" fillId="0" borderId="0" xfId="5" applyFont="1"/>
    <xf numFmtId="0" fontId="2" fillId="0" borderId="87" xfId="5" applyFont="1" applyBorder="1"/>
    <xf numFmtId="0" fontId="2" fillId="0" borderId="110" xfId="5" applyFont="1" applyBorder="1"/>
    <xf numFmtId="0" fontId="2" fillId="0" borderId="10" xfId="5" applyFont="1" applyBorder="1"/>
    <xf numFmtId="0" fontId="2" fillId="0" borderId="111" xfId="5" applyFont="1" applyBorder="1"/>
    <xf numFmtId="0" fontId="14" fillId="0" borderId="0" xfId="5" applyFont="1" applyAlignment="1">
      <alignment horizontal="left"/>
    </xf>
    <xf numFmtId="0" fontId="14" fillId="0" borderId="0" xfId="5" applyFont="1"/>
    <xf numFmtId="0" fontId="16" fillId="27" borderId="125" xfId="5" applyFont="1" applyFill="1" applyBorder="1" applyAlignment="1">
      <alignment horizontal="center" vertical="center"/>
    </xf>
    <xf numFmtId="0" fontId="2" fillId="0" borderId="10" xfId="5" applyFont="1" applyBorder="1" applyAlignment="1">
      <alignment vertical="top" wrapText="1"/>
    </xf>
    <xf numFmtId="0" fontId="2" fillId="0" borderId="172" xfId="5" applyFont="1" applyBorder="1" applyAlignment="1">
      <alignment horizontal="left" vertical="top"/>
    </xf>
    <xf numFmtId="0" fontId="2" fillId="0" borderId="29" xfId="5" applyFont="1" applyBorder="1" applyAlignment="1">
      <alignment horizontal="left" vertical="top" wrapText="1"/>
    </xf>
    <xf numFmtId="0" fontId="2" fillId="0" borderId="94" xfId="5" applyFont="1" applyBorder="1" applyAlignment="1">
      <alignment horizontal="left" vertical="top" wrapText="1"/>
    </xf>
    <xf numFmtId="0" fontId="2" fillId="0" borderId="106" xfId="5" applyFont="1" applyBorder="1" applyAlignment="1">
      <alignment horizontal="left" vertical="top" wrapText="1"/>
    </xf>
    <xf numFmtId="176" fontId="2" fillId="0" borderId="117" xfId="4" applyNumberFormat="1" applyFont="1" applyBorder="1" applyAlignment="1">
      <alignment horizontal="center"/>
    </xf>
    <xf numFmtId="176" fontId="2" fillId="0" borderId="93" xfId="4" applyNumberFormat="1" applyFont="1" applyBorder="1" applyAlignment="1">
      <alignment horizontal="center"/>
    </xf>
    <xf numFmtId="0" fontId="2" fillId="0" borderId="153" xfId="4" applyFont="1" applyBorder="1" applyAlignment="1">
      <alignment horizontal="center"/>
    </xf>
    <xf numFmtId="0" fontId="17" fillId="0" borderId="140" xfId="4" applyFont="1" applyBorder="1"/>
    <xf numFmtId="0" fontId="18" fillId="0" borderId="95" xfId="4" applyFont="1" applyBorder="1"/>
    <xf numFmtId="0" fontId="17" fillId="0" borderId="12" xfId="4" applyFont="1" applyBorder="1"/>
    <xf numFmtId="0" fontId="2" fillId="0" borderId="0" xfId="2" applyFont="1"/>
    <xf numFmtId="0" fontId="19" fillId="0" borderId="0" xfId="2" applyFont="1"/>
    <xf numFmtId="0" fontId="20" fillId="0" borderId="0" xfId="2" applyFont="1"/>
    <xf numFmtId="0" fontId="3" fillId="0" borderId="0" xfId="2" applyFont="1"/>
    <xf numFmtId="0" fontId="4" fillId="0" borderId="0" xfId="2" applyFont="1"/>
    <xf numFmtId="0" fontId="14" fillId="13" borderId="0" xfId="2" applyFont="1" applyFill="1" applyAlignment="1">
      <alignment horizontal="center" vertical="center"/>
    </xf>
    <xf numFmtId="0" fontId="19" fillId="0" borderId="0" xfId="1" applyFont="1"/>
    <xf numFmtId="0" fontId="2" fillId="0" borderId="0" xfId="1" applyFont="1"/>
    <xf numFmtId="0" fontId="4" fillId="0" borderId="0" xfId="1" applyFont="1"/>
    <xf numFmtId="0" fontId="21" fillId="9" borderId="165" xfId="1" applyFont="1" applyFill="1" applyBorder="1" applyAlignment="1">
      <alignment horizontal="center"/>
    </xf>
    <xf numFmtId="0" fontId="21" fillId="9" borderId="160" xfId="1" applyFont="1" applyFill="1" applyBorder="1" applyAlignment="1">
      <alignment horizontal="center"/>
    </xf>
    <xf numFmtId="0" fontId="21" fillId="9" borderId="133" xfId="1" applyFont="1" applyFill="1" applyBorder="1" applyAlignment="1">
      <alignment horizontal="center"/>
    </xf>
    <xf numFmtId="0" fontId="21" fillId="9" borderId="134" xfId="1" applyFont="1" applyFill="1" applyBorder="1" applyAlignment="1">
      <alignment horizontal="center"/>
    </xf>
    <xf numFmtId="0" fontId="21" fillId="9" borderId="130" xfId="1" applyFont="1" applyFill="1" applyBorder="1" applyAlignment="1">
      <alignment horizontal="center"/>
    </xf>
    <xf numFmtId="0" fontId="14" fillId="0" borderId="157" xfId="1" applyFont="1" applyBorder="1"/>
    <xf numFmtId="0" fontId="14" fillId="0" borderId="7" xfId="1" applyFont="1" applyBorder="1"/>
    <xf numFmtId="0" fontId="14" fillId="0" borderId="69" xfId="1" applyFont="1" applyBorder="1"/>
    <xf numFmtId="0" fontId="14" fillId="0" borderId="32" xfId="1" applyFont="1" applyBorder="1"/>
    <xf numFmtId="0" fontId="14" fillId="0" borderId="51" xfId="1" applyFont="1" applyBorder="1"/>
    <xf numFmtId="0" fontId="14" fillId="0" borderId="46" xfId="1" applyFont="1" applyBorder="1"/>
    <xf numFmtId="0" fontId="14" fillId="0" borderId="119" xfId="1" applyFont="1" applyBorder="1"/>
    <xf numFmtId="0" fontId="14" fillId="0" borderId="52" xfId="1" applyFont="1" applyBorder="1"/>
    <xf numFmtId="0" fontId="14" fillId="0" borderId="53" xfId="1" applyFont="1" applyBorder="1"/>
    <xf numFmtId="0" fontId="22" fillId="0" borderId="0" xfId="1" applyFont="1"/>
    <xf numFmtId="0" fontId="20" fillId="11" borderId="0" xfId="1" applyFont="1" applyFill="1"/>
    <xf numFmtId="0" fontId="20" fillId="12" borderId="0" xfId="1" applyFont="1" applyFill="1"/>
    <xf numFmtId="0" fontId="2" fillId="0" borderId="0" xfId="1" applyFont="1" applyAlignment="1">
      <alignment horizontal="center" vertical="center"/>
    </xf>
    <xf numFmtId="0" fontId="23" fillId="0" borderId="0" xfId="1" applyFont="1"/>
    <xf numFmtId="0" fontId="9" fillId="0" borderId="0" xfId="1" applyFont="1"/>
    <xf numFmtId="0" fontId="19" fillId="0" borderId="0" xfId="3" applyFont="1"/>
    <xf numFmtId="0" fontId="2" fillId="0" borderId="0" xfId="3" applyFont="1"/>
    <xf numFmtId="0" fontId="23" fillId="0" borderId="0" xfId="3" applyFont="1"/>
    <xf numFmtId="0" fontId="18" fillId="0" borderId="0" xfId="3" applyFont="1"/>
    <xf numFmtId="0" fontId="14" fillId="0" borderId="0" xfId="3" applyFont="1" applyAlignment="1">
      <alignment horizontal="center" vertical="center"/>
    </xf>
    <xf numFmtId="0" fontId="14" fillId="0" borderId="0" xfId="3" applyFont="1"/>
    <xf numFmtId="0" fontId="14" fillId="0" borderId="158" xfId="3" applyFont="1" applyBorder="1" applyAlignment="1">
      <alignment horizontal="center" vertical="center"/>
    </xf>
    <xf numFmtId="0" fontId="14" fillId="0" borderId="149" xfId="3" applyFont="1" applyBorder="1"/>
    <xf numFmtId="0" fontId="2" fillId="28" borderId="134" xfId="6" applyFont="1" applyFill="1" applyBorder="1" applyAlignment="1">
      <alignment vertical="top"/>
    </xf>
    <xf numFmtId="0" fontId="2" fillId="16" borderId="160" xfId="6" applyFont="1" applyFill="1" applyBorder="1" applyAlignment="1">
      <alignment vertical="top" wrapText="1"/>
    </xf>
    <xf numFmtId="0" fontId="2" fillId="16" borderId="134" xfId="6" applyFont="1" applyFill="1" applyBorder="1" applyAlignment="1">
      <alignment vertical="top"/>
    </xf>
    <xf numFmtId="0" fontId="2" fillId="0" borderId="149" xfId="6" applyFont="1" applyBorder="1" applyAlignment="1">
      <alignment vertical="top"/>
    </xf>
    <xf numFmtId="0" fontId="2" fillId="0" borderId="164" xfId="6" applyFont="1" applyBorder="1" applyAlignment="1">
      <alignment vertical="top"/>
    </xf>
    <xf numFmtId="0" fontId="2" fillId="0" borderId="30" xfId="6" applyFont="1" applyBorder="1" applyAlignment="1">
      <alignment vertical="top"/>
    </xf>
    <xf numFmtId="0" fontId="2" fillId="0" borderId="30" xfId="6" applyFont="1" applyBorder="1" applyAlignment="1">
      <alignment vertical="top" wrapText="1"/>
    </xf>
    <xf numFmtId="0" fontId="2" fillId="0" borderId="91" xfId="6" applyFont="1" applyBorder="1" applyAlignment="1">
      <alignment vertical="top"/>
    </xf>
    <xf numFmtId="0" fontId="2" fillId="0" borderId="95" xfId="6" applyFont="1" applyBorder="1" applyAlignment="1">
      <alignment vertical="top"/>
    </xf>
    <xf numFmtId="0" fontId="2" fillId="0" borderId="95" xfId="6" applyFont="1" applyBorder="1" applyAlignment="1">
      <alignment vertical="top" wrapText="1"/>
    </xf>
    <xf numFmtId="0" fontId="2" fillId="0" borderId="161" xfId="6" applyFont="1" applyBorder="1" applyAlignment="1">
      <alignment vertical="top"/>
    </xf>
    <xf numFmtId="0" fontId="2" fillId="0" borderId="103" xfId="6" applyFont="1" applyBorder="1" applyAlignment="1">
      <alignment vertical="top"/>
    </xf>
    <xf numFmtId="0" fontId="2" fillId="0" borderId="93" xfId="6" applyFont="1" applyBorder="1" applyAlignment="1">
      <alignment vertical="top" wrapText="1"/>
    </xf>
    <xf numFmtId="0" fontId="2" fillId="16" borderId="160" xfId="6" applyFont="1" applyFill="1" applyBorder="1" applyAlignment="1">
      <alignment vertical="top"/>
    </xf>
    <xf numFmtId="0" fontId="2" fillId="0" borderId="6" xfId="6" applyFont="1" applyBorder="1" applyAlignment="1">
      <alignment vertical="top" wrapText="1"/>
    </xf>
    <xf numFmtId="0" fontId="2" fillId="0" borderId="173" xfId="6" applyFont="1" applyBorder="1" applyAlignment="1">
      <alignment vertical="top" wrapText="1"/>
    </xf>
    <xf numFmtId="0" fontId="2" fillId="0" borderId="150" xfId="6" applyFont="1" applyBorder="1" applyAlignment="1">
      <alignment vertical="top" wrapText="1"/>
    </xf>
    <xf numFmtId="0" fontId="2" fillId="0" borderId="105" xfId="6" applyFont="1" applyBorder="1" applyAlignment="1">
      <alignment vertical="top"/>
    </xf>
    <xf numFmtId="0" fontId="2" fillId="0" borderId="174" xfId="5" applyFont="1" applyBorder="1" applyAlignment="1">
      <alignment vertical="top" wrapText="1"/>
    </xf>
    <xf numFmtId="0" fontId="2" fillId="0" borderId="175" xfId="5" applyFont="1" applyBorder="1" applyAlignment="1">
      <alignment vertical="top" wrapText="1"/>
    </xf>
    <xf numFmtId="0" fontId="2" fillId="0" borderId="176" xfId="5" applyFont="1" applyBorder="1" applyAlignment="1">
      <alignment vertical="top" wrapText="1"/>
    </xf>
    <xf numFmtId="0" fontId="3" fillId="29" borderId="0" xfId="2" applyFont="1" applyFill="1"/>
    <xf numFmtId="0" fontId="2" fillId="3" borderId="16" xfId="4" applyFont="1" applyFill="1" applyBorder="1"/>
    <xf numFmtId="0" fontId="2" fillId="3" borderId="30" xfId="4" applyFont="1" applyFill="1" applyBorder="1"/>
    <xf numFmtId="0" fontId="2" fillId="3" borderId="69" xfId="4" applyFont="1" applyFill="1" applyBorder="1"/>
    <xf numFmtId="0" fontId="2" fillId="3" borderId="32" xfId="4" applyFont="1" applyFill="1" applyBorder="1"/>
    <xf numFmtId="0" fontId="2" fillId="8" borderId="91" xfId="4" applyFont="1" applyFill="1" applyBorder="1"/>
    <xf numFmtId="0" fontId="2" fillId="29" borderId="93" xfId="4" applyFont="1" applyFill="1" applyBorder="1"/>
    <xf numFmtId="0" fontId="2" fillId="29" borderId="32" xfId="4" applyFont="1" applyFill="1" applyBorder="1"/>
    <xf numFmtId="0" fontId="2" fillId="8" borderId="32" xfId="4" applyFont="1" applyFill="1" applyBorder="1"/>
    <xf numFmtId="0" fontId="2" fillId="6" borderId="117" xfId="4" applyFont="1" applyFill="1" applyBorder="1"/>
    <xf numFmtId="0" fontId="2" fillId="6" borderId="93" xfId="4" applyFont="1" applyFill="1" applyBorder="1"/>
    <xf numFmtId="0" fontId="2" fillId="6" borderId="69" xfId="4" applyFont="1" applyFill="1" applyBorder="1"/>
    <xf numFmtId="0" fontId="2" fillId="6" borderId="32" xfId="4" applyFont="1" applyFill="1" applyBorder="1"/>
    <xf numFmtId="0" fontId="2" fillId="8" borderId="97" xfId="4" applyFont="1" applyFill="1" applyBorder="1"/>
    <xf numFmtId="0" fontId="2" fillId="0" borderId="177" xfId="5" applyFont="1" applyBorder="1" applyAlignment="1">
      <alignment vertical="top" wrapText="1"/>
    </xf>
    <xf numFmtId="0" fontId="2" fillId="0" borderId="178" xfId="5" applyFont="1" applyBorder="1" applyAlignment="1">
      <alignment vertical="top" wrapText="1"/>
    </xf>
    <xf numFmtId="0" fontId="2" fillId="0" borderId="180" xfId="5" applyFont="1" applyBorder="1" applyAlignment="1">
      <alignment vertical="top" wrapText="1"/>
    </xf>
    <xf numFmtId="0" fontId="2" fillId="0" borderId="179" xfId="5" applyFont="1" applyBorder="1" applyAlignment="1">
      <alignment vertical="top" wrapText="1"/>
    </xf>
    <xf numFmtId="176" fontId="2" fillId="7" borderId="93" xfId="4" applyNumberFormat="1" applyFont="1" applyFill="1" applyBorder="1" applyAlignment="1">
      <alignment horizontal="center"/>
    </xf>
    <xf numFmtId="0" fontId="2" fillId="7" borderId="154" xfId="4" applyFont="1" applyFill="1" applyBorder="1" applyAlignment="1">
      <alignment horizontal="center"/>
    </xf>
    <xf numFmtId="0" fontId="2" fillId="7" borderId="30" xfId="4" applyFont="1" applyFill="1" applyBorder="1"/>
    <xf numFmtId="0" fontId="2" fillId="7" borderId="32" xfId="4" applyFont="1" applyFill="1" applyBorder="1"/>
    <xf numFmtId="0" fontId="2" fillId="7" borderId="91" xfId="4" applyFont="1" applyFill="1" applyBorder="1"/>
    <xf numFmtId="0" fontId="2" fillId="7" borderId="93" xfId="4" applyFont="1" applyFill="1" applyBorder="1"/>
    <xf numFmtId="0" fontId="2" fillId="7" borderId="97" xfId="4" applyFont="1" applyFill="1" applyBorder="1"/>
    <xf numFmtId="0" fontId="2" fillId="28" borderId="133" xfId="6" applyFont="1" applyFill="1" applyBorder="1" applyAlignment="1">
      <alignment vertical="top"/>
    </xf>
    <xf numFmtId="0" fontId="2" fillId="0" borderId="0" xfId="6" applyFont="1"/>
    <xf numFmtId="0" fontId="2" fillId="0" borderId="6" xfId="6" applyFont="1" applyBorder="1" applyAlignment="1">
      <alignment vertical="top"/>
    </xf>
    <xf numFmtId="0" fontId="2" fillId="0" borderId="159" xfId="6" applyFont="1" applyBorder="1" applyAlignment="1">
      <alignment vertical="top"/>
    </xf>
    <xf numFmtId="0" fontId="2" fillId="0" borderId="16" xfId="6" applyFont="1" applyBorder="1" applyAlignment="1">
      <alignment vertical="top"/>
    </xf>
    <xf numFmtId="0" fontId="2" fillId="0" borderId="118" xfId="6" applyFont="1" applyBorder="1" applyAlignment="1">
      <alignment vertical="top"/>
    </xf>
    <xf numFmtId="0" fontId="2" fillId="0" borderId="97" xfId="6" applyFont="1" applyBorder="1" applyAlignment="1">
      <alignment vertical="top"/>
    </xf>
    <xf numFmtId="0" fontId="2" fillId="0" borderId="157" xfId="6" applyFont="1" applyBorder="1" applyAlignment="1">
      <alignment vertical="top"/>
    </xf>
    <xf numFmtId="0" fontId="2" fillId="0" borderId="76" xfId="6" applyFont="1" applyBorder="1" applyAlignment="1">
      <alignment vertical="top"/>
    </xf>
    <xf numFmtId="0" fontId="14" fillId="0" borderId="118" xfId="1" applyFont="1" applyBorder="1" applyAlignment="1">
      <alignment horizontal="right" vertical="center"/>
    </xf>
    <xf numFmtId="0" fontId="14" fillId="0" borderId="97" xfId="1" applyFont="1" applyBorder="1" applyAlignment="1">
      <alignment horizontal="right" vertical="center"/>
    </xf>
    <xf numFmtId="0" fontId="14" fillId="0" borderId="98" xfId="1" applyFont="1" applyBorder="1" applyAlignment="1">
      <alignment horizontal="right" vertical="center"/>
    </xf>
    <xf numFmtId="0" fontId="14" fillId="0" borderId="69" xfId="1" applyFont="1" applyBorder="1" applyAlignment="1">
      <alignment horizontal="right"/>
    </xf>
    <xf numFmtId="0" fontId="14" fillId="0" borderId="32" xfId="1" applyFont="1" applyBorder="1" applyAlignment="1">
      <alignment horizontal="right"/>
    </xf>
    <xf numFmtId="0" fontId="14" fillId="0" borderId="51" xfId="1" applyFont="1" applyBorder="1" applyAlignment="1">
      <alignment horizontal="right"/>
    </xf>
    <xf numFmtId="0" fontId="26" fillId="0" borderId="0" xfId="2" applyFont="1"/>
    <xf numFmtId="0" fontId="2" fillId="0" borderId="107" xfId="5" applyFont="1" applyBorder="1" applyAlignment="1">
      <alignment horizontal="center" vertical="top" wrapText="1"/>
    </xf>
    <xf numFmtId="0" fontId="2" fillId="0" borderId="99" xfId="5" applyFont="1" applyBorder="1" applyAlignment="1">
      <alignment horizontal="center" vertical="top" wrapText="1"/>
    </xf>
    <xf numFmtId="0" fontId="2" fillId="0" borderId="181" xfId="5" applyFont="1" applyBorder="1" applyAlignment="1">
      <alignment horizontal="center" vertical="top" wrapText="1"/>
    </xf>
    <xf numFmtId="0" fontId="1" fillId="0" borderId="28" xfId="7" applyFont="1" applyFill="1" applyBorder="1" applyAlignment="1">
      <alignment vertical="top"/>
    </xf>
    <xf numFmtId="0" fontId="2" fillId="0" borderId="122" xfId="4" applyFont="1" applyBorder="1"/>
    <xf numFmtId="0" fontId="2" fillId="0" borderId="6" xfId="4" applyFont="1" applyBorder="1"/>
    <xf numFmtId="0" fontId="2" fillId="0" borderId="7" xfId="4" applyFont="1" applyBorder="1"/>
    <xf numFmtId="0" fontId="2" fillId="0" borderId="156" xfId="4" applyFont="1" applyBorder="1"/>
    <xf numFmtId="0" fontId="2" fillId="14" borderId="7" xfId="4" applyFont="1" applyFill="1" applyBorder="1"/>
    <xf numFmtId="0" fontId="2" fillId="14" borderId="156" xfId="4" applyFont="1" applyFill="1" applyBorder="1"/>
    <xf numFmtId="0" fontId="2" fillId="14" borderId="150" xfId="4" applyFont="1" applyFill="1" applyBorder="1"/>
    <xf numFmtId="0" fontId="2" fillId="14" borderId="157" xfId="4" applyFont="1" applyFill="1" applyBorder="1"/>
    <xf numFmtId="0" fontId="6" fillId="0" borderId="13" xfId="5" applyFont="1" applyBorder="1" applyAlignment="1">
      <alignment vertical="top" wrapText="1"/>
    </xf>
    <xf numFmtId="0" fontId="6" fillId="0" borderId="101" xfId="5" applyFont="1" applyBorder="1" applyAlignment="1">
      <alignment vertical="top"/>
    </xf>
    <xf numFmtId="0" fontId="6" fillId="30" borderId="117" xfId="5" applyFont="1" applyFill="1" applyBorder="1" applyAlignment="1">
      <alignment vertical="top" wrapText="1"/>
    </xf>
    <xf numFmtId="0" fontId="6" fillId="30" borderId="93" xfId="5" applyFont="1" applyFill="1" applyBorder="1" applyAlignment="1">
      <alignment vertical="top"/>
    </xf>
    <xf numFmtId="0" fontId="6" fillId="30" borderId="92" xfId="5" applyFont="1" applyFill="1" applyBorder="1" applyAlignment="1">
      <alignment vertical="top"/>
    </xf>
    <xf numFmtId="0" fontId="6" fillId="0" borderId="10" xfId="5" applyFont="1" applyBorder="1" applyAlignment="1">
      <alignment vertical="top"/>
    </xf>
    <xf numFmtId="0" fontId="6" fillId="0" borderId="99" xfId="5" applyFont="1" applyBorder="1" applyAlignment="1">
      <alignment vertical="top"/>
    </xf>
    <xf numFmtId="0" fontId="6" fillId="30" borderId="69" xfId="5" applyFont="1" applyFill="1" applyBorder="1" applyAlignment="1">
      <alignment vertical="top" wrapText="1"/>
    </xf>
    <xf numFmtId="0" fontId="6" fillId="30" borderId="32" xfId="5" applyFont="1" applyFill="1" applyBorder="1" applyAlignment="1">
      <alignment vertical="top"/>
    </xf>
    <xf numFmtId="0" fontId="6" fillId="30" borderId="31" xfId="5" applyFont="1" applyFill="1" applyBorder="1" applyAlignment="1">
      <alignment vertical="top"/>
    </xf>
    <xf numFmtId="0" fontId="6" fillId="0" borderId="31" xfId="5" applyFont="1" applyBorder="1" applyAlignment="1">
      <alignment vertical="top"/>
    </xf>
    <xf numFmtId="0" fontId="6" fillId="0" borderId="91" xfId="5" applyFont="1" applyBorder="1" applyAlignment="1">
      <alignment vertical="top"/>
    </xf>
    <xf numFmtId="0" fontId="6" fillId="0" borderId="69" xfId="5" applyFont="1" applyBorder="1" applyAlignment="1">
      <alignment vertical="top" wrapText="1"/>
    </xf>
    <xf numFmtId="0" fontId="6" fillId="0" borderId="32" xfId="5" applyFont="1" applyBorder="1" applyAlignment="1">
      <alignment vertical="top"/>
    </xf>
    <xf numFmtId="0" fontId="6" fillId="0" borderId="31" xfId="5" applyFont="1" applyBorder="1" applyAlignment="1">
      <alignment vertical="top" wrapText="1"/>
    </xf>
    <xf numFmtId="0" fontId="6" fillId="0" borderId="100" xfId="5" applyFont="1" applyBorder="1" applyAlignment="1">
      <alignment vertical="top"/>
    </xf>
    <xf numFmtId="0" fontId="6" fillId="0" borderId="117" xfId="5" applyFont="1" applyBorder="1" applyAlignment="1">
      <alignment vertical="top" wrapText="1"/>
    </xf>
    <xf numFmtId="0" fontId="6" fillId="0" borderId="93" xfId="5" applyFont="1" applyBorder="1" applyAlignment="1">
      <alignment vertical="top"/>
    </xf>
    <xf numFmtId="0" fontId="6" fillId="0" borderId="92" xfId="5" applyFont="1" applyBorder="1" applyAlignment="1">
      <alignment vertical="top"/>
    </xf>
    <xf numFmtId="0" fontId="6" fillId="0" borderId="15" xfId="5" applyFont="1" applyBorder="1" applyAlignment="1">
      <alignment vertical="top"/>
    </xf>
    <xf numFmtId="0" fontId="6" fillId="0" borderId="116" xfId="5" applyFont="1" applyBorder="1" applyAlignment="1">
      <alignment vertical="top"/>
    </xf>
    <xf numFmtId="0" fontId="6" fillId="0" borderId="119" xfId="5" applyFont="1" applyBorder="1" applyAlignment="1">
      <alignment vertical="top" wrapText="1"/>
    </xf>
    <xf numFmtId="0" fontId="6" fillId="0" borderId="52" xfId="5" applyFont="1" applyBorder="1" applyAlignment="1">
      <alignment vertical="top"/>
    </xf>
    <xf numFmtId="0" fontId="6" fillId="0" borderId="45" xfId="5" applyFont="1" applyBorder="1" applyAlignment="1">
      <alignment vertical="top"/>
    </xf>
    <xf numFmtId="0" fontId="6" fillId="30" borderId="124" xfId="5" applyFont="1" applyFill="1" applyBorder="1" applyAlignment="1">
      <alignment vertical="top"/>
    </xf>
    <xf numFmtId="0" fontId="6" fillId="0" borderId="28" xfId="5" applyFont="1" applyBorder="1" applyAlignment="1">
      <alignment vertical="top"/>
    </xf>
    <xf numFmtId="0" fontId="6" fillId="0" borderId="124" xfId="5" applyFont="1" applyBorder="1" applyAlignment="1">
      <alignment vertical="top"/>
    </xf>
    <xf numFmtId="0" fontId="6" fillId="0" borderId="49" xfId="5" applyFont="1" applyBorder="1" applyAlignment="1">
      <alignment vertical="top"/>
    </xf>
    <xf numFmtId="0" fontId="27" fillId="0" borderId="99" xfId="5" applyFont="1" applyBorder="1" applyAlignment="1">
      <alignment vertical="top"/>
    </xf>
    <xf numFmtId="0" fontId="6" fillId="30" borderId="77" xfId="5" applyFont="1" applyFill="1" applyBorder="1" applyAlignment="1">
      <alignment vertical="top" wrapText="1"/>
    </xf>
    <xf numFmtId="0" fontId="6" fillId="30" borderId="91" xfId="5" applyFont="1" applyFill="1" applyBorder="1" applyAlignment="1">
      <alignment vertical="top"/>
    </xf>
    <xf numFmtId="0" fontId="6" fillId="30" borderId="90" xfId="5" applyFont="1" applyFill="1" applyBorder="1" applyAlignment="1">
      <alignment vertical="top"/>
    </xf>
    <xf numFmtId="0" fontId="6" fillId="30" borderId="80" xfId="5" applyFont="1" applyFill="1" applyBorder="1" applyAlignment="1">
      <alignment vertical="top"/>
    </xf>
    <xf numFmtId="0" fontId="2" fillId="0" borderId="0" xfId="4" applyFont="1" applyAlignment="1">
      <alignment horizontal="left"/>
    </xf>
    <xf numFmtId="0" fontId="12" fillId="0" borderId="0" xfId="4" applyFont="1"/>
    <xf numFmtId="0" fontId="2" fillId="0" borderId="182" xfId="4" applyFont="1" applyBorder="1"/>
    <xf numFmtId="0" fontId="6" fillId="0" borderId="163" xfId="4" applyFont="1" applyBorder="1"/>
    <xf numFmtId="0" fontId="6" fillId="0" borderId="94" xfId="4" applyFont="1" applyBorder="1"/>
    <xf numFmtId="0" fontId="26" fillId="0" borderId="36" xfId="4" applyFont="1" applyBorder="1"/>
    <xf numFmtId="0" fontId="6" fillId="0" borderId="25" xfId="4" applyFont="1" applyBorder="1"/>
    <xf numFmtId="0" fontId="6" fillId="0" borderId="0" xfId="4" applyFont="1"/>
    <xf numFmtId="176" fontId="6" fillId="0" borderId="93" xfId="4" applyNumberFormat="1" applyFont="1" applyBorder="1" applyAlignment="1">
      <alignment horizontal="center"/>
    </xf>
    <xf numFmtId="0" fontId="6" fillId="0" borderId="154" xfId="4" applyFont="1" applyBorder="1" applyAlignment="1">
      <alignment horizontal="center"/>
    </xf>
    <xf numFmtId="176" fontId="6" fillId="7" borderId="93" xfId="4" applyNumberFormat="1" applyFont="1" applyFill="1" applyBorder="1" applyAlignment="1">
      <alignment horizontal="center"/>
    </xf>
    <xf numFmtId="0" fontId="6" fillId="7" borderId="154" xfId="4" applyFont="1" applyFill="1" applyBorder="1" applyAlignment="1">
      <alignment horizontal="center"/>
    </xf>
    <xf numFmtId="176" fontId="28" fillId="0" borderId="93" xfId="4" applyNumberFormat="1" applyFont="1" applyBorder="1" applyAlignment="1">
      <alignment horizontal="center"/>
    </xf>
    <xf numFmtId="0" fontId="28" fillId="0" borderId="154" xfId="4" applyFont="1" applyBorder="1" applyAlignment="1">
      <alignment horizontal="center"/>
    </xf>
    <xf numFmtId="176" fontId="28" fillId="0" borderId="150" xfId="4" applyNumberFormat="1" applyFont="1" applyBorder="1" applyAlignment="1">
      <alignment horizontal="center"/>
    </xf>
    <xf numFmtId="0" fontId="28" fillId="0" borderId="155" xfId="4" applyFont="1" applyBorder="1" applyAlignment="1">
      <alignment horizontal="center"/>
    </xf>
    <xf numFmtId="0" fontId="2" fillId="7" borderId="69" xfId="4" applyFont="1" applyFill="1" applyBorder="1"/>
    <xf numFmtId="0" fontId="2" fillId="7" borderId="99" xfId="4" applyFont="1" applyFill="1" applyBorder="1"/>
    <xf numFmtId="0" fontId="2" fillId="3" borderId="102" xfId="4" applyFont="1" applyFill="1" applyBorder="1"/>
    <xf numFmtId="0" fontId="2" fillId="3" borderId="103" xfId="4" applyFont="1" applyFill="1" applyBorder="1"/>
    <xf numFmtId="0" fontId="6" fillId="3" borderId="163" xfId="4" applyFont="1" applyFill="1" applyBorder="1"/>
    <xf numFmtId="0" fontId="2" fillId="3" borderId="124" xfId="4" applyFont="1" applyFill="1" applyBorder="1"/>
    <xf numFmtId="0" fontId="2" fillId="3" borderId="117" xfId="4" applyFont="1" applyFill="1" applyBorder="1"/>
    <xf numFmtId="0" fontId="2" fillId="3" borderId="101" xfId="4" applyFont="1" applyFill="1" applyBorder="1"/>
    <xf numFmtId="0" fontId="2" fillId="3" borderId="93" xfId="4" applyFont="1" applyFill="1" applyBorder="1"/>
    <xf numFmtId="0" fontId="2" fillId="3" borderId="150" xfId="4" applyFont="1" applyFill="1" applyBorder="1"/>
    <xf numFmtId="0" fontId="2" fillId="3" borderId="106" xfId="4" applyFont="1" applyFill="1" applyBorder="1"/>
    <xf numFmtId="0" fontId="18" fillId="3" borderId="95" xfId="4" applyFont="1" applyFill="1" applyBorder="1"/>
    <xf numFmtId="0" fontId="6" fillId="3" borderId="94" xfId="4" applyFont="1" applyFill="1" applyBorder="1"/>
    <xf numFmtId="0" fontId="2" fillId="3" borderId="28" xfId="4" applyFont="1" applyFill="1" applyBorder="1"/>
    <xf numFmtId="0" fontId="2" fillId="3" borderId="99" xfId="4" applyFont="1" applyFill="1" applyBorder="1"/>
    <xf numFmtId="0" fontId="2" fillId="3" borderId="12" xfId="4" applyFont="1" applyFill="1" applyBorder="1"/>
    <xf numFmtId="0" fontId="2" fillId="3" borderId="7" xfId="4" applyFont="1" applyFill="1" applyBorder="1"/>
    <xf numFmtId="0" fontId="25" fillId="3" borderId="32" xfId="4" applyFont="1" applyFill="1" applyBorder="1"/>
    <xf numFmtId="0" fontId="2" fillId="3" borderId="95" xfId="4" applyFont="1" applyFill="1" applyBorder="1"/>
    <xf numFmtId="0" fontId="2" fillId="3" borderId="80" xfId="4" applyFont="1" applyFill="1" applyBorder="1"/>
    <xf numFmtId="0" fontId="2" fillId="3" borderId="77" xfId="4" applyFont="1" applyFill="1" applyBorder="1"/>
    <xf numFmtId="0" fontId="2" fillId="3" borderId="100" xfId="4" applyFont="1" applyFill="1" applyBorder="1"/>
    <xf numFmtId="0" fontId="2" fillId="3" borderId="91" xfId="4" applyFont="1" applyFill="1" applyBorder="1"/>
    <xf numFmtId="0" fontId="2" fillId="3" borderId="156" xfId="4" applyFont="1" applyFill="1" applyBorder="1"/>
    <xf numFmtId="0" fontId="2" fillId="3" borderId="143" xfId="4" applyFont="1" applyFill="1" applyBorder="1"/>
    <xf numFmtId="0" fontId="2" fillId="3" borderId="122" xfId="4" applyFont="1" applyFill="1" applyBorder="1"/>
    <xf numFmtId="0" fontId="2" fillId="3" borderId="105" xfId="4" applyFont="1" applyFill="1" applyBorder="1"/>
    <xf numFmtId="0" fontId="6" fillId="3" borderId="25" xfId="4" applyFont="1" applyFill="1" applyBorder="1"/>
    <xf numFmtId="0" fontId="2" fillId="3" borderId="75" xfId="4" applyFont="1" applyFill="1" applyBorder="1"/>
    <xf numFmtId="0" fontId="2" fillId="3" borderId="118" xfId="4" applyFont="1" applyFill="1" applyBorder="1"/>
    <xf numFmtId="0" fontId="2" fillId="3" borderId="115" xfId="4" applyFont="1" applyFill="1" applyBorder="1"/>
    <xf numFmtId="0" fontId="2" fillId="3" borderId="142" xfId="4" applyFont="1" applyFill="1" applyBorder="1"/>
    <xf numFmtId="0" fontId="2" fillId="3" borderId="97" xfId="4" applyFont="1" applyFill="1" applyBorder="1"/>
    <xf numFmtId="0" fontId="2" fillId="3" borderId="157" xfId="4" applyFont="1" applyFill="1" applyBorder="1"/>
    <xf numFmtId="0" fontId="2" fillId="17" borderId="103" xfId="4" applyFont="1" applyFill="1" applyBorder="1"/>
    <xf numFmtId="0" fontId="2" fillId="17" borderId="183" xfId="4" applyFont="1" applyFill="1" applyBorder="1"/>
    <xf numFmtId="0" fontId="6" fillId="30" borderId="90" xfId="5" applyFont="1" applyFill="1" applyBorder="1" applyAlignment="1">
      <alignment vertical="top" wrapText="1"/>
    </xf>
    <xf numFmtId="0" fontId="6" fillId="0" borderId="0" xfId="0" applyFont="1"/>
    <xf numFmtId="0" fontId="6" fillId="29" borderId="31" xfId="5" applyFont="1" applyFill="1" applyBorder="1" applyAlignment="1">
      <alignment vertical="top"/>
    </xf>
    <xf numFmtId="0" fontId="6" fillId="29" borderId="117" xfId="5" applyFont="1" applyFill="1" applyBorder="1" applyAlignment="1">
      <alignment vertical="top" wrapText="1"/>
    </xf>
    <xf numFmtId="0" fontId="6" fillId="29" borderId="93" xfId="5" applyFont="1" applyFill="1" applyBorder="1" applyAlignment="1">
      <alignment vertical="top"/>
    </xf>
    <xf numFmtId="0" fontId="6" fillId="29" borderId="92" xfId="5" applyFont="1" applyFill="1" applyBorder="1" applyAlignment="1">
      <alignment vertical="top"/>
    </xf>
    <xf numFmtId="0" fontId="6" fillId="29" borderId="124" xfId="5" applyFont="1" applyFill="1" applyBorder="1" applyAlignment="1">
      <alignment vertical="top"/>
    </xf>
    <xf numFmtId="0" fontId="6" fillId="29" borderId="90" xfId="5" applyFont="1" applyFill="1" applyBorder="1" applyAlignment="1">
      <alignment vertical="top"/>
    </xf>
    <xf numFmtId="0" fontId="2" fillId="3" borderId="141" xfId="4" applyFont="1" applyFill="1" applyBorder="1"/>
    <xf numFmtId="0" fontId="2" fillId="17" borderId="102" xfId="4" applyFont="1" applyFill="1" applyBorder="1"/>
    <xf numFmtId="0" fontId="2" fillId="17" borderId="100" xfId="4" applyFont="1" applyFill="1" applyBorder="1"/>
    <xf numFmtId="0" fontId="2" fillId="17" borderId="115" xfId="4" applyFont="1" applyFill="1" applyBorder="1"/>
    <xf numFmtId="0" fontId="12" fillId="17" borderId="107" xfId="4" applyFont="1" applyFill="1" applyBorder="1"/>
    <xf numFmtId="0" fontId="12" fillId="17" borderId="99" xfId="4" applyFont="1" applyFill="1" applyBorder="1"/>
    <xf numFmtId="0" fontId="2" fillId="3" borderId="92" xfId="4" applyFont="1" applyFill="1" applyBorder="1"/>
    <xf numFmtId="0" fontId="2" fillId="3" borderId="31" xfId="4" applyFont="1" applyFill="1" applyBorder="1"/>
    <xf numFmtId="0" fontId="2" fillId="3" borderId="90" xfId="4" applyFont="1" applyFill="1" applyBorder="1"/>
    <xf numFmtId="0" fontId="2" fillId="3" borderId="96" xfId="4" applyFont="1" applyFill="1" applyBorder="1"/>
    <xf numFmtId="176" fontId="6" fillId="0" borderId="92" xfId="4" applyNumberFormat="1" applyFont="1" applyBorder="1" applyAlignment="1">
      <alignment horizontal="center"/>
    </xf>
    <xf numFmtId="0" fontId="6" fillId="0" borderId="184" xfId="4" applyFont="1" applyBorder="1" applyAlignment="1">
      <alignment horizontal="center"/>
    </xf>
    <xf numFmtId="0" fontId="2" fillId="14" borderId="29" xfId="4" applyFont="1" applyFill="1" applyBorder="1"/>
    <xf numFmtId="0" fontId="2" fillId="14" borderId="31" xfId="4" applyFont="1" applyFill="1" applyBorder="1"/>
    <xf numFmtId="0" fontId="2" fillId="14" borderId="90" xfId="4" applyFont="1" applyFill="1" applyBorder="1"/>
    <xf numFmtId="0" fontId="2" fillId="0" borderId="90" xfId="4" applyFont="1" applyBorder="1"/>
    <xf numFmtId="0" fontId="2" fillId="0" borderId="29" xfId="4" applyFont="1" applyBorder="1"/>
    <xf numFmtId="0" fontId="2" fillId="0" borderId="31" xfId="4" applyFont="1" applyBorder="1"/>
    <xf numFmtId="0" fontId="2" fillId="14" borderId="92" xfId="4" applyFont="1" applyFill="1" applyBorder="1"/>
    <xf numFmtId="0" fontId="2" fillId="14" borderId="96" xfId="4" applyFont="1" applyFill="1" applyBorder="1"/>
    <xf numFmtId="176" fontId="6" fillId="7" borderId="117" xfId="4" applyNumberFormat="1" applyFont="1" applyFill="1" applyBorder="1" applyAlignment="1">
      <alignment horizontal="center"/>
    </xf>
    <xf numFmtId="0" fontId="6" fillId="7" borderId="153" xfId="4" applyFont="1" applyFill="1" applyBorder="1" applyAlignment="1">
      <alignment horizontal="center"/>
    </xf>
    <xf numFmtId="0" fontId="12" fillId="17" borderId="16" xfId="4" applyFont="1" applyFill="1" applyBorder="1"/>
    <xf numFmtId="0" fontId="12" fillId="17" borderId="69" xfId="4" applyFont="1" applyFill="1" applyBorder="1"/>
    <xf numFmtId="0" fontId="12" fillId="17" borderId="77" xfId="4" applyFont="1" applyFill="1" applyBorder="1"/>
    <xf numFmtId="0" fontId="2" fillId="17" borderId="161" xfId="4" applyFont="1" applyFill="1" applyBorder="1"/>
    <xf numFmtId="0" fontId="2" fillId="17" borderId="77" xfId="4" applyFont="1" applyFill="1" applyBorder="1"/>
    <xf numFmtId="0" fontId="2" fillId="17" borderId="118" xfId="4" applyFont="1" applyFill="1" applyBorder="1"/>
    <xf numFmtId="0" fontId="2" fillId="7" borderId="77" xfId="4" applyFont="1" applyFill="1" applyBorder="1"/>
    <xf numFmtId="0" fontId="2" fillId="7" borderId="117" xfId="4" applyFont="1" applyFill="1" applyBorder="1"/>
    <xf numFmtId="0" fontId="2" fillId="7" borderId="118" xfId="4" applyFont="1" applyFill="1" applyBorder="1"/>
    <xf numFmtId="176" fontId="6" fillId="7" borderId="101" xfId="4" applyNumberFormat="1" applyFont="1" applyFill="1" applyBorder="1" applyAlignment="1">
      <alignment horizontal="center"/>
    </xf>
    <xf numFmtId="0" fontId="6" fillId="7" borderId="185" xfId="4" applyFont="1" applyFill="1" applyBorder="1" applyAlignment="1">
      <alignment horizontal="center"/>
    </xf>
    <xf numFmtId="0" fontId="12" fillId="17" borderId="100" xfId="4" applyFont="1" applyFill="1" applyBorder="1"/>
    <xf numFmtId="0" fontId="2" fillId="7" borderId="100" xfId="4" applyFont="1" applyFill="1" applyBorder="1"/>
    <xf numFmtId="0" fontId="2" fillId="7" borderId="101" xfId="4" applyFont="1" applyFill="1" applyBorder="1"/>
    <xf numFmtId="0" fontId="2" fillId="7" borderId="115" xfId="4" applyFont="1" applyFill="1" applyBorder="1"/>
    <xf numFmtId="176" fontId="2" fillId="7" borderId="101" xfId="4" applyNumberFormat="1" applyFont="1" applyFill="1" applyBorder="1" applyAlignment="1">
      <alignment horizontal="center"/>
    </xf>
    <xf numFmtId="0" fontId="2" fillId="7" borderId="185" xfId="4" applyFont="1" applyFill="1" applyBorder="1" applyAlignment="1">
      <alignment horizontal="center"/>
    </xf>
    <xf numFmtId="0" fontId="2" fillId="17" borderId="101" xfId="4" applyFont="1" applyFill="1" applyBorder="1"/>
    <xf numFmtId="0" fontId="2" fillId="17" borderId="99" xfId="4" applyFont="1" applyFill="1" applyBorder="1"/>
    <xf numFmtId="0" fontId="29" fillId="14" borderId="30" xfId="4" applyFont="1" applyFill="1" applyBorder="1"/>
    <xf numFmtId="0" fontId="29" fillId="0" borderId="30" xfId="4" applyFont="1" applyBorder="1"/>
    <xf numFmtId="0" fontId="29" fillId="14" borderId="32" xfId="4" applyFont="1" applyFill="1" applyBorder="1"/>
    <xf numFmtId="0" fontId="29" fillId="0" borderId="32" xfId="4" applyFont="1" applyBorder="1"/>
    <xf numFmtId="0" fontId="29" fillId="14" borderId="91" xfId="4" applyFont="1" applyFill="1" applyBorder="1"/>
    <xf numFmtId="0" fontId="29" fillId="0" borderId="91" xfId="4" applyFont="1" applyBorder="1"/>
    <xf numFmtId="0" fontId="29" fillId="3" borderId="93" xfId="4" applyFont="1" applyFill="1" applyBorder="1"/>
    <xf numFmtId="0" fontId="29" fillId="3" borderId="32" xfId="4" applyFont="1" applyFill="1" applyBorder="1"/>
    <xf numFmtId="0" fontId="29" fillId="3" borderId="91" xfId="4" applyFont="1" applyFill="1" applyBorder="1"/>
    <xf numFmtId="0" fontId="29" fillId="3" borderId="97" xfId="4" applyFont="1" applyFill="1" applyBorder="1"/>
    <xf numFmtId="0" fontId="29" fillId="8" borderId="32" xfId="4" applyFont="1" applyFill="1" applyBorder="1"/>
    <xf numFmtId="0" fontId="29" fillId="14" borderId="93" xfId="4" applyFont="1" applyFill="1" applyBorder="1"/>
    <xf numFmtId="0" fontId="29" fillId="14" borderId="97" xfId="4" applyFont="1" applyFill="1" applyBorder="1"/>
    <xf numFmtId="0" fontId="29" fillId="14" borderId="69" xfId="4" applyFont="1" applyFill="1" applyBorder="1"/>
    <xf numFmtId="0" fontId="29" fillId="14" borderId="77" xfId="4" applyFont="1" applyFill="1" applyBorder="1"/>
    <xf numFmtId="0" fontId="29" fillId="0" borderId="77" xfId="4" applyFont="1" applyBorder="1"/>
    <xf numFmtId="0" fontId="29" fillId="3" borderId="117" xfId="4" applyFont="1" applyFill="1" applyBorder="1"/>
    <xf numFmtId="0" fontId="29" fillId="3" borderId="69" xfId="4" applyFont="1" applyFill="1" applyBorder="1"/>
    <xf numFmtId="0" fontId="29" fillId="3" borderId="77" xfId="4" applyFont="1" applyFill="1" applyBorder="1"/>
    <xf numFmtId="0" fontId="29" fillId="3" borderId="118" xfId="4" applyFont="1" applyFill="1" applyBorder="1"/>
    <xf numFmtId="0" fontId="29" fillId="0" borderId="16" xfId="4" applyFont="1" applyBorder="1"/>
    <xf numFmtId="0" fontId="29" fillId="0" borderId="69" xfId="4" applyFont="1" applyBorder="1"/>
    <xf numFmtId="0" fontId="29" fillId="8" borderId="69" xfId="4" applyFont="1" applyFill="1" applyBorder="1"/>
    <xf numFmtId="0" fontId="29" fillId="14" borderId="117" xfId="4" applyFont="1" applyFill="1" applyBorder="1"/>
    <xf numFmtId="0" fontId="29" fillId="14" borderId="118" xfId="4" applyFont="1" applyFill="1" applyBorder="1"/>
    <xf numFmtId="176" fontId="6" fillId="0" borderId="117" xfId="4" applyNumberFormat="1" applyFont="1" applyBorder="1" applyAlignment="1">
      <alignment horizontal="center"/>
    </xf>
    <xf numFmtId="0" fontId="6" fillId="0" borderId="153" xfId="4" applyFont="1" applyBorder="1" applyAlignment="1">
      <alignment horizontal="center"/>
    </xf>
    <xf numFmtId="0" fontId="2" fillId="14" borderId="77" xfId="4" applyFont="1" applyFill="1" applyBorder="1"/>
    <xf numFmtId="0" fontId="2" fillId="17" borderId="107" xfId="4" applyFont="1" applyFill="1" applyBorder="1"/>
    <xf numFmtId="0" fontId="0" fillId="0" borderId="0" xfId="0" applyAlignment="1">
      <alignment vertical="center"/>
    </xf>
    <xf numFmtId="0" fontId="30" fillId="5" borderId="125" xfId="0" applyFont="1" applyFill="1" applyBorder="1" applyAlignment="1">
      <alignment horizontal="center" vertical="center"/>
    </xf>
    <xf numFmtId="0" fontId="0" fillId="0" borderId="186" xfId="0" applyBorder="1" applyAlignment="1">
      <alignment vertical="center"/>
    </xf>
    <xf numFmtId="0" fontId="0" fillId="0" borderId="186" xfId="0" applyBorder="1" applyAlignment="1">
      <alignment horizontal="center" vertical="center"/>
    </xf>
    <xf numFmtId="0" fontId="0" fillId="0" borderId="73" xfId="0" applyBorder="1" applyAlignment="1">
      <alignment vertical="center"/>
    </xf>
    <xf numFmtId="0" fontId="0" fillId="0" borderId="73" xfId="0"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xf>
    <xf numFmtId="0" fontId="2" fillId="0" borderId="15" xfId="5" applyFont="1" applyBorder="1"/>
    <xf numFmtId="0" fontId="2" fillId="0" borderId="112" xfId="5" applyFont="1" applyBorder="1"/>
    <xf numFmtId="0" fontId="13" fillId="0" borderId="99" xfId="5" applyFont="1" applyBorder="1" applyAlignment="1">
      <alignment horizontal="left" vertical="top" wrapText="1"/>
    </xf>
    <xf numFmtId="0" fontId="14" fillId="29" borderId="6" xfId="1" applyFont="1" applyFill="1" applyBorder="1"/>
    <xf numFmtId="0" fontId="14" fillId="29" borderId="16" xfId="1" applyFont="1" applyFill="1" applyBorder="1"/>
    <xf numFmtId="0" fontId="14" fillId="29" borderId="30" xfId="1" applyFont="1" applyFill="1" applyBorder="1"/>
    <xf numFmtId="0" fontId="14" fillId="29" borderId="50" xfId="1" applyFont="1" applyFill="1" applyBorder="1"/>
    <xf numFmtId="0" fontId="14" fillId="29" borderId="7" xfId="1" applyFont="1" applyFill="1" applyBorder="1"/>
    <xf numFmtId="0" fontId="14" fillId="29" borderId="69" xfId="1" applyFont="1" applyFill="1" applyBorder="1"/>
    <xf numFmtId="0" fontId="14" fillId="29" borderId="32" xfId="1" applyFont="1" applyFill="1" applyBorder="1"/>
    <xf numFmtId="0" fontId="14" fillId="31" borderId="150" xfId="1" applyFont="1" applyFill="1" applyBorder="1"/>
    <xf numFmtId="0" fontId="14" fillId="31" borderId="117" xfId="1" applyFont="1" applyFill="1" applyBorder="1"/>
    <xf numFmtId="0" fontId="14" fillId="31" borderId="93" xfId="1" applyFont="1" applyFill="1" applyBorder="1" applyAlignment="1">
      <alignment horizontal="right"/>
    </xf>
    <xf numFmtId="0" fontId="14" fillId="31" borderId="168" xfId="1" applyFont="1" applyFill="1" applyBorder="1" applyAlignment="1">
      <alignment horizontal="right"/>
    </xf>
    <xf numFmtId="0" fontId="14" fillId="31" borderId="7" xfId="1" applyFont="1" applyFill="1" applyBorder="1"/>
    <xf numFmtId="0" fontId="14" fillId="31" borderId="69" xfId="1" applyFont="1" applyFill="1" applyBorder="1"/>
    <xf numFmtId="0" fontId="14" fillId="31" borderId="32" xfId="1" applyFont="1" applyFill="1" applyBorder="1" applyAlignment="1">
      <alignment horizontal="right"/>
    </xf>
    <xf numFmtId="0" fontId="14" fillId="31" borderId="51" xfId="1" applyFont="1" applyFill="1" applyBorder="1" applyAlignment="1">
      <alignment horizontal="right"/>
    </xf>
    <xf numFmtId="0" fontId="21" fillId="9" borderId="139" xfId="1" applyFont="1" applyFill="1" applyBorder="1" applyAlignment="1">
      <alignment horizontal="center"/>
    </xf>
    <xf numFmtId="0" fontId="14" fillId="29" borderId="107" xfId="1" applyFont="1" applyFill="1" applyBorder="1"/>
    <xf numFmtId="0" fontId="14" fillId="29" borderId="99" xfId="1" applyFont="1" applyFill="1" applyBorder="1"/>
    <xf numFmtId="0" fontId="14" fillId="0" borderId="115" xfId="1" applyFont="1" applyBorder="1" applyAlignment="1">
      <alignment horizontal="right" vertical="center"/>
    </xf>
    <xf numFmtId="0" fontId="14" fillId="31" borderId="101" xfId="1" applyFont="1" applyFill="1" applyBorder="1" applyAlignment="1">
      <alignment horizontal="right"/>
    </xf>
    <xf numFmtId="0" fontId="14" fillId="31" borderId="99" xfId="1" applyFont="1" applyFill="1" applyBorder="1" applyAlignment="1">
      <alignment horizontal="right"/>
    </xf>
    <xf numFmtId="0" fontId="14" fillId="0" borderId="99" xfId="1" applyFont="1" applyBorder="1" applyAlignment="1">
      <alignment horizontal="right"/>
    </xf>
    <xf numFmtId="0" fontId="14" fillId="0" borderId="99" xfId="1" applyFont="1" applyBorder="1"/>
    <xf numFmtId="0" fontId="14" fillId="0" borderId="116" xfId="1" applyFont="1" applyBorder="1"/>
    <xf numFmtId="0" fontId="14" fillId="29" borderId="51" xfId="1" applyFont="1" applyFill="1" applyBorder="1" applyAlignment="1">
      <alignment horizontal="right"/>
    </xf>
    <xf numFmtId="0" fontId="20" fillId="3" borderId="0" xfId="1" applyFont="1" applyFill="1"/>
    <xf numFmtId="0" fontId="13" fillId="0" borderId="99" xfId="5" applyFont="1" applyBorder="1" applyAlignment="1">
      <alignment horizontal="left" vertical="top"/>
    </xf>
    <xf numFmtId="0" fontId="2" fillId="32" borderId="30" xfId="4" applyFont="1" applyFill="1" applyBorder="1"/>
    <xf numFmtId="0" fontId="2" fillId="32" borderId="32" xfId="4" applyFont="1" applyFill="1" applyBorder="1"/>
    <xf numFmtId="0" fontId="2" fillId="32" borderId="91" xfId="4" applyFont="1" applyFill="1" applyBorder="1"/>
    <xf numFmtId="176" fontId="6" fillId="2" borderId="93" xfId="4" applyNumberFormat="1" applyFont="1" applyFill="1" applyBorder="1" applyAlignment="1">
      <alignment horizontal="center"/>
    </xf>
    <xf numFmtId="0" fontId="6" fillId="2" borderId="154" xfId="4" applyFont="1" applyFill="1" applyBorder="1" applyAlignment="1">
      <alignment horizontal="center"/>
    </xf>
    <xf numFmtId="0" fontId="2" fillId="2" borderId="30" xfId="4" applyFont="1" applyFill="1" applyBorder="1"/>
    <xf numFmtId="0" fontId="2" fillId="2" borderId="32" xfId="4" applyFont="1" applyFill="1" applyBorder="1"/>
    <xf numFmtId="0" fontId="2" fillId="2" borderId="91" xfId="4" applyFont="1" applyFill="1" applyBorder="1"/>
    <xf numFmtId="0" fontId="2" fillId="2" borderId="93" xfId="4" applyFont="1" applyFill="1" applyBorder="1"/>
    <xf numFmtId="0" fontId="2" fillId="2" borderId="97" xfId="4" applyFont="1" applyFill="1" applyBorder="1"/>
    <xf numFmtId="0" fontId="13" fillId="32" borderId="92" xfId="5" applyFont="1" applyFill="1" applyBorder="1" applyAlignment="1">
      <alignment vertical="top" wrapText="1"/>
    </xf>
    <xf numFmtId="0" fontId="13" fillId="32" borderId="93" xfId="5" applyFont="1" applyFill="1" applyBorder="1" applyAlignment="1">
      <alignment vertical="top" wrapText="1"/>
    </xf>
    <xf numFmtId="0" fontId="13" fillId="32" borderId="101" xfId="5" applyFont="1" applyFill="1" applyBorder="1" applyAlignment="1">
      <alignment vertical="top" wrapText="1"/>
    </xf>
    <xf numFmtId="0" fontId="13" fillId="32" borderId="16" xfId="5" applyFont="1" applyFill="1" applyBorder="1" applyAlignment="1">
      <alignment horizontal="center" vertical="center"/>
    </xf>
    <xf numFmtId="0" fontId="13" fillId="32" borderId="31" xfId="5" applyFont="1" applyFill="1" applyBorder="1" applyAlignment="1">
      <alignment vertical="top" wrapText="1"/>
    </xf>
    <xf numFmtId="0" fontId="13" fillId="32" borderId="99" xfId="5" applyFont="1" applyFill="1" applyBorder="1" applyAlignment="1">
      <alignment vertical="top" wrapText="1"/>
    </xf>
    <xf numFmtId="0" fontId="2" fillId="0" borderId="173" xfId="4" applyFont="1" applyBorder="1"/>
    <xf numFmtId="0" fontId="2" fillId="31" borderId="80" xfId="4" applyFont="1" applyFill="1" applyBorder="1"/>
    <xf numFmtId="0" fontId="2" fillId="31" borderId="99" xfId="5" applyFont="1" applyFill="1" applyBorder="1" applyAlignment="1">
      <alignment vertical="top"/>
    </xf>
    <xf numFmtId="0" fontId="2" fillId="31" borderId="69" xfId="5" applyFont="1" applyFill="1" applyBorder="1" applyAlignment="1">
      <alignment vertical="top" wrapText="1"/>
    </xf>
    <xf numFmtId="0" fontId="2" fillId="31" borderId="31" xfId="5" applyFont="1" applyFill="1" applyBorder="1" applyAlignment="1">
      <alignment vertical="top"/>
    </xf>
    <xf numFmtId="0" fontId="2" fillId="31" borderId="28" xfId="5" applyFont="1" applyFill="1" applyBorder="1" applyAlignment="1">
      <alignment vertical="top"/>
    </xf>
    <xf numFmtId="0" fontId="2" fillId="0" borderId="183" xfId="4" applyFont="1" applyBorder="1"/>
    <xf numFmtId="0" fontId="4" fillId="0" borderId="37" xfId="4" applyFont="1" applyBorder="1"/>
    <xf numFmtId="0" fontId="2" fillId="0" borderId="150" xfId="4" applyFont="1" applyBorder="1"/>
    <xf numFmtId="0" fontId="2" fillId="0" borderId="157" xfId="4" applyFont="1" applyBorder="1"/>
    <xf numFmtId="0" fontId="2" fillId="0" borderId="188" xfId="4" applyFont="1" applyBorder="1"/>
    <xf numFmtId="0" fontId="2" fillId="0" borderId="148" xfId="4" applyFont="1" applyBorder="1" applyAlignment="1">
      <alignment horizontal="left"/>
    </xf>
    <xf numFmtId="0" fontId="4" fillId="0" borderId="38" xfId="4" applyFont="1" applyBorder="1" applyAlignment="1">
      <alignment horizontal="left"/>
    </xf>
    <xf numFmtId="0" fontId="1" fillId="0" borderId="27" xfId="7" applyFont="1" applyBorder="1" applyAlignment="1">
      <alignment horizontal="left"/>
    </xf>
    <xf numFmtId="0" fontId="1" fillId="0" borderId="28" xfId="7" applyFont="1" applyBorder="1" applyAlignment="1">
      <alignment horizontal="left"/>
    </xf>
    <xf numFmtId="0" fontId="2" fillId="0" borderId="28" xfId="4" applyFont="1" applyBorder="1" applyAlignment="1">
      <alignment horizontal="left"/>
    </xf>
    <xf numFmtId="0" fontId="1" fillId="0" borderId="80" xfId="7" applyFont="1" applyBorder="1" applyAlignment="1">
      <alignment horizontal="left"/>
    </xf>
    <xf numFmtId="0" fontId="1" fillId="3" borderId="124" xfId="7" applyFont="1" applyFill="1" applyBorder="1" applyAlignment="1">
      <alignment horizontal="left"/>
    </xf>
    <xf numFmtId="0" fontId="1" fillId="3" borderId="28" xfId="7" applyFont="1" applyFill="1" applyBorder="1" applyAlignment="1">
      <alignment horizontal="left"/>
    </xf>
    <xf numFmtId="0" fontId="2" fillId="3" borderId="28" xfId="4" applyFont="1" applyFill="1" applyBorder="1" applyAlignment="1">
      <alignment horizontal="left"/>
    </xf>
    <xf numFmtId="0" fontId="2" fillId="3" borderId="75" xfId="4" applyFont="1" applyFill="1" applyBorder="1" applyAlignment="1">
      <alignment horizontal="left"/>
    </xf>
    <xf numFmtId="0" fontId="1" fillId="0" borderId="27" xfId="7" applyFont="1" applyBorder="1"/>
    <xf numFmtId="0" fontId="1" fillId="0" borderId="28" xfId="7" applyFont="1" applyBorder="1"/>
    <xf numFmtId="0" fontId="2" fillId="0" borderId="80" xfId="4" applyFont="1" applyBorder="1" applyAlignment="1">
      <alignment horizontal="left"/>
    </xf>
    <xf numFmtId="0" fontId="1" fillId="0" borderId="124" xfId="7" applyFont="1" applyBorder="1" applyAlignment="1">
      <alignment horizontal="left"/>
    </xf>
    <xf numFmtId="0" fontId="1" fillId="0" borderId="75" xfId="7" applyFont="1" applyBorder="1" applyAlignment="1">
      <alignment horizontal="left"/>
    </xf>
    <xf numFmtId="0" fontId="1" fillId="0" borderId="80" xfId="7" applyFont="1" applyBorder="1"/>
    <xf numFmtId="0" fontId="29" fillId="8" borderId="77" xfId="4" applyFont="1" applyFill="1" applyBorder="1"/>
    <xf numFmtId="0" fontId="29" fillId="8" borderId="91" xfId="4" applyFont="1" applyFill="1" applyBorder="1"/>
    <xf numFmtId="0" fontId="2" fillId="29" borderId="91" xfId="4" applyFont="1" applyFill="1" applyBorder="1"/>
    <xf numFmtId="0" fontId="2" fillId="29" borderId="90" xfId="4" applyFont="1" applyFill="1" applyBorder="1"/>
    <xf numFmtId="0" fontId="29" fillId="33" borderId="77" xfId="4" applyFont="1" applyFill="1" applyBorder="1"/>
    <xf numFmtId="0" fontId="29" fillId="33" borderId="91" xfId="4" applyFont="1" applyFill="1" applyBorder="1"/>
    <xf numFmtId="0" fontId="2" fillId="33" borderId="91" xfId="4" applyFont="1" applyFill="1" applyBorder="1"/>
    <xf numFmtId="0" fontId="6" fillId="5" borderId="94" xfId="4" applyFont="1" applyFill="1" applyBorder="1"/>
    <xf numFmtId="0" fontId="2" fillId="5" borderId="80" xfId="4" applyFont="1" applyFill="1" applyBorder="1"/>
    <xf numFmtId="0" fontId="2" fillId="5" borderId="100" xfId="4" applyFont="1" applyFill="1" applyBorder="1"/>
    <xf numFmtId="0" fontId="2" fillId="5" borderId="77" xfId="4" applyFont="1" applyFill="1" applyBorder="1"/>
    <xf numFmtId="0" fontId="2" fillId="5" borderId="7" xfId="4" applyFont="1" applyFill="1" applyBorder="1"/>
    <xf numFmtId="0" fontId="1" fillId="5" borderId="28" xfId="7" applyFont="1" applyFill="1" applyBorder="1"/>
    <xf numFmtId="0" fontId="13" fillId="0" borderId="50" xfId="5" applyFont="1" applyBorder="1" applyAlignment="1">
      <alignment vertical="center"/>
    </xf>
    <xf numFmtId="0" fontId="1" fillId="0" borderId="28" xfId="7" applyFont="1" applyFill="1" applyBorder="1" applyAlignment="1">
      <alignment vertical="top" wrapText="1"/>
    </xf>
    <xf numFmtId="0" fontId="34" fillId="0" borderId="124" xfId="7" applyFont="1" applyFill="1" applyBorder="1" applyAlignment="1">
      <alignment vertical="top" wrapText="1"/>
    </xf>
    <xf numFmtId="0" fontId="37" fillId="0" borderId="0" xfId="0" applyFont="1"/>
    <xf numFmtId="0" fontId="38" fillId="0" borderId="0" xfId="0" applyFont="1"/>
    <xf numFmtId="0" fontId="39" fillId="35" borderId="147" xfId="0" applyFont="1" applyFill="1" applyBorder="1" applyAlignment="1">
      <alignment vertical="center"/>
    </xf>
    <xf numFmtId="0" fontId="39" fillId="35" borderId="148" xfId="0" applyFont="1" applyFill="1" applyBorder="1" applyAlignment="1">
      <alignment vertical="center" wrapText="1"/>
    </xf>
    <xf numFmtId="0" fontId="39" fillId="35" borderId="189" xfId="0" applyFont="1" applyFill="1" applyBorder="1" applyAlignment="1">
      <alignment vertical="center" wrapText="1"/>
    </xf>
    <xf numFmtId="0" fontId="39" fillId="35" borderId="190" xfId="0" applyFont="1" applyFill="1" applyBorder="1" applyAlignment="1">
      <alignment vertical="top" wrapText="1"/>
    </xf>
    <xf numFmtId="0" fontId="40" fillId="35" borderId="127" xfId="0" applyFont="1" applyFill="1" applyBorder="1" applyAlignment="1">
      <alignment horizontal="left" vertical="center" wrapText="1"/>
    </xf>
    <xf numFmtId="0" fontId="39" fillId="35" borderId="192" xfId="0" applyFont="1" applyFill="1" applyBorder="1" applyAlignment="1">
      <alignment vertical="top" wrapText="1"/>
    </xf>
    <xf numFmtId="0" fontId="40" fillId="29" borderId="196"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2"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38" fillId="29" borderId="192" xfId="0" applyFont="1" applyFill="1" applyBorder="1" applyAlignment="1">
      <alignment vertical="top" wrapText="1"/>
    </xf>
    <xf numFmtId="0" fontId="38" fillId="29" borderId="203" xfId="0" applyFont="1" applyFill="1" applyBorder="1" applyAlignment="1">
      <alignment vertical="top" wrapText="1"/>
    </xf>
    <xf numFmtId="0" fontId="40" fillId="29" borderId="190" xfId="0" applyFont="1" applyFill="1" applyBorder="1" applyAlignment="1">
      <alignment horizontal="left" vertical="center" wrapText="1"/>
    </xf>
    <xf numFmtId="0" fontId="42" fillId="29" borderId="192" xfId="0" applyFont="1" applyFill="1" applyBorder="1" applyAlignment="1">
      <alignment vertical="top" wrapText="1"/>
    </xf>
    <xf numFmtId="0" fontId="42" fillId="29" borderId="203" xfId="0" applyFont="1" applyFill="1" applyBorder="1" applyAlignment="1">
      <alignment vertical="top" wrapText="1"/>
    </xf>
    <xf numFmtId="0" fontId="46" fillId="42" borderId="207" xfId="0" applyFont="1" applyFill="1" applyBorder="1" applyAlignment="1">
      <alignment horizontal="center" vertical="center" wrapText="1"/>
    </xf>
    <xf numFmtId="0" fontId="46" fillId="42" borderId="208" xfId="0" applyFont="1" applyFill="1" applyBorder="1" applyAlignment="1">
      <alignment horizontal="center" vertical="center" wrapText="1"/>
    </xf>
    <xf numFmtId="0" fontId="46" fillId="42" borderId="209" xfId="0" applyFont="1" applyFill="1" applyBorder="1" applyAlignment="1">
      <alignment horizontal="center" vertical="center" wrapText="1"/>
    </xf>
    <xf numFmtId="0" fontId="47" fillId="43" borderId="210" xfId="0" applyFont="1" applyFill="1" applyBorder="1" applyAlignment="1">
      <alignment vertical="top" wrapText="1"/>
    </xf>
    <xf numFmtId="0" fontId="47" fillId="43" borderId="211" xfId="0" applyFont="1" applyFill="1" applyBorder="1" applyAlignment="1">
      <alignment vertical="top" wrapText="1"/>
    </xf>
    <xf numFmtId="0" fontId="47" fillId="0" borderId="211" xfId="0" applyFont="1" applyBorder="1" applyAlignment="1">
      <alignment vertical="top" wrapText="1"/>
    </xf>
    <xf numFmtId="0" fontId="47" fillId="0" borderId="211" xfId="0" applyFont="1" applyBorder="1" applyAlignment="1">
      <alignment horizontal="center" vertical="top" wrapText="1"/>
    </xf>
    <xf numFmtId="0" fontId="47" fillId="0" borderId="212" xfId="0" applyFont="1" applyBorder="1" applyAlignment="1">
      <alignment vertical="top" wrapText="1"/>
    </xf>
    <xf numFmtId="0" fontId="47" fillId="43" borderId="213" xfId="0" applyFont="1" applyFill="1" applyBorder="1" applyAlignment="1">
      <alignment vertical="top" wrapText="1"/>
    </xf>
    <xf numFmtId="0" fontId="47" fillId="43" borderId="0" xfId="0" applyFont="1" applyFill="1" applyAlignment="1">
      <alignment vertical="top" wrapText="1"/>
    </xf>
    <xf numFmtId="0" fontId="47" fillId="0" borderId="0" xfId="0" applyFont="1" applyAlignment="1">
      <alignment vertical="top" wrapText="1"/>
    </xf>
    <xf numFmtId="0" fontId="48" fillId="0" borderId="0" xfId="0" applyFont="1" applyAlignment="1">
      <alignment vertical="top" wrapText="1"/>
    </xf>
    <xf numFmtId="0" fontId="47" fillId="0" borderId="0" xfId="0" applyFont="1" applyAlignment="1">
      <alignment horizontal="center" vertical="top" wrapText="1"/>
    </xf>
    <xf numFmtId="0" fontId="47" fillId="0" borderId="214" xfId="0" applyFont="1" applyBorder="1" applyAlignment="1">
      <alignment vertical="top" wrapText="1"/>
    </xf>
    <xf numFmtId="0" fontId="47" fillId="43" borderId="215" xfId="0" applyFont="1" applyFill="1" applyBorder="1" applyAlignment="1">
      <alignment vertical="top" wrapText="1"/>
    </xf>
    <xf numFmtId="0" fontId="47" fillId="43" borderId="216" xfId="0" applyFont="1" applyFill="1" applyBorder="1" applyAlignment="1">
      <alignment vertical="top" wrapText="1"/>
    </xf>
    <xf numFmtId="0" fontId="47" fillId="0" borderId="216" xfId="0" applyFont="1" applyBorder="1" applyAlignment="1">
      <alignment vertical="top" wrapText="1"/>
    </xf>
    <xf numFmtId="0" fontId="47" fillId="0" borderId="216" xfId="0" applyFont="1" applyBorder="1" applyAlignment="1">
      <alignment horizontal="center" vertical="top" wrapText="1"/>
    </xf>
    <xf numFmtId="0" fontId="47" fillId="0" borderId="217" xfId="0" applyFont="1" applyBorder="1" applyAlignment="1">
      <alignment vertical="top" wrapText="1"/>
    </xf>
    <xf numFmtId="0" fontId="53" fillId="0" borderId="0" xfId="0" applyFont="1" applyAlignment="1">
      <alignment vertical="center" wrapText="1"/>
    </xf>
    <xf numFmtId="0" fontId="53" fillId="0" borderId="218" xfId="0" applyFont="1" applyBorder="1" applyAlignment="1">
      <alignment vertical="center" wrapText="1"/>
    </xf>
    <xf numFmtId="0" fontId="53" fillId="0" borderId="219" xfId="0" applyFont="1" applyBorder="1" applyAlignment="1">
      <alignment vertical="center" wrapText="1"/>
    </xf>
    <xf numFmtId="0" fontId="53" fillId="47" borderId="220" xfId="0" applyFont="1" applyFill="1" applyBorder="1" applyAlignment="1">
      <alignment vertical="center" wrapText="1"/>
    </xf>
    <xf numFmtId="0" fontId="53" fillId="0" borderId="224" xfId="0" applyFont="1" applyBorder="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5" borderId="224" xfId="0" applyFont="1" applyFill="1" applyBorder="1" applyAlignment="1">
      <alignment vertical="center" wrapText="1"/>
    </xf>
    <xf numFmtId="0" fontId="53" fillId="0" borderId="225" xfId="0" applyFont="1" applyBorder="1" applyAlignment="1">
      <alignment vertical="center" wrapText="1"/>
    </xf>
    <xf numFmtId="0" fontId="1" fillId="0" borderId="0" xfId="7" applyFont="1" applyFill="1" applyAlignment="1">
      <alignment vertical="top" wrapText="1"/>
    </xf>
    <xf numFmtId="0" fontId="55" fillId="0" borderId="0" xfId="0" applyFont="1" applyAlignment="1">
      <alignment vertical="top" wrapText="1"/>
    </xf>
    <xf numFmtId="0" fontId="56" fillId="0" borderId="0" xfId="7" applyAlignment="1">
      <alignment vertical="top" wrapText="1"/>
    </xf>
    <xf numFmtId="0" fontId="57" fillId="29" borderId="198"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38" fillId="29" borderId="229" xfId="0" applyFont="1" applyFill="1" applyBorder="1" applyAlignment="1">
      <alignment vertical="top" wrapText="1"/>
    </xf>
    <xf numFmtId="0" fontId="2" fillId="31" borderId="32" xfId="5" applyFont="1" applyFill="1" applyBorder="1" applyAlignment="1">
      <alignment vertical="top" wrapText="1"/>
    </xf>
    <xf numFmtId="0" fontId="2" fillId="31" borderId="31" xfId="5" applyFont="1" applyFill="1" applyBorder="1" applyAlignment="1">
      <alignment vertical="top" wrapText="1"/>
    </xf>
    <xf numFmtId="0" fontId="2" fillId="31" borderId="28" xfId="5" applyFont="1" applyFill="1" applyBorder="1" applyAlignment="1">
      <alignment vertical="top" wrapText="1"/>
    </xf>
    <xf numFmtId="0" fontId="6" fillId="0" borderId="92" xfId="5" applyFont="1" applyBorder="1" applyAlignment="1">
      <alignment vertical="top" wrapText="1"/>
    </xf>
    <xf numFmtId="0" fontId="33" fillId="0" borderId="124" xfId="7" applyFont="1" applyFill="1" applyBorder="1" applyAlignment="1">
      <alignment vertical="top" wrapText="1"/>
    </xf>
    <xf numFmtId="0" fontId="13" fillId="32" borderId="117" xfId="5" applyFont="1" applyFill="1" applyBorder="1" applyAlignment="1">
      <alignment vertical="top" wrapText="1"/>
    </xf>
    <xf numFmtId="0" fontId="13" fillId="32" borderId="92" xfId="5" applyFont="1" applyFill="1" applyBorder="1" applyAlignment="1">
      <alignment vertical="top"/>
    </xf>
    <xf numFmtId="0" fontId="13" fillId="32" borderId="124" xfId="5" applyFont="1" applyFill="1" applyBorder="1" applyAlignment="1">
      <alignment vertical="top" wrapText="1"/>
    </xf>
    <xf numFmtId="0" fontId="13" fillId="32" borderId="141" xfId="5" applyFont="1" applyFill="1" applyBorder="1" applyAlignment="1">
      <alignment vertical="top" wrapText="1"/>
    </xf>
    <xf numFmtId="0" fontId="13" fillId="32" borderId="101" xfId="5" applyFont="1" applyFill="1" applyBorder="1" applyAlignment="1">
      <alignment vertical="top"/>
    </xf>
    <xf numFmtId="0" fontId="13" fillId="32" borderId="69" xfId="5" applyFont="1" applyFill="1" applyBorder="1" applyAlignment="1">
      <alignment vertical="top" wrapText="1"/>
    </xf>
    <xf numFmtId="0" fontId="13" fillId="32" borderId="32" xfId="5" applyFont="1" applyFill="1" applyBorder="1" applyAlignment="1">
      <alignment vertical="top" wrapText="1"/>
    </xf>
    <xf numFmtId="0" fontId="13" fillId="32" borderId="31" xfId="5" applyFont="1" applyFill="1" applyBorder="1" applyAlignment="1">
      <alignment vertical="top"/>
    </xf>
    <xf numFmtId="0" fontId="13" fillId="32" borderId="28" xfId="5" applyFont="1" applyFill="1" applyBorder="1" applyAlignment="1">
      <alignment vertical="top" wrapText="1"/>
    </xf>
    <xf numFmtId="0" fontId="13" fillId="32" borderId="12" xfId="5" applyFont="1" applyFill="1" applyBorder="1" applyAlignment="1">
      <alignment vertical="top" wrapText="1"/>
    </xf>
    <xf numFmtId="0" fontId="13" fillId="32" borderId="99" xfId="5" applyFont="1" applyFill="1" applyBorder="1" applyAlignment="1">
      <alignment vertical="top"/>
    </xf>
    <xf numFmtId="0" fontId="13" fillId="32" borderId="77" xfId="5" applyFont="1" applyFill="1" applyBorder="1" applyAlignment="1">
      <alignment vertical="top" wrapText="1"/>
    </xf>
    <xf numFmtId="0" fontId="13" fillId="32" borderId="91" xfId="5" applyFont="1" applyFill="1" applyBorder="1" applyAlignment="1">
      <alignment vertical="top" wrapText="1"/>
    </xf>
    <xf numFmtId="0" fontId="13" fillId="32" borderId="90" xfId="5" applyFont="1" applyFill="1" applyBorder="1" applyAlignment="1">
      <alignment vertical="top" wrapText="1"/>
    </xf>
    <xf numFmtId="0" fontId="13" fillId="32" borderId="90" xfId="5" applyFont="1" applyFill="1" applyBorder="1" applyAlignment="1">
      <alignment vertical="top"/>
    </xf>
    <xf numFmtId="0" fontId="13" fillId="32" borderId="80" xfId="5" applyFont="1" applyFill="1" applyBorder="1" applyAlignment="1">
      <alignment vertical="top" wrapText="1"/>
    </xf>
    <xf numFmtId="0" fontId="13" fillId="32" borderId="143" xfId="5" applyFont="1" applyFill="1" applyBorder="1" applyAlignment="1">
      <alignment vertical="top" wrapText="1"/>
    </xf>
    <xf numFmtId="0" fontId="13" fillId="32" borderId="100" xfId="5" applyFont="1" applyFill="1" applyBorder="1" applyAlignment="1">
      <alignment vertical="top"/>
    </xf>
    <xf numFmtId="0" fontId="13" fillId="32" borderId="100" xfId="5" applyFont="1" applyFill="1" applyBorder="1" applyAlignment="1">
      <alignment vertical="top" wrapText="1"/>
    </xf>
    <xf numFmtId="0" fontId="35" fillId="32" borderId="101" xfId="5" applyFont="1" applyFill="1" applyBorder="1" applyAlignment="1">
      <alignment horizontal="left" vertical="top" wrapText="1"/>
    </xf>
    <xf numFmtId="0" fontId="36" fillId="32" borderId="100" xfId="5" applyFont="1" applyFill="1" applyBorder="1" applyAlignment="1">
      <alignment horizontal="left" vertical="top" wrapText="1"/>
    </xf>
    <xf numFmtId="0" fontId="36" fillId="32" borderId="115" xfId="5" applyFont="1" applyFill="1" applyBorder="1" applyAlignment="1">
      <alignment horizontal="left" vertical="top" wrapText="1"/>
    </xf>
    <xf numFmtId="0" fontId="35" fillId="32" borderId="12" xfId="5" applyFont="1" applyFill="1" applyBorder="1" applyAlignment="1">
      <alignment vertical="top" wrapText="1"/>
    </xf>
    <xf numFmtId="0" fontId="35" fillId="32" borderId="99" xfId="5" applyFont="1" applyFill="1" applyBorder="1" applyAlignment="1">
      <alignment vertical="top" wrapText="1"/>
    </xf>
    <xf numFmtId="0" fontId="36" fillId="32" borderId="99" xfId="5" applyFont="1" applyFill="1" applyBorder="1" applyAlignment="1">
      <alignment vertical="top" wrapText="1"/>
    </xf>
    <xf numFmtId="0" fontId="13" fillId="32" borderId="77" xfId="5" applyFont="1" applyFill="1" applyBorder="1" applyAlignment="1">
      <alignment horizontal="center" vertical="top"/>
    </xf>
    <xf numFmtId="0" fontId="36" fillId="32" borderId="143" xfId="5" applyFont="1" applyFill="1" applyBorder="1" applyAlignment="1">
      <alignment vertical="top" wrapText="1"/>
    </xf>
    <xf numFmtId="0" fontId="36" fillId="32" borderId="100" xfId="5" applyFont="1" applyFill="1" applyBorder="1" applyAlignment="1">
      <alignment vertical="top" wrapText="1"/>
    </xf>
    <xf numFmtId="0" fontId="13" fillId="32" borderId="118" xfId="5" applyFont="1" applyFill="1" applyBorder="1" applyAlignment="1">
      <alignment horizontal="center" vertical="top"/>
    </xf>
    <xf numFmtId="0" fontId="2" fillId="0" borderId="99" xfId="5" applyFont="1" applyBorder="1" applyAlignment="1">
      <alignment horizontal="left" vertical="top" wrapText="1"/>
    </xf>
    <xf numFmtId="0" fontId="36" fillId="32" borderId="99" xfId="5" applyFont="1" applyFill="1" applyBorder="1" applyAlignment="1">
      <alignment horizontal="center" vertical="center"/>
    </xf>
    <xf numFmtId="0" fontId="36" fillId="32" borderId="99" xfId="5" applyFont="1" applyFill="1" applyBorder="1" applyAlignment="1">
      <alignment horizontal="left" vertical="top" wrapText="1"/>
    </xf>
    <xf numFmtId="0" fontId="36" fillId="32" borderId="51" xfId="5" applyFont="1" applyFill="1" applyBorder="1" applyAlignment="1">
      <alignment horizontal="left" vertical="top" wrapText="1"/>
    </xf>
    <xf numFmtId="0" fontId="2" fillId="32" borderId="16" xfId="5" applyFont="1" applyFill="1" applyBorder="1" applyAlignment="1">
      <alignment horizontal="center" vertical="center"/>
    </xf>
    <xf numFmtId="0" fontId="2" fillId="32" borderId="107" xfId="5" applyFont="1" applyFill="1" applyBorder="1" applyAlignment="1">
      <alignment horizontal="center" vertical="center"/>
    </xf>
    <xf numFmtId="0" fontId="2" fillId="32" borderId="107" xfId="5" applyFont="1" applyFill="1" applyBorder="1" applyAlignment="1">
      <alignment horizontal="center" vertical="center" wrapText="1"/>
    </xf>
    <xf numFmtId="0" fontId="2" fillId="32" borderId="50" xfId="5" applyFont="1" applyFill="1" applyBorder="1" applyAlignment="1">
      <alignment horizontal="center" vertical="center" wrapText="1"/>
    </xf>
    <xf numFmtId="0" fontId="2" fillId="32" borderId="115" xfId="5" applyFont="1" applyFill="1" applyBorder="1" applyAlignment="1">
      <alignment horizontal="center" vertical="center"/>
    </xf>
    <xf numFmtId="0" fontId="2" fillId="32" borderId="98" xfId="5" applyFont="1" applyFill="1" applyBorder="1" applyAlignment="1">
      <alignment horizontal="center" vertical="center"/>
    </xf>
    <xf numFmtId="0" fontId="6" fillId="31" borderId="99" xfId="5" applyFont="1" applyFill="1" applyBorder="1" applyAlignment="1">
      <alignment vertical="top"/>
    </xf>
    <xf numFmtId="0" fontId="13" fillId="31" borderId="69" xfId="5" applyFont="1" applyFill="1" applyBorder="1" applyAlignment="1">
      <alignment vertical="top" wrapText="1"/>
    </xf>
    <xf numFmtId="0" fontId="13" fillId="31" borderId="32" xfId="5" applyFont="1" applyFill="1" applyBorder="1" applyAlignment="1">
      <alignment vertical="top" wrapText="1"/>
    </xf>
    <xf numFmtId="0" fontId="13" fillId="31" borderId="31" xfId="5" applyFont="1" applyFill="1" applyBorder="1" applyAlignment="1">
      <alignment vertical="top" wrapText="1"/>
    </xf>
    <xf numFmtId="0" fontId="13" fillId="31" borderId="31" xfId="5" applyFont="1" applyFill="1" applyBorder="1" applyAlignment="1">
      <alignment vertical="top"/>
    </xf>
    <xf numFmtId="0" fontId="13" fillId="31" borderId="28" xfId="5" applyFont="1" applyFill="1" applyBorder="1" applyAlignment="1">
      <alignment vertical="top" wrapText="1"/>
    </xf>
    <xf numFmtId="0" fontId="13" fillId="31" borderId="12" xfId="5" applyFont="1" applyFill="1" applyBorder="1" applyAlignment="1">
      <alignment vertical="top" wrapText="1"/>
    </xf>
    <xf numFmtId="0" fontId="13" fillId="31" borderId="99" xfId="5" applyFont="1" applyFill="1" applyBorder="1" applyAlignment="1">
      <alignment vertical="top"/>
    </xf>
    <xf numFmtId="0" fontId="13" fillId="31" borderId="99" xfId="5" applyFont="1" applyFill="1" applyBorder="1" applyAlignment="1">
      <alignment vertical="top" wrapText="1"/>
    </xf>
    <xf numFmtId="0" fontId="13" fillId="31" borderId="12" xfId="5" applyFont="1" applyFill="1" applyBorder="1" applyAlignment="1">
      <alignment horizontal="center" vertical="top"/>
    </xf>
    <xf numFmtId="0" fontId="6" fillId="8" borderId="30" xfId="5" applyFont="1" applyFill="1" applyBorder="1" applyAlignment="1">
      <alignment vertical="top" wrapText="1"/>
    </xf>
    <xf numFmtId="0" fontId="13" fillId="0" borderId="159" xfId="5" applyFont="1" applyBorder="1" applyAlignment="1">
      <alignment horizontal="center" vertical="center"/>
    </xf>
    <xf numFmtId="0" fontId="13" fillId="0" borderId="106" xfId="5" applyFont="1" applyBorder="1" applyAlignment="1">
      <alignment horizontal="center" vertical="center"/>
    </xf>
    <xf numFmtId="0" fontId="13" fillId="0" borderId="187" xfId="5" applyFont="1" applyBorder="1"/>
    <xf numFmtId="0" fontId="56" fillId="0" borderId="0" xfId="7"/>
    <xf numFmtId="0" fontId="2" fillId="5" borderId="28" xfId="4" applyFont="1" applyFill="1" applyBorder="1"/>
    <xf numFmtId="0" fontId="2" fillId="5" borderId="99" xfId="4" applyFont="1" applyFill="1" applyBorder="1"/>
    <xf numFmtId="0" fontId="2" fillId="5" borderId="69" xfId="4" applyFont="1" applyFill="1" applyBorder="1"/>
    <xf numFmtId="0" fontId="2" fillId="8" borderId="90" xfId="5" applyFont="1" applyFill="1" applyBorder="1" applyAlignment="1">
      <alignment horizontal="left" vertical="top" wrapText="1"/>
    </xf>
    <xf numFmtId="0" fontId="2" fillId="8" borderId="100" xfId="5" applyFont="1" applyFill="1" applyBorder="1" applyAlignment="1">
      <alignment horizontal="left" vertical="top" wrapText="1"/>
    </xf>
    <xf numFmtId="0" fontId="2" fillId="8" borderId="94" xfId="5" applyFont="1" applyFill="1" applyBorder="1" applyAlignment="1">
      <alignment horizontal="left" vertical="top" wrapText="1"/>
    </xf>
    <xf numFmtId="0" fontId="2" fillId="8" borderId="106" xfId="5" applyFont="1" applyFill="1" applyBorder="1" applyAlignment="1">
      <alignment horizontal="left" vertical="top" wrapText="1"/>
    </xf>
    <xf numFmtId="0" fontId="2" fillId="8" borderId="29" xfId="5" applyFont="1" applyFill="1" applyBorder="1" applyAlignment="1">
      <alignment horizontal="left" vertical="top" wrapText="1"/>
    </xf>
    <xf numFmtId="0" fontId="2" fillId="8" borderId="107" xfId="5" applyFont="1" applyFill="1" applyBorder="1" applyAlignment="1">
      <alignment horizontal="left" vertical="top" wrapText="1"/>
    </xf>
    <xf numFmtId="0" fontId="2" fillId="8" borderId="77" xfId="5" applyFont="1" applyFill="1" applyBorder="1" applyAlignment="1">
      <alignment vertical="top"/>
    </xf>
    <xf numFmtId="0" fontId="2" fillId="8" borderId="90" xfId="5" applyFont="1" applyFill="1" applyBorder="1" applyAlignment="1">
      <alignment vertical="top" wrapText="1"/>
    </xf>
    <xf numFmtId="0" fontId="2" fillId="8" borderId="91" xfId="5" applyFont="1" applyFill="1" applyBorder="1" applyAlignment="1">
      <alignment vertical="top" wrapText="1"/>
    </xf>
    <xf numFmtId="0" fontId="2" fillId="8" borderId="100" xfId="5" applyFont="1" applyFill="1" applyBorder="1" applyAlignment="1">
      <alignment vertical="top" wrapText="1"/>
    </xf>
    <xf numFmtId="0" fontId="6" fillId="0" borderId="117" xfId="5" applyFont="1" applyBorder="1" applyAlignment="1">
      <alignment vertical="top"/>
    </xf>
    <xf numFmtId="0" fontId="6" fillId="0" borderId="93" xfId="5" applyFont="1" applyBorder="1" applyAlignment="1">
      <alignment vertical="top" wrapText="1"/>
    </xf>
    <xf numFmtId="0" fontId="6" fillId="0" borderId="101" xfId="5" applyFont="1" applyBorder="1" applyAlignment="1">
      <alignment vertical="top" wrapText="1"/>
    </xf>
    <xf numFmtId="0" fontId="6" fillId="32" borderId="69" xfId="5" applyFont="1" applyFill="1" applyBorder="1" applyAlignment="1">
      <alignment vertical="top" wrapText="1"/>
    </xf>
    <xf numFmtId="0" fontId="6" fillId="32" borderId="31" xfId="5" applyFont="1" applyFill="1" applyBorder="1" applyAlignment="1">
      <alignment vertical="top" wrapText="1"/>
    </xf>
    <xf numFmtId="0" fontId="6" fillId="32" borderId="32" xfId="5" applyFont="1" applyFill="1" applyBorder="1" applyAlignment="1">
      <alignment vertical="top" wrapText="1"/>
    </xf>
    <xf numFmtId="0" fontId="6" fillId="32" borderId="99" xfId="5" applyFont="1" applyFill="1" applyBorder="1" applyAlignment="1">
      <alignment vertical="top" wrapText="1"/>
    </xf>
    <xf numFmtId="0" fontId="6" fillId="32" borderId="77" xfId="5" applyFont="1" applyFill="1" applyBorder="1" applyAlignment="1">
      <alignment vertical="top" wrapText="1"/>
    </xf>
    <xf numFmtId="0" fontId="6" fillId="0" borderId="99" xfId="5" applyFont="1" applyBorder="1" applyAlignment="1">
      <alignment vertical="top" wrapText="1"/>
    </xf>
    <xf numFmtId="0" fontId="6" fillId="8" borderId="69" xfId="5" applyFont="1" applyFill="1" applyBorder="1" applyAlignment="1">
      <alignment vertical="top"/>
    </xf>
    <xf numFmtId="0" fontId="6" fillId="8" borderId="31" xfId="5" applyFont="1" applyFill="1" applyBorder="1" applyAlignment="1">
      <alignment vertical="top" wrapText="1"/>
    </xf>
    <xf numFmtId="0" fontId="6" fillId="8" borderId="99" xfId="5" applyFont="1" applyFill="1" applyBorder="1" applyAlignment="1">
      <alignment vertical="top" wrapText="1"/>
    </xf>
    <xf numFmtId="0" fontId="6" fillId="0" borderId="69" xfId="5" applyFont="1" applyBorder="1" applyAlignment="1">
      <alignment vertical="top"/>
    </xf>
    <xf numFmtId="0" fontId="6" fillId="0" borderId="32" xfId="5" applyFont="1" applyBorder="1" applyAlignment="1">
      <alignment vertical="top" wrapText="1"/>
    </xf>
    <xf numFmtId="0" fontId="6" fillId="0" borderId="119" xfId="5" applyFont="1" applyBorder="1" applyAlignment="1">
      <alignment vertical="top"/>
    </xf>
    <xf numFmtId="0" fontId="6" fillId="0" borderId="45" xfId="5" applyFont="1" applyBorder="1" applyAlignment="1">
      <alignment vertical="top" wrapText="1"/>
    </xf>
    <xf numFmtId="0" fontId="6" fillId="0" borderId="52" xfId="5" applyFont="1" applyBorder="1" applyAlignment="1">
      <alignment vertical="top" wrapText="1"/>
    </xf>
    <xf numFmtId="0" fontId="6" fillId="0" borderId="116" xfId="5" applyFont="1" applyBorder="1" applyAlignment="1">
      <alignment vertical="top" wrapText="1"/>
    </xf>
    <xf numFmtId="0" fontId="62" fillId="0" borderId="117" xfId="5" applyFont="1" applyBorder="1" applyAlignment="1">
      <alignment vertical="top"/>
    </xf>
    <xf numFmtId="0" fontId="62" fillId="0" borderId="92" xfId="5" applyFont="1" applyBorder="1" applyAlignment="1">
      <alignment vertical="top" wrapText="1"/>
    </xf>
    <xf numFmtId="0" fontId="62" fillId="0" borderId="101" xfId="5" applyFont="1" applyBorder="1" applyAlignment="1">
      <alignment vertical="top" wrapText="1"/>
    </xf>
    <xf numFmtId="0" fontId="62" fillId="0" borderId="16" xfId="5" applyFont="1" applyBorder="1" applyAlignment="1">
      <alignment vertical="top"/>
    </xf>
    <xf numFmtId="0" fontId="62" fillId="0" borderId="29" xfId="5" applyFont="1" applyBorder="1" applyAlignment="1">
      <alignment vertical="top" wrapText="1"/>
    </xf>
    <xf numFmtId="0" fontId="62" fillId="0" borderId="30" xfId="5" applyFont="1" applyBorder="1" applyAlignment="1">
      <alignment vertical="top" wrapText="1"/>
    </xf>
    <xf numFmtId="0" fontId="62" fillId="0" borderId="107" xfId="5" applyFont="1" applyBorder="1" applyAlignment="1">
      <alignment vertical="top" wrapText="1"/>
    </xf>
    <xf numFmtId="0" fontId="62" fillId="0" borderId="69" xfId="5" applyFont="1" applyBorder="1" applyAlignment="1">
      <alignment vertical="top"/>
    </xf>
    <xf numFmtId="0" fontId="62" fillId="0" borderId="31" xfId="5" applyFont="1" applyBorder="1" applyAlignment="1">
      <alignment vertical="top" wrapText="1"/>
    </xf>
    <xf numFmtId="0" fontId="62" fillId="0" borderId="32" xfId="5" applyFont="1" applyBorder="1" applyAlignment="1">
      <alignment vertical="top" wrapText="1"/>
    </xf>
    <xf numFmtId="0" fontId="62" fillId="0" borderId="99" xfId="5" applyFont="1" applyBorder="1" applyAlignment="1">
      <alignment vertical="top" wrapText="1"/>
    </xf>
    <xf numFmtId="0" fontId="62" fillId="0" borderId="118" xfId="5" applyFont="1" applyBorder="1" applyAlignment="1">
      <alignment vertical="top"/>
    </xf>
    <xf numFmtId="0" fontId="62" fillId="0" borderId="96" xfId="5" applyFont="1" applyBorder="1" applyAlignment="1">
      <alignment vertical="top" wrapText="1"/>
    </xf>
    <xf numFmtId="0" fontId="62" fillId="0" borderId="97" xfId="5" applyFont="1" applyBorder="1" applyAlignment="1">
      <alignment vertical="top" wrapText="1"/>
    </xf>
    <xf numFmtId="0" fontId="62" fillId="0" borderId="115" xfId="5" applyFont="1" applyBorder="1" applyAlignment="1">
      <alignment vertical="top" wrapText="1"/>
    </xf>
    <xf numFmtId="0" fontId="2" fillId="4" borderId="107" xfId="5" applyFont="1" applyFill="1" applyBorder="1" applyAlignment="1">
      <alignment horizontal="left" vertical="top" wrapText="1"/>
    </xf>
    <xf numFmtId="0" fontId="2" fillId="4" borderId="107" xfId="5" applyFont="1" applyFill="1" applyBorder="1" applyAlignment="1">
      <alignment horizontal="left" vertical="top"/>
    </xf>
    <xf numFmtId="0" fontId="2" fillId="4" borderId="51" xfId="5" applyFont="1" applyFill="1" applyBorder="1" applyAlignment="1">
      <alignment horizontal="left" vertical="top"/>
    </xf>
    <xf numFmtId="0" fontId="2" fillId="4" borderId="107" xfId="5" applyFont="1" applyFill="1" applyBorder="1" applyAlignment="1">
      <alignment vertical="top"/>
    </xf>
    <xf numFmtId="0" fontId="6" fillId="4" borderId="30" xfId="5" applyFont="1" applyFill="1" applyBorder="1" applyAlignment="1">
      <alignment vertical="center"/>
    </xf>
    <xf numFmtId="0" fontId="6" fillId="0" borderId="103" xfId="5" applyFont="1" applyBorder="1" applyAlignment="1">
      <alignment vertical="center"/>
    </xf>
    <xf numFmtId="0" fontId="6" fillId="0" borderId="30" xfId="5" applyFont="1" applyBorder="1" applyAlignment="1">
      <alignment vertical="center"/>
    </xf>
    <xf numFmtId="0" fontId="6" fillId="4" borderId="95" xfId="5" applyFont="1" applyFill="1" applyBorder="1" applyAlignment="1">
      <alignment vertical="center"/>
    </xf>
    <xf numFmtId="0" fontId="6" fillId="0" borderId="95" xfId="5" applyFont="1" applyBorder="1" applyAlignment="1">
      <alignment vertical="center"/>
    </xf>
    <xf numFmtId="0" fontId="2" fillId="4" borderId="187" xfId="5" applyFont="1" applyFill="1" applyBorder="1"/>
    <xf numFmtId="0" fontId="2" fillId="4" borderId="50" xfId="5" applyFont="1" applyFill="1" applyBorder="1"/>
    <xf numFmtId="0" fontId="62" fillId="0" borderId="13" xfId="5" applyFont="1" applyBorder="1" applyAlignment="1">
      <alignment vertical="top" wrapText="1"/>
    </xf>
    <xf numFmtId="0" fontId="62" fillId="0" borderId="102" xfId="5" applyFont="1" applyBorder="1" applyAlignment="1">
      <alignment vertical="top"/>
    </xf>
    <xf numFmtId="0" fontId="62" fillId="0" borderId="101" xfId="5" applyFont="1" applyBorder="1" applyAlignment="1">
      <alignment vertical="top"/>
    </xf>
    <xf numFmtId="0" fontId="62" fillId="0" borderId="117" xfId="5" applyFont="1" applyBorder="1" applyAlignment="1">
      <alignment vertical="top" wrapText="1"/>
    </xf>
    <xf numFmtId="0" fontId="62" fillId="0" borderId="93" xfId="5" applyFont="1" applyBorder="1" applyAlignment="1">
      <alignment vertical="top"/>
    </xf>
    <xf numFmtId="0" fontId="62" fillId="0" borderId="92" xfId="5" applyFont="1" applyBorder="1" applyAlignment="1">
      <alignment vertical="top"/>
    </xf>
    <xf numFmtId="0" fontId="62" fillId="0" borderId="124" xfId="5" applyFont="1" applyBorder="1" applyAlignment="1">
      <alignment vertical="top"/>
    </xf>
    <xf numFmtId="0" fontId="62" fillId="0" borderId="141" xfId="5" applyFont="1" applyBorder="1" applyAlignment="1">
      <alignment vertical="top"/>
    </xf>
    <xf numFmtId="0" fontId="62" fillId="0" borderId="117" xfId="5" applyFont="1" applyBorder="1" applyAlignment="1">
      <alignment horizontal="center" vertical="top"/>
    </xf>
    <xf numFmtId="0" fontId="62" fillId="0" borderId="101" xfId="5" applyFont="1" applyBorder="1" applyAlignment="1">
      <alignment horizontal="center" vertical="top"/>
    </xf>
    <xf numFmtId="0" fontId="62" fillId="0" borderId="93" xfId="5" applyFont="1" applyBorder="1" applyAlignment="1">
      <alignment vertical="top" wrapText="1"/>
    </xf>
    <xf numFmtId="0" fontId="62" fillId="0" borderId="124" xfId="5" applyFont="1" applyBorder="1" applyAlignment="1">
      <alignment vertical="top" wrapText="1"/>
    </xf>
    <xf numFmtId="0" fontId="62" fillId="0" borderId="141" xfId="5" applyFont="1" applyBorder="1" applyAlignment="1">
      <alignment vertical="top" wrapText="1"/>
    </xf>
    <xf numFmtId="0" fontId="62" fillId="0" borderId="141" xfId="5" applyFont="1" applyBorder="1" applyAlignment="1">
      <alignment horizontal="center" vertical="top"/>
    </xf>
    <xf numFmtId="0" fontId="62" fillId="0" borderId="16" xfId="5" applyFont="1" applyBorder="1" applyAlignment="1">
      <alignment horizontal="center" vertical="center"/>
    </xf>
    <xf numFmtId="0" fontId="62" fillId="0" borderId="107" xfId="5" applyFont="1" applyBorder="1" applyAlignment="1">
      <alignment horizontal="center" vertical="center"/>
    </xf>
    <xf numFmtId="0" fontId="62" fillId="0" borderId="50" xfId="5" applyFont="1" applyBorder="1"/>
    <xf numFmtId="0" fontId="62" fillId="0" borderId="10" xfId="5" applyFont="1" applyBorder="1" applyAlignment="1">
      <alignment vertical="top"/>
    </xf>
    <xf numFmtId="0" fontId="62" fillId="0" borderId="106" xfId="5" applyFont="1" applyBorder="1" applyAlignment="1">
      <alignment vertical="top"/>
    </xf>
    <xf numFmtId="0" fontId="62" fillId="0" borderId="107" xfId="5" applyFont="1" applyBorder="1" applyAlignment="1">
      <alignment vertical="top"/>
    </xf>
    <xf numFmtId="0" fontId="62" fillId="0" borderId="16" xfId="5" applyFont="1" applyBorder="1" applyAlignment="1">
      <alignment vertical="top" wrapText="1"/>
    </xf>
    <xf numFmtId="0" fontId="62" fillId="0" borderId="30" xfId="5" applyFont="1" applyBorder="1" applyAlignment="1">
      <alignment vertical="top"/>
    </xf>
    <xf numFmtId="0" fontId="62" fillId="0" borderId="29" xfId="5" applyFont="1" applyBorder="1" applyAlignment="1">
      <alignment vertical="top"/>
    </xf>
    <xf numFmtId="0" fontId="62" fillId="0" borderId="27" xfId="5" applyFont="1" applyBorder="1" applyAlignment="1">
      <alignment vertical="top"/>
    </xf>
    <xf numFmtId="0" fontId="62" fillId="0" borderId="140" xfId="5" applyFont="1" applyBorder="1" applyAlignment="1">
      <alignment vertical="top"/>
    </xf>
    <xf numFmtId="0" fontId="62" fillId="0" borderId="16" xfId="5" applyFont="1" applyBorder="1" applyAlignment="1">
      <alignment horizontal="center" vertical="top"/>
    </xf>
    <xf numFmtId="0" fontId="62" fillId="0" borderId="107" xfId="5" applyFont="1" applyBorder="1" applyAlignment="1">
      <alignment horizontal="center" vertical="top"/>
    </xf>
    <xf numFmtId="0" fontId="62" fillId="0" borderId="27" xfId="5" applyFont="1" applyBorder="1" applyAlignment="1">
      <alignment vertical="top" wrapText="1"/>
    </xf>
    <xf numFmtId="0" fontId="62" fillId="0" borderId="140" xfId="5" applyFont="1" applyBorder="1" applyAlignment="1">
      <alignment vertical="top" wrapText="1"/>
    </xf>
    <xf numFmtId="0" fontId="62" fillId="0" borderId="140" xfId="5" applyFont="1" applyBorder="1" applyAlignment="1">
      <alignment horizontal="center" vertical="top"/>
    </xf>
    <xf numFmtId="0" fontId="62" fillId="0" borderId="91" xfId="5" applyFont="1" applyBorder="1" applyAlignment="1">
      <alignment vertical="top"/>
    </xf>
    <xf numFmtId="0" fontId="62" fillId="0" borderId="95" xfId="5" applyFont="1" applyBorder="1" applyAlignment="1">
      <alignment vertical="top"/>
    </xf>
    <xf numFmtId="0" fontId="62" fillId="0" borderId="99" xfId="5" applyFont="1" applyBorder="1" applyAlignment="1">
      <alignment vertical="top"/>
    </xf>
    <xf numFmtId="0" fontId="62" fillId="0" borderId="69" xfId="5" applyFont="1" applyBorder="1" applyAlignment="1">
      <alignment vertical="top" wrapText="1"/>
    </xf>
    <xf numFmtId="0" fontId="62" fillId="0" borderId="32" xfId="5" applyFont="1" applyBorder="1" applyAlignment="1">
      <alignment vertical="top"/>
    </xf>
    <xf numFmtId="0" fontId="62" fillId="0" borderId="31" xfId="5" applyFont="1" applyBorder="1" applyAlignment="1">
      <alignment vertical="top"/>
    </xf>
    <xf numFmtId="0" fontId="62" fillId="0" borderId="28" xfId="5" applyFont="1" applyBorder="1" applyAlignment="1">
      <alignment vertical="top"/>
    </xf>
    <xf numFmtId="0" fontId="62" fillId="0" borderId="12" xfId="5" applyFont="1" applyBorder="1" applyAlignment="1">
      <alignment vertical="top"/>
    </xf>
    <xf numFmtId="0" fontId="62" fillId="0" borderId="69" xfId="5" applyFont="1" applyBorder="1" applyAlignment="1">
      <alignment horizontal="center" vertical="top"/>
    </xf>
    <xf numFmtId="0" fontId="62" fillId="0" borderId="99" xfId="5" applyFont="1" applyBorder="1" applyAlignment="1">
      <alignment horizontal="center" vertical="top"/>
    </xf>
    <xf numFmtId="0" fontId="62" fillId="0" borderId="28" xfId="5" applyFont="1" applyBorder="1" applyAlignment="1">
      <alignment vertical="top" wrapText="1"/>
    </xf>
    <xf numFmtId="0" fontId="62" fillId="0" borderId="12" xfId="5" applyFont="1" applyBorder="1" applyAlignment="1">
      <alignment vertical="top" wrapText="1"/>
    </xf>
    <xf numFmtId="0" fontId="62" fillId="0" borderId="12" xfId="5" applyFont="1" applyBorder="1" applyAlignment="1">
      <alignment horizontal="center" vertical="top"/>
    </xf>
    <xf numFmtId="0" fontId="62" fillId="0" borderId="69" xfId="5" applyFont="1" applyBorder="1" applyAlignment="1">
      <alignment horizontal="center" vertical="center"/>
    </xf>
    <xf numFmtId="0" fontId="62" fillId="0" borderId="99" xfId="5" applyFont="1" applyBorder="1" applyAlignment="1">
      <alignment horizontal="center" vertical="center"/>
    </xf>
    <xf numFmtId="0" fontId="62" fillId="0" borderId="51" xfId="5" applyFont="1" applyBorder="1"/>
    <xf numFmtId="0" fontId="62" fillId="0" borderId="14" xfId="5" applyFont="1" applyBorder="1" applyAlignment="1">
      <alignment vertical="top"/>
    </xf>
    <xf numFmtId="0" fontId="62" fillId="0" borderId="115" xfId="5" applyFont="1" applyBorder="1" applyAlignment="1">
      <alignment vertical="top"/>
    </xf>
    <xf numFmtId="0" fontId="62" fillId="0" borderId="118" xfId="5" applyFont="1" applyBorder="1" applyAlignment="1">
      <alignment vertical="top" wrapText="1"/>
    </xf>
    <xf numFmtId="0" fontId="62" fillId="0" borderId="97" xfId="5" applyFont="1" applyBorder="1" applyAlignment="1">
      <alignment vertical="top"/>
    </xf>
    <xf numFmtId="0" fontId="62" fillId="0" borderId="96" xfId="5" applyFont="1" applyBorder="1" applyAlignment="1">
      <alignment vertical="top"/>
    </xf>
    <xf numFmtId="0" fontId="62" fillId="0" borderId="75" xfId="5" applyFont="1" applyBorder="1" applyAlignment="1">
      <alignment vertical="top"/>
    </xf>
    <xf numFmtId="0" fontId="62" fillId="0" borderId="142" xfId="5" applyFont="1" applyBorder="1" applyAlignment="1">
      <alignment vertical="top"/>
    </xf>
    <xf numFmtId="0" fontId="62" fillId="0" borderId="118" xfId="5" applyFont="1" applyBorder="1" applyAlignment="1">
      <alignment horizontal="center" vertical="top"/>
    </xf>
    <xf numFmtId="0" fontId="62" fillId="0" borderId="115" xfId="5" applyFont="1" applyBorder="1" applyAlignment="1">
      <alignment horizontal="center" vertical="top"/>
    </xf>
    <xf numFmtId="0" fontId="62" fillId="0" borderId="75" xfId="5" applyFont="1" applyBorder="1" applyAlignment="1">
      <alignment vertical="top" wrapText="1"/>
    </xf>
    <xf numFmtId="0" fontId="62" fillId="0" borderId="142" xfId="5" applyFont="1" applyBorder="1" applyAlignment="1">
      <alignment vertical="top" wrapText="1"/>
    </xf>
    <xf numFmtId="0" fontId="62" fillId="0" borderId="142" xfId="5" applyFont="1" applyBorder="1" applyAlignment="1">
      <alignment horizontal="center" vertical="top"/>
    </xf>
    <xf numFmtId="0" fontId="62" fillId="0" borderId="118" xfId="5" applyFont="1" applyBorder="1" applyAlignment="1">
      <alignment horizontal="center" vertical="center"/>
    </xf>
    <xf numFmtId="0" fontId="62" fillId="0" borderId="115" xfId="5" applyFont="1" applyBorder="1" applyAlignment="1">
      <alignment horizontal="center" vertical="center"/>
    </xf>
    <xf numFmtId="0" fontId="62" fillId="0" borderId="98" xfId="5" applyFont="1" applyBorder="1"/>
    <xf numFmtId="0" fontId="2" fillId="4" borderId="122" xfId="5" applyFont="1" applyFill="1" applyBorder="1" applyAlignment="1">
      <alignment horizontal="left" vertical="top"/>
    </xf>
    <xf numFmtId="0" fontId="6" fillId="4" borderId="103" xfId="5" applyFont="1" applyFill="1" applyBorder="1" applyAlignment="1">
      <alignment vertical="top"/>
    </xf>
    <xf numFmtId="0" fontId="6" fillId="0" borderId="91" xfId="5" applyFont="1" applyBorder="1" applyAlignment="1">
      <alignment vertical="center"/>
    </xf>
    <xf numFmtId="0" fontId="2" fillId="0" borderId="231" xfId="5" applyFont="1" applyBorder="1"/>
    <xf numFmtId="0" fontId="2" fillId="0" borderId="187" xfId="5" applyFont="1" applyBorder="1"/>
    <xf numFmtId="0" fontId="6" fillId="4" borderId="91" xfId="5" applyFont="1" applyFill="1" applyBorder="1" applyAlignment="1">
      <alignment vertical="top"/>
    </xf>
    <xf numFmtId="0" fontId="6" fillId="4" borderId="95" xfId="5" applyFont="1" applyFill="1" applyBorder="1" applyAlignment="1">
      <alignment vertical="top"/>
    </xf>
    <xf numFmtId="0" fontId="6" fillId="4" borderId="30" xfId="5" applyFont="1" applyFill="1" applyBorder="1" applyAlignment="1">
      <alignment vertical="top"/>
    </xf>
    <xf numFmtId="0" fontId="6" fillId="0" borderId="105" xfId="5" applyFont="1" applyBorder="1" applyAlignment="1">
      <alignment vertical="center"/>
    </xf>
    <xf numFmtId="0" fontId="2" fillId="0" borderId="232" xfId="5" applyFont="1" applyBorder="1"/>
    <xf numFmtId="0" fontId="62" fillId="4" borderId="107" xfId="5" applyFont="1" applyFill="1" applyBorder="1" applyAlignment="1">
      <alignment horizontal="center" vertical="center"/>
    </xf>
    <xf numFmtId="0" fontId="6" fillId="4" borderId="91" xfId="5" applyFont="1" applyFill="1" applyBorder="1" applyAlignment="1">
      <alignment horizontal="left" vertical="top"/>
    </xf>
    <xf numFmtId="0" fontId="6" fillId="4" borderId="103" xfId="5" applyFont="1" applyFill="1" applyBorder="1" applyAlignment="1">
      <alignment horizontal="left" vertical="top"/>
    </xf>
    <xf numFmtId="0" fontId="2" fillId="4" borderId="230" xfId="5" applyFont="1" applyFill="1" applyBorder="1" applyAlignment="1">
      <alignment vertical="top"/>
    </xf>
    <xf numFmtId="0" fontId="13" fillId="0" borderId="131" xfId="5" applyFont="1" applyBorder="1" applyAlignment="1">
      <alignment horizontal="center" vertical="center"/>
    </xf>
    <xf numFmtId="0" fontId="6" fillId="0" borderId="77" xfId="5" applyFont="1" applyBorder="1" applyAlignment="1">
      <alignment horizontal="center" vertical="center"/>
    </xf>
    <xf numFmtId="0" fontId="6" fillId="0" borderId="104" xfId="5" applyFont="1" applyBorder="1" applyAlignment="1">
      <alignment horizontal="center" vertical="center"/>
    </xf>
    <xf numFmtId="0" fontId="6" fillId="0" borderId="91" xfId="5" applyFont="1" applyBorder="1" applyAlignment="1">
      <alignment horizontal="center" vertical="center"/>
    </xf>
    <xf numFmtId="0" fontId="6" fillId="0" borderId="105" xfId="5" applyFont="1" applyBorder="1" applyAlignment="1">
      <alignment horizontal="center" vertical="center"/>
    </xf>
    <xf numFmtId="0" fontId="6" fillId="0" borderId="159" xfId="5" applyFont="1" applyBorder="1" applyAlignment="1">
      <alignment horizontal="center" vertical="center"/>
    </xf>
    <xf numFmtId="0" fontId="6" fillId="0" borderId="16" xfId="5" applyFont="1" applyBorder="1" applyAlignment="1">
      <alignment horizontal="center" vertical="center"/>
    </xf>
    <xf numFmtId="0" fontId="6" fillId="0" borderId="95" xfId="5" applyFont="1" applyBorder="1" applyAlignment="1">
      <alignment horizontal="center" vertical="center"/>
    </xf>
    <xf numFmtId="0" fontId="6" fillId="0" borderId="30" xfId="5" applyFont="1" applyBorder="1" applyAlignment="1">
      <alignment horizontal="center" vertical="center"/>
    </xf>
    <xf numFmtId="0" fontId="9" fillId="0" borderId="0" xfId="5" applyFont="1" applyAlignment="1">
      <alignment horizontal="left"/>
    </xf>
    <xf numFmtId="0" fontId="6" fillId="0" borderId="159" xfId="5" applyFont="1" applyBorder="1" applyAlignment="1">
      <alignment horizontal="left"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4" fillId="23" borderId="138" xfId="5" applyFont="1" applyFill="1" applyBorder="1" applyAlignment="1">
      <alignment horizontal="center" vertical="center"/>
    </xf>
    <xf numFmtId="0" fontId="4" fillId="23" borderId="120" xfId="5" applyFont="1" applyFill="1" applyBorder="1" applyAlignment="1">
      <alignment horizontal="center" vertical="center"/>
    </xf>
    <xf numFmtId="0" fontId="4" fillId="19" borderId="113" xfId="5" applyFont="1" applyFill="1" applyBorder="1" applyAlignment="1">
      <alignment horizontal="center" vertical="center"/>
    </xf>
    <xf numFmtId="0" fontId="4" fillId="20" borderId="88" xfId="5" applyFont="1" applyFill="1" applyBorder="1" applyAlignment="1">
      <alignment horizontal="center" vertical="center"/>
    </xf>
    <xf numFmtId="0" fontId="8" fillId="21" borderId="88" xfId="5" applyFont="1" applyFill="1" applyBorder="1" applyAlignment="1">
      <alignment horizontal="center" vertical="center"/>
    </xf>
    <xf numFmtId="0" fontId="2" fillId="0" borderId="100" xfId="5" applyFont="1" applyBorder="1" applyAlignment="1">
      <alignment horizontal="left" vertical="top" wrapText="1"/>
    </xf>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4" fillId="22" borderId="120" xfId="5" applyFont="1" applyFill="1" applyBorder="1" applyAlignment="1">
      <alignment horizontal="center" vertical="center"/>
    </xf>
    <xf numFmtId="0" fontId="6" fillId="0" borderId="161" xfId="5" applyFont="1" applyBorder="1" applyAlignment="1">
      <alignment horizontal="center" vertical="center"/>
    </xf>
    <xf numFmtId="0" fontId="6" fillId="0" borderId="103" xfId="5" applyFont="1" applyBorder="1" applyAlignment="1">
      <alignment horizontal="center" vertical="center"/>
    </xf>
    <xf numFmtId="0" fontId="4" fillId="19" borderId="123" xfId="5" applyFont="1" applyFill="1" applyBorder="1" applyAlignment="1">
      <alignment horizontal="center"/>
    </xf>
    <xf numFmtId="0" fontId="4" fillId="22" borderId="135" xfId="5" applyFont="1" applyFill="1" applyBorder="1" applyAlignment="1">
      <alignment horizontal="center" vertical="center"/>
    </xf>
    <xf numFmtId="0" fontId="4" fillId="24" borderId="120" xfId="5" applyFont="1" applyFill="1" applyBorder="1" applyAlignment="1">
      <alignment horizontal="center" vertical="center"/>
    </xf>
    <xf numFmtId="0" fontId="21" fillId="9" borderId="113" xfId="1" applyFont="1" applyFill="1" applyBorder="1" applyAlignment="1">
      <alignment horizontal="center"/>
    </xf>
    <xf numFmtId="0" fontId="21" fillId="9" borderId="88" xfId="1" applyFont="1" applyFill="1" applyBorder="1" applyAlignment="1">
      <alignment horizontal="center"/>
    </xf>
    <xf numFmtId="0" fontId="14" fillId="0" borderId="166" xfId="1" applyFont="1" applyBorder="1" applyAlignment="1">
      <alignment vertical="top"/>
    </xf>
    <xf numFmtId="0" fontId="14" fillId="0" borderId="167" xfId="1" applyFont="1" applyBorder="1" applyAlignment="1">
      <alignment vertical="top"/>
    </xf>
    <xf numFmtId="0" fontId="2" fillId="0" borderId="0" xfId="1" applyFont="1" applyAlignment="1">
      <alignment horizontal="center"/>
    </xf>
    <xf numFmtId="0" fontId="2" fillId="0" borderId="0" xfId="2" applyFont="1" applyAlignment="1">
      <alignment horizontal="center"/>
    </xf>
    <xf numFmtId="0" fontId="2" fillId="0" borderId="0" xfId="2" applyFont="1" applyAlignment="1">
      <alignment horizontal="left"/>
    </xf>
    <xf numFmtId="0" fontId="4" fillId="0" borderId="0" xfId="2" applyFont="1" applyAlignment="1">
      <alignment horizontal="left"/>
    </xf>
    <xf numFmtId="0" fontId="14" fillId="10" borderId="87" xfId="2" applyFont="1" applyFill="1" applyBorder="1" applyAlignment="1">
      <alignment horizontal="center" vertical="center"/>
    </xf>
    <xf numFmtId="0" fontId="14" fillId="12" borderId="87" xfId="2" applyFont="1" applyFill="1" applyBorder="1" applyAlignment="1">
      <alignment horizontal="center" vertical="center"/>
    </xf>
    <xf numFmtId="0" fontId="14" fillId="0" borderId="87" xfId="2" applyFont="1" applyBorder="1" applyAlignment="1">
      <alignment horizontal="center" vertical="center"/>
    </xf>
    <xf numFmtId="0" fontId="14" fillId="13" borderId="87" xfId="2" applyFont="1" applyFill="1" applyBorder="1" applyAlignment="1">
      <alignment horizontal="center" vertical="center"/>
    </xf>
    <xf numFmtId="0" fontId="14" fillId="14" borderId="170" xfId="2" applyFont="1" applyFill="1" applyBorder="1" applyAlignment="1">
      <alignment horizontal="center" vertical="center"/>
    </xf>
    <xf numFmtId="0" fontId="14" fillId="0" borderId="170" xfId="2" applyFont="1" applyBorder="1" applyAlignment="1">
      <alignment horizontal="center" vertical="center"/>
    </xf>
    <xf numFmtId="0" fontId="14" fillId="10" borderId="170" xfId="2" applyFont="1" applyFill="1" applyBorder="1" applyAlignment="1">
      <alignment horizontal="center" vertical="center"/>
    </xf>
    <xf numFmtId="0" fontId="14" fillId="12" borderId="170" xfId="2" applyFont="1" applyFill="1" applyBorder="1" applyAlignment="1">
      <alignment horizontal="center" vertical="center"/>
    </xf>
    <xf numFmtId="0" fontId="14" fillId="0" borderId="87" xfId="3" applyFont="1" applyBorder="1" applyAlignment="1">
      <alignment horizontal="center" vertical="center"/>
    </xf>
    <xf numFmtId="0" fontId="2" fillId="0" borderId="28" xfId="0" applyFont="1" applyBorder="1" applyAlignment="1">
      <alignment horizontal="center"/>
    </xf>
    <xf numFmtId="0" fontId="2" fillId="0" borderId="31" xfId="0" applyFont="1" applyBorder="1" applyAlignment="1">
      <alignment horizontal="center"/>
    </xf>
    <xf numFmtId="0" fontId="4" fillId="3" borderId="60" xfId="0" applyFont="1" applyFill="1" applyBorder="1" applyAlignment="1">
      <alignment horizontal="center"/>
    </xf>
    <xf numFmtId="0" fontId="4" fillId="3" borderId="57" xfId="0" applyFont="1" applyFill="1" applyBorder="1" applyAlignment="1">
      <alignment horizontal="center"/>
    </xf>
    <xf numFmtId="0" fontId="4" fillId="3" borderId="61" xfId="0" applyFont="1" applyFill="1" applyBorder="1" applyAlignment="1">
      <alignment horizontal="center"/>
    </xf>
    <xf numFmtId="0" fontId="4" fillId="3" borderId="58" xfId="0" applyFont="1" applyFill="1" applyBorder="1" applyAlignment="1">
      <alignment horizontal="center"/>
    </xf>
    <xf numFmtId="0" fontId="43" fillId="39" borderId="0" xfId="0" applyFont="1" applyFill="1" applyAlignment="1">
      <alignment horizontal="left" vertical="center"/>
    </xf>
    <xf numFmtId="0" fontId="44" fillId="40" borderId="0" xfId="0" applyFont="1" applyFill="1" applyAlignment="1">
      <alignment vertical="center" wrapText="1"/>
    </xf>
    <xf numFmtId="0" fontId="45" fillId="41" borderId="0" xfId="0" applyFont="1" applyFill="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3" fillId="47" borderId="227" xfId="0" applyFont="1" applyFill="1" applyBorder="1" applyAlignment="1">
      <alignment vertical="center" wrapText="1"/>
    </xf>
    <xf numFmtId="0" fontId="53" fillId="47" borderId="228" xfId="0" applyFont="1" applyFill="1" applyBorder="1" applyAlignment="1">
      <alignment vertical="center" wrapText="1"/>
    </xf>
    <xf numFmtId="0" fontId="53" fillId="0" borderId="224" xfId="0" applyFont="1" applyBorder="1" applyAlignment="1">
      <alignment vertical="center" wrapText="1"/>
    </xf>
    <xf numFmtId="0" fontId="53" fillId="0" borderId="0" xfId="0" applyFont="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4" fillId="46" borderId="0" xfId="0" applyFont="1" applyFill="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34" borderId="221" xfId="0" applyFont="1" applyFill="1" applyBorder="1" applyAlignment="1">
      <alignment vertical="center" wrapText="1"/>
    </xf>
    <xf numFmtId="0" fontId="53" fillId="34" borderId="222" xfId="0" applyFont="1" applyFill="1" applyBorder="1" applyAlignment="1">
      <alignment vertical="center" wrapText="1"/>
    </xf>
    <xf numFmtId="0" fontId="53" fillId="34" borderId="224" xfId="0" applyFont="1" applyFill="1" applyBorder="1" applyAlignment="1">
      <alignment vertical="center" wrapText="1"/>
    </xf>
    <xf numFmtId="0" fontId="53" fillId="34" borderId="0" xfId="0" applyFont="1" applyFill="1" applyAlignment="1">
      <alignment vertical="center" wrapText="1"/>
    </xf>
    <xf numFmtId="0" fontId="53" fillId="0" borderId="222" xfId="0" applyFont="1" applyBorder="1" applyAlignment="1">
      <alignment vertical="center" wrapText="1"/>
    </xf>
    <xf numFmtId="0" fontId="53" fillId="0" borderId="223" xfId="0" applyFont="1" applyBorder="1" applyAlignment="1">
      <alignment vertical="center" wrapText="1"/>
    </xf>
    <xf numFmtId="0" fontId="53" fillId="0" borderId="221" xfId="0" applyFont="1" applyBorder="1" applyAlignment="1">
      <alignment vertical="center" wrapText="1"/>
    </xf>
    <xf numFmtId="0" fontId="53" fillId="47" borderId="222" xfId="0" applyFont="1" applyFill="1" applyBorder="1" applyAlignment="1">
      <alignment vertical="center" wrapText="1"/>
    </xf>
    <xf numFmtId="0" fontId="53" fillId="47" borderId="223" xfId="0" applyFont="1" applyFill="1" applyBorder="1" applyAlignment="1">
      <alignment vertical="center" wrapText="1"/>
    </xf>
    <xf numFmtId="0" fontId="51" fillId="44" borderId="0" xfId="0" applyFont="1" applyFill="1" applyAlignment="1">
      <alignment horizontal="left" vertical="center" wrapText="1"/>
    </xf>
    <xf numFmtId="0" fontId="52" fillId="45" borderId="0" xfId="0" applyFont="1" applyFill="1" applyAlignment="1">
      <alignment vertical="center" wrapText="1"/>
    </xf>
    <xf numFmtId="0" fontId="53" fillId="47" borderId="219" xfId="0" applyFont="1" applyFill="1" applyBorder="1" applyAlignment="1">
      <alignment vertical="center" wrapText="1"/>
    </xf>
    <xf numFmtId="14" fontId="53" fillId="47" borderId="219" xfId="0" applyNumberFormat="1" applyFont="1" applyFill="1" applyBorder="1" applyAlignment="1">
      <alignment vertical="center" wrapText="1"/>
    </xf>
    <xf numFmtId="0" fontId="40" fillId="29" borderId="200" xfId="0" applyFont="1" applyFill="1" applyBorder="1" applyAlignment="1">
      <alignment horizontal="left" vertical="center" wrapText="1"/>
    </xf>
    <xf numFmtId="0" fontId="40" fillId="29" borderId="202" xfId="0" applyFont="1" applyFill="1" applyBorder="1" applyAlignment="1">
      <alignment horizontal="left" vertical="center" wrapText="1"/>
    </xf>
    <xf numFmtId="0" fontId="39" fillId="37" borderId="147" xfId="0" applyFont="1" applyFill="1" applyBorder="1" applyAlignment="1">
      <alignment horizontal="left" vertical="center" wrapText="1"/>
    </xf>
    <xf numFmtId="0" fontId="39" fillId="37" borderId="149" xfId="0" applyFont="1" applyFill="1" applyBorder="1" applyAlignment="1">
      <alignment horizontal="left" vertical="center" wrapText="1"/>
    </xf>
    <xf numFmtId="0" fontId="40" fillId="29" borderId="204" xfId="0" applyFont="1" applyFill="1" applyBorder="1" applyAlignment="1">
      <alignment horizontal="left" vertical="center" wrapText="1"/>
    </xf>
    <xf numFmtId="0" fontId="40" fillId="29" borderId="197" xfId="0" applyFont="1" applyFill="1" applyBorder="1" applyAlignment="1">
      <alignment horizontal="left" vertical="center" wrapText="1"/>
    </xf>
    <xf numFmtId="0" fontId="40" fillId="29" borderId="189"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9" xfId="0" applyFont="1" applyFill="1" applyBorder="1" applyAlignment="1">
      <alignment horizontal="left" vertical="center" wrapText="1"/>
    </xf>
    <xf numFmtId="0" fontId="39" fillId="38" borderId="147" xfId="0" applyFont="1" applyFill="1" applyBorder="1" applyAlignment="1">
      <alignment horizontal="left" vertical="center" wrapText="1"/>
    </xf>
    <xf numFmtId="0" fontId="39" fillId="38" borderId="149" xfId="0" applyFont="1" applyFill="1" applyBorder="1" applyAlignment="1">
      <alignment horizontal="left" vertical="center" wrapText="1"/>
    </xf>
    <xf numFmtId="0" fontId="39" fillId="38" borderId="182" xfId="0" applyFont="1" applyFill="1" applyBorder="1" applyAlignment="1">
      <alignment horizontal="left" vertical="center" wrapText="1"/>
    </xf>
    <xf numFmtId="0" fontId="40" fillId="29" borderId="201" xfId="0" applyFont="1" applyFill="1" applyBorder="1" applyAlignment="1">
      <alignment horizontal="left" vertical="center" wrapText="1"/>
    </xf>
    <xf numFmtId="0" fontId="40" fillId="29" borderId="205" xfId="0" applyFont="1" applyFill="1" applyBorder="1" applyAlignment="1">
      <alignment horizontal="left" vertical="center" wrapText="1"/>
    </xf>
    <xf numFmtId="0" fontId="40" fillId="29" borderId="206" xfId="0" applyFont="1" applyFill="1" applyBorder="1" applyAlignment="1">
      <alignment horizontal="left" vertical="center" wrapText="1"/>
    </xf>
    <xf numFmtId="0" fontId="40" fillId="35" borderId="127" xfId="0" applyFont="1" applyFill="1" applyBorder="1" applyAlignment="1">
      <alignment horizontal="left" vertical="center" wrapText="1"/>
    </xf>
    <xf numFmtId="0" fontId="40" fillId="35" borderId="191" xfId="0" applyFont="1" applyFill="1" applyBorder="1" applyAlignment="1">
      <alignment horizontal="left" vertical="center" wrapText="1"/>
    </xf>
    <xf numFmtId="0" fontId="39" fillId="36" borderId="193" xfId="0" applyFont="1" applyFill="1" applyBorder="1" applyAlignment="1">
      <alignment horizontal="left" vertical="center" wrapText="1"/>
    </xf>
    <xf numFmtId="0" fontId="39" fillId="36" borderId="149" xfId="0" applyFont="1" applyFill="1" applyBorder="1" applyAlignment="1">
      <alignment horizontal="left" vertical="center" wrapText="1"/>
    </xf>
    <xf numFmtId="0" fontId="39" fillId="36" borderId="182" xfId="0" applyFont="1" applyFill="1" applyBorder="1" applyAlignment="1">
      <alignment horizontal="left" vertical="center" wrapText="1"/>
    </xf>
    <xf numFmtId="0" fontId="40" fillId="29" borderId="194" xfId="0" applyFont="1" applyFill="1" applyBorder="1" applyAlignment="1">
      <alignment horizontal="left" vertical="center" wrapText="1"/>
    </xf>
    <xf numFmtId="0" fontId="40" fillId="29" borderId="195"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57" fillId="29" borderId="202" xfId="0" applyFont="1" applyFill="1" applyBorder="1" applyAlignment="1">
      <alignment horizontal="left" vertical="center" wrapText="1"/>
    </xf>
    <xf numFmtId="0" fontId="57" fillId="29" borderId="189" xfId="0" applyFont="1" applyFill="1" applyBorder="1" applyAlignment="1">
      <alignment horizontal="left" vertical="center" wrapText="1"/>
    </xf>
    <xf numFmtId="0" fontId="57" fillId="29" borderId="198" xfId="0" applyFont="1" applyFill="1" applyBorder="1" applyAlignment="1">
      <alignment horizontal="left" vertical="center" wrapText="1"/>
    </xf>
    <xf numFmtId="0" fontId="57" fillId="29" borderId="206" xfId="0" applyFont="1" applyFill="1" applyBorder="1" applyAlignment="1">
      <alignment horizontal="left" vertical="center" wrapText="1"/>
    </xf>
    <xf numFmtId="0" fontId="57" fillId="29" borderId="195" xfId="0" applyFont="1" applyFill="1" applyBorder="1" applyAlignment="1">
      <alignment horizontal="left" vertical="center" wrapText="1"/>
    </xf>
    <xf numFmtId="0" fontId="58" fillId="29" borderId="200" xfId="0" applyFont="1" applyFill="1" applyBorder="1" applyAlignment="1">
      <alignment horizontal="left" vertical="center" wrapText="1"/>
    </xf>
    <xf numFmtId="0" fontId="58" fillId="29" borderId="202" xfId="0" applyFont="1" applyFill="1" applyBorder="1" applyAlignment="1">
      <alignment horizontal="left" vertical="center" wrapText="1"/>
    </xf>
    <xf numFmtId="0" fontId="15" fillId="0" borderId="114" xfId="1" applyFont="1" applyBorder="1" applyAlignment="1"/>
    <xf numFmtId="0" fontId="15" fillId="0" borderId="89" xfId="1" applyFont="1" applyBorder="1" applyAlignment="1"/>
    <xf numFmtId="0" fontId="15" fillId="0" borderId="110" xfId="1" applyFont="1" applyBorder="1" applyAlignment="1"/>
    <xf numFmtId="0" fontId="15" fillId="0" borderId="166" xfId="1" applyFont="1" applyBorder="1" applyAlignment="1"/>
    <xf numFmtId="0" fontId="15" fillId="0" borderId="20" xfId="1" applyFont="1" applyBorder="1" applyAlignment="1"/>
    <xf numFmtId="0" fontId="15" fillId="0" borderId="169" xfId="1" applyFont="1" applyBorder="1" applyAlignment="1"/>
    <xf numFmtId="0" fontId="15" fillId="0" borderId="89" xfId="5" applyFont="1" applyBorder="1" applyAlignment="1"/>
    <xf numFmtId="0" fontId="15" fillId="0" borderId="114" xfId="5" applyFont="1" applyBorder="1" applyAlignment="1"/>
    <xf numFmtId="0" fontId="15" fillId="0" borderId="123" xfId="5" applyFont="1" applyBorder="1" applyAlignment="1"/>
    <xf numFmtId="0" fontId="15" fillId="0" borderId="110" xfId="5" applyFont="1" applyBorder="1" applyAlignment="1"/>
    <xf numFmtId="0" fontId="15" fillId="0" borderId="135" xfId="5" applyFont="1" applyBorder="1" applyAlignment="1"/>
    <xf numFmtId="0" fontId="15" fillId="0" borderId="121" xfId="5" applyFont="1" applyBorder="1" applyAlignment="1"/>
    <xf numFmtId="0" fontId="15" fillId="0" borderId="18" xfId="5" applyFont="1" applyBorder="1" applyAlignment="1"/>
    <xf numFmtId="0" fontId="15" fillId="0" borderId="159" xfId="5" applyFont="1" applyBorder="1" applyAlignment="1"/>
    <xf numFmtId="0" fontId="15" fillId="0" borderId="16" xfId="5" applyFont="1" applyBorder="1" applyAlignment="1"/>
    <xf numFmtId="0" fontId="15" fillId="0" borderId="107" xfId="5" applyFont="1" applyBorder="1" applyAlignment="1"/>
    <xf numFmtId="0" fontId="15" fillId="0" borderId="104" xfId="5" applyFont="1" applyBorder="1" applyAlignment="1"/>
    <xf numFmtId="0" fontId="15" fillId="0" borderId="25" xfId="5" applyFont="1" applyBorder="1" applyAlignment="1"/>
    <xf numFmtId="0" fontId="15" fillId="0" borderId="105" xfId="5" applyFont="1" applyBorder="1" applyAlignment="1"/>
    <xf numFmtId="0" fontId="15" fillId="0" borderId="122" xfId="5" applyFont="1" applyBorder="1" applyAlignment="1"/>
    <xf numFmtId="0" fontId="13" fillId="32" borderId="69" xfId="5" applyFont="1" applyFill="1" applyBorder="1" applyAlignment="1">
      <alignment horizontal="center" vertical="center" wrapText="1"/>
    </xf>
    <xf numFmtId="0" fontId="13" fillId="32" borderId="99" xfId="5" applyFont="1" applyFill="1" applyBorder="1" applyAlignment="1">
      <alignment horizontal="center" vertical="center" wrapText="1"/>
    </xf>
    <xf numFmtId="0" fontId="6" fillId="0" borderId="77" xfId="5" applyFont="1" applyBorder="1" applyAlignment="1">
      <alignment vertical="top" wrapText="1"/>
    </xf>
    <xf numFmtId="0" fontId="6" fillId="0" borderId="91" xfId="5" applyFont="1" applyBorder="1" applyAlignment="1">
      <alignment vertical="top" wrapText="1"/>
    </xf>
    <xf numFmtId="0" fontId="6" fillId="32" borderId="90" xfId="5" applyFont="1" applyFill="1" applyBorder="1" applyAlignment="1">
      <alignment vertical="top" wrapText="1"/>
    </xf>
    <xf numFmtId="0" fontId="6" fillId="0" borderId="80" xfId="5" applyFont="1" applyBorder="1" applyAlignment="1">
      <alignment vertical="top" wrapText="1"/>
    </xf>
    <xf numFmtId="0" fontId="15" fillId="0" borderId="110" xfId="2" applyFont="1" applyBorder="1" applyAlignment="1"/>
    <xf numFmtId="0" fontId="15" fillId="0" borderId="10" xfId="2" applyFont="1" applyBorder="1" applyAlignment="1"/>
    <xf numFmtId="0" fontId="15" fillId="0" borderId="111" xfId="2" applyFont="1" applyBorder="1" applyAlignment="1"/>
    <xf numFmtId="0" fontId="15" fillId="0" borderId="15" xfId="2" applyFont="1" applyBorder="1" applyAlignment="1"/>
    <xf numFmtId="0" fontId="15" fillId="0" borderId="112" xfId="2" applyFont="1" applyBorder="1" applyAlignment="1"/>
    <xf numFmtId="0" fontId="15" fillId="0" borderId="123" xfId="2" applyFont="1" applyBorder="1" applyAlignment="1"/>
    <xf numFmtId="0" fontId="2" fillId="0" borderId="0" xfId="2" applyFont="1" applyAlignment="1"/>
    <xf numFmtId="0" fontId="15" fillId="0" borderId="62" xfId="2" applyFont="1" applyBorder="1" applyAlignment="1"/>
    <xf numFmtId="0" fontId="15" fillId="0" borderId="27" xfId="2" applyFont="1" applyBorder="1" applyAlignment="1"/>
    <xf numFmtId="0" fontId="15" fillId="0" borderId="4" xfId="2" applyFont="1" applyBorder="1" applyAlignment="1"/>
    <xf numFmtId="0" fontId="15" fillId="0" borderId="80" xfId="2" applyFont="1" applyBorder="1" applyAlignment="1"/>
    <xf numFmtId="0" fontId="15" fillId="0" borderId="171" xfId="2" applyFont="1" applyBorder="1" applyAlignment="1"/>
    <xf numFmtId="0" fontId="15" fillId="0" borderId="146" xfId="2" applyFont="1" applyBorder="1" applyAlignment="1"/>
    <xf numFmtId="0" fontId="24" fillId="0" borderId="110" xfId="3" applyFont="1" applyBorder="1" applyAlignment="1"/>
    <xf numFmtId="0" fontId="24" fillId="0" borderId="10" xfId="3" applyFont="1" applyBorder="1" applyAlignment="1"/>
    <xf numFmtId="0" fontId="24" fillId="0" borderId="111" xfId="3" applyFont="1" applyBorder="1" applyAlignment="1"/>
    <xf numFmtId="0" fontId="24" fillId="0" borderId="15" xfId="3" applyFont="1" applyBorder="1" applyAlignment="1"/>
    <xf numFmtId="0" fontId="24" fillId="0" borderId="112" xfId="3" applyFont="1" applyBorder="1" applyAlignment="1"/>
    <xf numFmtId="0" fontId="4" fillId="0" borderId="48" xfId="0" applyFont="1" applyBorder="1" applyAlignment="1"/>
    <xf numFmtId="0" fontId="4" fillId="0" borderId="40" xfId="0" applyFont="1" applyBorder="1" applyAlignment="1"/>
    <xf numFmtId="0" fontId="4" fillId="0" borderId="11" xfId="0" applyFont="1" applyBorder="1" applyAlignment="1"/>
    <xf numFmtId="0" fontId="4" fillId="0" borderId="23" xfId="0" applyFont="1" applyBorder="1" applyAlignment="1"/>
    <xf numFmtId="0" fontId="2" fillId="0" borderId="29" xfId="0" applyFont="1" applyBorder="1" applyAlignment="1"/>
    <xf numFmtId="0" fontId="2" fillId="0" borderId="30" xfId="0" applyFont="1" applyBorder="1" applyAlignment="1"/>
    <xf numFmtId="0" fontId="2" fillId="0" borderId="6" xfId="0" applyFont="1" applyBorder="1" applyAlignment="1"/>
    <xf numFmtId="0" fontId="2" fillId="0" borderId="50" xfId="0" applyFont="1" applyBorder="1" applyAlignment="1"/>
    <xf numFmtId="0" fontId="2" fillId="0" borderId="67" xfId="0" applyFont="1" applyBorder="1" applyAlignment="1"/>
    <xf numFmtId="0" fontId="2" fillId="0" borderId="70" xfId="0" applyFont="1" applyBorder="1" applyAlignment="1"/>
    <xf numFmtId="0" fontId="2" fillId="0" borderId="31" xfId="0" applyFont="1" applyBorder="1" applyAlignment="1"/>
    <xf numFmtId="0" fontId="2" fillId="0" borderId="32" xfId="0" applyFont="1" applyBorder="1" applyAlignment="1"/>
    <xf numFmtId="0" fontId="2" fillId="0" borderId="7" xfId="0" applyFont="1" applyBorder="1" applyAlignment="1"/>
    <xf numFmtId="0" fontId="2" fillId="0" borderId="51" xfId="0" applyFont="1" applyBorder="1" applyAlignment="1"/>
    <xf numFmtId="0" fontId="2" fillId="0" borderId="69" xfId="0" applyFont="1" applyBorder="1" applyAlignment="1"/>
    <xf numFmtId="0" fontId="2" fillId="0" borderId="12" xfId="0" applyFont="1" applyBorder="1" applyAlignment="1"/>
    <xf numFmtId="0" fontId="2" fillId="0" borderId="34" xfId="0" applyFont="1" applyBorder="1" applyAlignment="1"/>
    <xf numFmtId="0" fontId="2" fillId="0" borderId="45" xfId="0" applyFont="1" applyBorder="1" applyAlignment="1"/>
    <xf numFmtId="0" fontId="2" fillId="0" borderId="52" xfId="0" applyFont="1" applyBorder="1" applyAlignment="1"/>
    <xf numFmtId="0" fontId="2" fillId="0" borderId="46" xfId="0" applyFont="1" applyBorder="1" applyAlignment="1"/>
    <xf numFmtId="0" fontId="2" fillId="0" borderId="53" xfId="0" applyFont="1" applyBorder="1" applyAlignment="1"/>
    <xf numFmtId="0" fontId="2" fillId="0" borderId="68" xfId="0" applyFont="1" applyBorder="1" applyAlignment="1"/>
    <xf numFmtId="0" fontId="2" fillId="0" borderId="44" xfId="0" applyFont="1" applyBorder="1" applyAlignment="1"/>
    <xf numFmtId="0" fontId="6" fillId="0" borderId="38" xfId="0" applyFont="1" applyBorder="1" applyAlignment="1"/>
    <xf numFmtId="0" fontId="6" fillId="0" borderId="36" xfId="0" applyFont="1" applyBorder="1" applyAlignment="1"/>
    <xf numFmtId="0" fontId="2" fillId="0" borderId="38" xfId="0" applyFont="1" applyBorder="1" applyAlignment="1"/>
    <xf numFmtId="0" fontId="2" fillId="0" borderId="36" xfId="0" applyFont="1" applyBorder="1" applyAlignment="1"/>
    <xf numFmtId="0" fontId="2" fillId="0" borderId="66" xfId="0" applyFont="1" applyBorder="1" applyAlignment="1"/>
    <xf numFmtId="0" fontId="2" fillId="0" borderId="28" xfId="0" applyFont="1" applyBorder="1" applyAlignment="1"/>
    <xf numFmtId="0" fontId="2" fillId="0" borderId="49" xfId="0" applyFont="1" applyBorder="1" applyAlignment="1"/>
    <xf numFmtId="0" fontId="0" fillId="0" borderId="0" xfId="0" applyAlignment="1"/>
  </cellXfs>
  <cellStyles count="8">
    <cellStyle name="Hyperlink" xfId="7" xr:uid="{00000000-000B-0000-0000-000008000000}"/>
    <cellStyle name="標準" xfId="0" builtinId="0"/>
    <cellStyle name="標準 2" xfId="1" xr:uid="{9735E2B0-323B-42CC-9719-63BC8024C930}"/>
    <cellStyle name="標準 3" xfId="2" xr:uid="{70B2B324-DE5B-4F52-B975-4DFCF0EC59C5}"/>
    <cellStyle name="標準 4" xfId="3" xr:uid="{A9E12868-5AB5-4F74-A483-6290FAD14E62}"/>
    <cellStyle name="標準 5" xfId="4" xr:uid="{863B96CD-371E-46A8-978F-8DE68F898A8B}"/>
    <cellStyle name="標準 6" xfId="5" xr:uid="{8F05C9BE-98F4-464B-A326-F59DB946224D}"/>
    <cellStyle name="標準 7" xfId="6" xr:uid="{EBF9A4F4-9BDE-491A-AE5A-DA95F0700B8F}"/>
  </cellStyles>
  <dxfs count="2">
    <dxf>
      <font>
        <color rgb="FF006100"/>
      </font>
      <fill>
        <patternFill>
          <bgColor rgb="FFC6EFCE"/>
        </patternFill>
      </fill>
    </dxf>
    <dxf>
      <font>
        <color theme="8" tint="-0.499984740745262"/>
      </font>
      <fill>
        <patternFill patternType="solid">
          <bgColor theme="8"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71</xdr:row>
      <xdr:rowOff>133350</xdr:rowOff>
    </xdr:from>
    <xdr:to>
      <xdr:col>6</xdr:col>
      <xdr:colOff>309426</xdr:colOff>
      <xdr:row>96</xdr:row>
      <xdr:rowOff>123825</xdr:rowOff>
    </xdr:to>
    <xdr:pic>
      <xdr:nvPicPr>
        <xdr:cNvPr id="2" name="図 1">
          <a:extLst>
            <a:ext uri="{FF2B5EF4-FFF2-40B4-BE49-F238E27FC236}">
              <a16:creationId xmlns:a16="http://schemas.microsoft.com/office/drawing/2014/main" id="{0A539FC6-CB2E-4D1C-9C22-AC12AB24A0F9}"/>
            </a:ext>
          </a:extLst>
        </xdr:cNvPr>
        <xdr:cNvPicPr>
          <a:picLocks noChangeAspect="1"/>
        </xdr:cNvPicPr>
      </xdr:nvPicPr>
      <xdr:blipFill>
        <a:blip xmlns:r="http://schemas.openxmlformats.org/officeDocument/2006/relationships" r:embed="rId1"/>
        <a:stretch>
          <a:fillRect/>
        </a:stretch>
      </xdr:blipFill>
      <xdr:spPr>
        <a:xfrm>
          <a:off x="914400" y="13944600"/>
          <a:ext cx="8420100" cy="47529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CAF4C9-9287-46FC-84A4-B1A43D0EE3D5}" name="USLIMInterviewTable" displayName="USLIMInterviewTable" ref="A5:K64">
  <tableColumns count="11">
    <tableColumn id="1" xr3:uid="{DAB4B5DB-0104-4EC7-8443-E1504DFBBDDB}" name="質問No."/>
    <tableColumn id="2" xr3:uid="{526295A7-DAC3-4525-A372-411C6AC3597E}" name="大分類"/>
    <tableColumn id="3" xr3:uid="{BBD707B9-B442-4C97-88F9-FD15350603EE}" name="対象機能・論点"/>
    <tableColumn id="4" xr3:uid="{B8A62ED5-56C2-4C3B-9156-CE9EF66A745A}" name="質問内容"/>
    <tableColumn id="5" xr3:uid="{53C5CB95-39F5-40B0-8AE6-B9E8879BF593}" name="回答"/>
    <tableColumn id="6" xr3:uid="{B23ECD52-54CE-4700-A0C8-93741513C8AE}" name="回答者"/>
    <tableColumn id="7" xr3:uid="{475406DB-AD7C-4FC7-9A05-41884566C323}" name="実施状況"/>
    <tableColumn id="8" xr3:uid="{AC10F587-8348-430B-991A-8CE219E76EBA}" name="根拠資料"/>
    <tableColumn id="9" xr3:uid="{F9592B6A-C4EC-4F98-A0B2-59539D0775B9}" name="追加確認・不明点"/>
    <tableColumn id="10" xr3:uid="{8EF81EA0-C219-4C5C-9E49-FF2AE8D04925}" name="現行／将来"/>
    <tableColumn id="11" xr3:uid="{BFB44171-DECC-410F-AFE4-1FD060F5BA65}" name="Excel反映先"/>
  </tableColumns>
  <tableStyleInfo name="U-SLIM質問票-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0CA32-F68A-4C0A-A9AA-09A4D0EC04A5}" name="DXInterviewTable" displayName="DXInterviewTable" ref="A5:K62">
  <tableColumns count="11">
    <tableColumn id="1" xr3:uid="{B5AA7CC0-0455-420C-B515-FE07D4A7CFD2}" name="質問No."/>
    <tableColumn id="2" xr3:uid="{E51952DA-5423-4FF7-8EA3-0F21D30E38A9}" name="大分類"/>
    <tableColumn id="3" xr3:uid="{505F1727-F3BE-4FF0-8894-777DAB4ECB48}" name="対象機能・論点"/>
    <tableColumn id="4" xr3:uid="{BCFC8532-99FE-4EE1-B3D5-921C6C9E8E3D}" name="質問内容"/>
    <tableColumn id="5" xr3:uid="{515EFC15-328D-4C36-9913-FC4EF8A6492B}" name="回答"/>
    <tableColumn id="6" xr3:uid="{F7DD381B-CC49-458E-B6F5-19CAE2AD3034}" name="回答者"/>
    <tableColumn id="7" xr3:uid="{38A2C4EF-188D-45E5-88F4-DA537EDE8D57}" name="実施状況"/>
    <tableColumn id="8" xr3:uid="{BA272226-35DA-4B6C-9DD0-7B8E4F38282C}" name="根拠資料"/>
    <tableColumn id="9" xr3:uid="{31A2440D-05E5-45C1-A31B-04E4B6835595}" name="追加確認・不明点"/>
    <tableColumn id="10" xr3:uid="{7BC84C0B-385D-44F8-8E4B-47C619D59DA5}" name="現行／将来"/>
    <tableColumn id="11" xr3:uid="{4372C0D2-0AE1-4C9C-9F6C-B3E6957C7595}" name="Excel反映先"/>
  </tableColumns>
  <tableStyleInfo name="DX道場質問票-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yanyang_yao_za@toyotec-jp.com" TargetMode="External"/><Relationship Id="rId1" Type="http://schemas.openxmlformats.org/officeDocument/2006/relationships/hyperlink" Target="mailto:yanyang_yao_za@toyotec-jp.com"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hyperlink" Target="../../../../../../../../:p:/r/sites/TEC_U-SLIM879/_layouts/15/Doc.aspx?sourcedoc=%7BBDB80BBD-B5B1-4543-BCC7-C993E80570AE%7D&amp;file=%E3%83%87%E3%83%BC%E3%82%BF%E5%9F%BA%E7%9B%A4%E3%83%97%E3%83%AD%E3%83%80%E3%82%AF%E3%83%88%E5%93%81%E8%B3%AA%E3%82%A2%E3%83%83%E3%83%97%E3%83%87%E3%83%BC%E3%83%88_20260319.pptx&amp;action=edit&amp;mobileredirect=true" TargetMode="External"/><Relationship Id="rId1" Type="http://schemas.openxmlformats.org/officeDocument/2006/relationships/hyperlink" Target="https://marusugi0111-my.sharepoint.com/:p:/g/personal/m-nakashima_marusugi_com/IQDgIoSJlMDsRL5dq6K5tA5qAULNtXeqg-Mm5N_hi96NRP8?rtime=W_wGsJLN3kg"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proever.app/projects/9929cdc5-3270-413b-8857-231754974640/tickets/d8ba2cd3-f7d8-49d6-ae23-af26cef369b3" TargetMode="External"/><Relationship Id="rId18" Type="http://schemas.openxmlformats.org/officeDocument/2006/relationships/hyperlink" Target="https://proever.app/projects/9929cdc5-3270-413b-8857-231754974640/tickets/19c26424-3c36-4ce9-8a50-ef29fa0cd348" TargetMode="External"/><Relationship Id="rId26" Type="http://schemas.openxmlformats.org/officeDocument/2006/relationships/hyperlink" Target="https://proever.app/projects/9929cdc5-3270-413b-8857-231754974640/tickets/9665d8e2-6efc-40b1-b11c-d7a10b68db1d" TargetMode="External"/><Relationship Id="rId39" Type="http://schemas.openxmlformats.org/officeDocument/2006/relationships/hyperlink" Target="https://proever.app/projects/9929cdc5-3270-413b-8857-231754974640/tickets/b758c906-928f-4d1d-b98c-7e272f72de22" TargetMode="External"/><Relationship Id="rId21" Type="http://schemas.openxmlformats.org/officeDocument/2006/relationships/hyperlink" Target="https://proever.app/projects/9929cdc5-3270-413b-8857-231754974640/tickets/4fb12806-db63-4d56-8fb2-c724a99ed0e6" TargetMode="External"/><Relationship Id="rId34" Type="http://schemas.openxmlformats.org/officeDocument/2006/relationships/hyperlink" Target="https://proever.app/projects/9929cdc5-3270-413b-8857-231754974640/tickets/74ed1e84-a553-4898-94a6-132d9cb84407" TargetMode="External"/><Relationship Id="rId42" Type="http://schemas.openxmlformats.org/officeDocument/2006/relationships/hyperlink" Target="https://proever.app/projects/9929cdc5-3270-413b-8857-231754974640/tickets/c55506c6-fef5-4df1-8d6e-004a9189f281" TargetMode="External"/><Relationship Id="rId47" Type="http://schemas.openxmlformats.org/officeDocument/2006/relationships/hyperlink" Target="https://proever.app/projects/9929cdc5-3270-413b-8857-231754974640/tickets/aa64d232-4926-4a7f-93f9-e791cc9ea126" TargetMode="External"/><Relationship Id="rId50" Type="http://schemas.openxmlformats.org/officeDocument/2006/relationships/hyperlink" Target="https://proever.app/projects/9929cdc5-3270-413b-8857-231754974640/tickets/7b0825e5-ef6f-4d11-9c41-86367e053ea4" TargetMode="External"/><Relationship Id="rId55" Type="http://schemas.openxmlformats.org/officeDocument/2006/relationships/hyperlink" Target="https://proever.app/projects/9929cdc5-3270-413b-8857-231754974640/tickets/dd40491f-baee-4750-bffd-eafbf1386f67" TargetMode="External"/><Relationship Id="rId7" Type="http://schemas.openxmlformats.org/officeDocument/2006/relationships/hyperlink" Target="https://proever.app/projects/9929cdc5-3270-413b-8857-231754974640/tickets/7e61c135-0629-4b07-b4f4-29b0e9af4084" TargetMode="External"/><Relationship Id="rId2" Type="http://schemas.openxmlformats.org/officeDocument/2006/relationships/hyperlink" Target="https://proever.app/projects/9929cdc5-3270-413b-8857-231754974640/tickets/ecf39314-8947-453d-99d4-ab61bbfc9dd5" TargetMode="External"/><Relationship Id="rId16" Type="http://schemas.openxmlformats.org/officeDocument/2006/relationships/hyperlink" Target="https://proever.app/projects/9929cdc5-3270-413b-8857-231754974640/tickets/2344ee06-1217-495b-a0a5-10b4416268fe" TargetMode="External"/><Relationship Id="rId29" Type="http://schemas.openxmlformats.org/officeDocument/2006/relationships/hyperlink" Target="https://proever.app/projects/9929cdc5-3270-413b-8857-231754974640/tickets/1f90d8ed-892f-436c-8b51-5229eb39f516" TargetMode="External"/><Relationship Id="rId11" Type="http://schemas.openxmlformats.org/officeDocument/2006/relationships/hyperlink" Target="https://proever.app/projects/9929cdc5-3270-413b-8857-231754974640/tickets/5cb6edc2-7dab-4099-adc5-abd085112836" TargetMode="External"/><Relationship Id="rId24" Type="http://schemas.openxmlformats.org/officeDocument/2006/relationships/hyperlink" Target="https://proever.app/projects/9929cdc5-3270-413b-8857-231754974640/tickets/cff8ecf9-9326-4822-8bfe-cce5c1f451ed" TargetMode="External"/><Relationship Id="rId32" Type="http://schemas.openxmlformats.org/officeDocument/2006/relationships/hyperlink" Target="https://proever.app/projects/9929cdc5-3270-413b-8857-231754974640/tickets/9e08dfd3-83f8-4ae9-af66-795dbe687b32" TargetMode="External"/><Relationship Id="rId37" Type="http://schemas.openxmlformats.org/officeDocument/2006/relationships/hyperlink" Target="https://proever.app/projects/9929cdc5-3270-413b-8857-231754974640/tickets/2c0bb88d-fa2c-4173-b5d0-880630b8b788" TargetMode="External"/><Relationship Id="rId40" Type="http://schemas.openxmlformats.org/officeDocument/2006/relationships/hyperlink" Target="https://proever.app/projects/9929cdc5-3270-413b-8857-231754974640/tickets/6acc3ad5-eabb-4233-9ff5-5e21cd3f9bb1" TargetMode="External"/><Relationship Id="rId45" Type="http://schemas.openxmlformats.org/officeDocument/2006/relationships/hyperlink" Target="https://proever.app/projects/9929cdc5-3270-413b-8857-231754974640/tickets/d67065e0-1f40-4c53-a3c5-14cd51846bfc" TargetMode="External"/><Relationship Id="rId53" Type="http://schemas.openxmlformats.org/officeDocument/2006/relationships/hyperlink" Target="https://proever.app/projects/9929cdc5-3270-413b-8857-231754974640/tickets/2b76e00b-120c-49a4-baaf-0bf02d3ffed3" TargetMode="External"/><Relationship Id="rId58" Type="http://schemas.openxmlformats.org/officeDocument/2006/relationships/vmlDrawing" Target="../drawings/vmlDrawing3.vml"/><Relationship Id="rId5" Type="http://schemas.openxmlformats.org/officeDocument/2006/relationships/hyperlink" Target="https://proever.app/projects/9929cdc5-3270-413b-8857-231754974640/tickets/55450c92-5132-4763-bbbe-a719448c49fb" TargetMode="External"/><Relationship Id="rId19" Type="http://schemas.openxmlformats.org/officeDocument/2006/relationships/hyperlink" Target="https://proever.app/projects/9929cdc5-3270-413b-8857-231754974640/tickets/82cc5d9d-fe2d-44e7-ad1e-45da4bba464e" TargetMode="External"/><Relationship Id="rId4" Type="http://schemas.openxmlformats.org/officeDocument/2006/relationships/hyperlink" Target="https://proever.app/projects/9929cdc5-3270-413b-8857-231754974640/tickets/98bc87e5-f1c5-4d73-bfbb-7158371efb07" TargetMode="External"/><Relationship Id="rId9" Type="http://schemas.openxmlformats.org/officeDocument/2006/relationships/hyperlink" Target="https://proever.app/projects/9929cdc5-3270-413b-8857-231754974640/tickets/3cf9ac18-3781-47c8-9ed8-4b5d101be044" TargetMode="External"/><Relationship Id="rId14" Type="http://schemas.openxmlformats.org/officeDocument/2006/relationships/hyperlink" Target="https://proever.app/projects/9929cdc5-3270-413b-8857-231754974640/tickets/4b40e9b7-7729-418e-b27b-f588aff7a530" TargetMode="External"/><Relationship Id="rId22" Type="http://schemas.openxmlformats.org/officeDocument/2006/relationships/hyperlink" Target="https://proever.app/projects/9929cdc5-3270-413b-8857-231754974640/tickets/8d726834-e8b2-43dd-b2df-0a6568634590" TargetMode="External"/><Relationship Id="rId27" Type="http://schemas.openxmlformats.org/officeDocument/2006/relationships/hyperlink" Target="https://proever.app/projects/9929cdc5-3270-413b-8857-231754974640/tickets/a058aa61-d058-4a75-83de-2f2a54817029" TargetMode="External"/><Relationship Id="rId30" Type="http://schemas.openxmlformats.org/officeDocument/2006/relationships/hyperlink" Target="https://proever.app/projects/9929cdc5-3270-413b-8857-231754974640/tickets/bbfddb4c-9441-4f28-bcd5-90074990cb40" TargetMode="External"/><Relationship Id="rId35" Type="http://schemas.openxmlformats.org/officeDocument/2006/relationships/hyperlink" Target="https://proever.app/projects/9929cdc5-3270-413b-8857-231754974640/tickets/bae3c418-3398-4607-9022-b6fc20db03a5" TargetMode="External"/><Relationship Id="rId43" Type="http://schemas.openxmlformats.org/officeDocument/2006/relationships/hyperlink" Target="https://proever.app/projects/9929cdc5-3270-413b-8857-231754974640/tickets/01eef12d-47f2-46df-9577-5bc0c67b911f" TargetMode="External"/><Relationship Id="rId48" Type="http://schemas.openxmlformats.org/officeDocument/2006/relationships/hyperlink" Target="https://proever.app/projects/9929cdc5-3270-413b-8857-231754974640/tickets/46701bea-85ee-48e6-a906-aa38e29143d1" TargetMode="External"/><Relationship Id="rId56" Type="http://schemas.openxmlformats.org/officeDocument/2006/relationships/hyperlink" Target="https://proever.app/projects/9929cdc5-3270-413b-8857-231754974640/tickets/619ab3a3-30a9-4f1a-8aa0-e29a34d9b296" TargetMode="External"/><Relationship Id="rId8" Type="http://schemas.openxmlformats.org/officeDocument/2006/relationships/hyperlink" Target="https://proever.app/projects/9929cdc5-3270-413b-8857-231754974640/tickets/dc82e936-7dc4-42b8-a2e7-4016c306e680" TargetMode="External"/><Relationship Id="rId51" Type="http://schemas.openxmlformats.org/officeDocument/2006/relationships/hyperlink" Target="https://proever.app/projects/9929cdc5-3270-413b-8857-231754974640/tickets/f80de319-2536-45db-b072-deca4a9aaca6" TargetMode="External"/><Relationship Id="rId3" Type="http://schemas.openxmlformats.org/officeDocument/2006/relationships/hyperlink" Target="https://proever.app/projects/9929cdc5-3270-413b-8857-231754974640/tickets/23203723-db48-4fdc-9954-488960643b78" TargetMode="External"/><Relationship Id="rId12" Type="http://schemas.openxmlformats.org/officeDocument/2006/relationships/hyperlink" Target="https://proever.app/projects/9929cdc5-3270-413b-8857-231754974640/tickets/55bb6106-0bdc-4968-b80e-eaf006ffbcee" TargetMode="External"/><Relationship Id="rId17" Type="http://schemas.openxmlformats.org/officeDocument/2006/relationships/hyperlink" Target="https://proever.app/projects/9929cdc5-3270-413b-8857-231754974640/tickets/795f6e1e-2f5a-46fa-b1f8-2759930b16b3" TargetMode="External"/><Relationship Id="rId25" Type="http://schemas.openxmlformats.org/officeDocument/2006/relationships/hyperlink" Target="https://proever.app/projects/9929cdc5-3270-413b-8857-231754974640/tickets/144b5712-c6b1-4703-9fa8-8d065bf77f08" TargetMode="External"/><Relationship Id="rId33" Type="http://schemas.openxmlformats.org/officeDocument/2006/relationships/hyperlink" Target="https://proever.app/projects/9929cdc5-3270-413b-8857-231754974640/tickets/f919d539-f43a-4b88-a25b-51bb9be37ce3" TargetMode="External"/><Relationship Id="rId38" Type="http://schemas.openxmlformats.org/officeDocument/2006/relationships/hyperlink" Target="https://proever.app/projects/9929cdc5-3270-413b-8857-231754974640/tickets/2551b401-e860-4379-bc3f-2b01a8f346b7" TargetMode="External"/><Relationship Id="rId46" Type="http://schemas.openxmlformats.org/officeDocument/2006/relationships/hyperlink" Target="https://proever.app/projects/9929cdc5-3270-413b-8857-231754974640/tickets/13b4a677-53fb-4c3a-9a28-571364cce558" TargetMode="External"/><Relationship Id="rId59" Type="http://schemas.openxmlformats.org/officeDocument/2006/relationships/comments" Target="../comments3.xml"/><Relationship Id="rId20" Type="http://schemas.openxmlformats.org/officeDocument/2006/relationships/hyperlink" Target="https://proever.app/projects/9929cdc5-3270-413b-8857-231754974640/tickets/4cfaae67-3a97-46fb-8888-41a26a20fab4" TargetMode="External"/><Relationship Id="rId41" Type="http://schemas.openxmlformats.org/officeDocument/2006/relationships/hyperlink" Target="https://proever.app/projects/9929cdc5-3270-413b-8857-231754974640/tickets/55f43a58-5531-49fb-9337-f441caf2ba44" TargetMode="External"/><Relationship Id="rId54" Type="http://schemas.openxmlformats.org/officeDocument/2006/relationships/hyperlink" Target="https://proever.app/projects/9929cdc5-3270-413b-8857-231754974640/tickets/902d7d2b-6a3a-4b30-903a-7f7de8810c42" TargetMode="External"/><Relationship Id="rId1" Type="http://schemas.openxmlformats.org/officeDocument/2006/relationships/hyperlink" Target="https://proever.app/projects/9929cdc5-3270-413b-8857-231754974640/tickets/e2b2bd20-ca7b-4441-82bd-f8e2c2fabddd" TargetMode="External"/><Relationship Id="rId6" Type="http://schemas.openxmlformats.org/officeDocument/2006/relationships/hyperlink" Target="https://proever.app/projects/9929cdc5-3270-413b-8857-231754974640/tickets/3fa38df7-a96c-4a8f-8200-6634226b889f" TargetMode="External"/><Relationship Id="rId15" Type="http://schemas.openxmlformats.org/officeDocument/2006/relationships/hyperlink" Target="https://proever.app/projects/9929cdc5-3270-413b-8857-231754974640/tickets/80ba6253-8cb6-46cc-a1f7-168281a48862" TargetMode="External"/><Relationship Id="rId23" Type="http://schemas.openxmlformats.org/officeDocument/2006/relationships/hyperlink" Target="https://proever.app/projects/9929cdc5-3270-413b-8857-231754974640/tickets/f99f47a6-65ea-43d1-9a26-432b3cf7da51" TargetMode="External"/><Relationship Id="rId28" Type="http://schemas.openxmlformats.org/officeDocument/2006/relationships/hyperlink" Target="https://proever.app/projects/9929cdc5-3270-413b-8857-231754974640/tickets/ab61de74-a8fd-48cb-86cd-161436a06aa1" TargetMode="External"/><Relationship Id="rId36" Type="http://schemas.openxmlformats.org/officeDocument/2006/relationships/hyperlink" Target="https://proever.app/projects/9929cdc5-3270-413b-8857-231754974640/tickets/4c422cc3-d16d-4f61-85df-3056eacf4864" TargetMode="External"/><Relationship Id="rId49" Type="http://schemas.openxmlformats.org/officeDocument/2006/relationships/hyperlink" Target="https://proever.app/projects/9929cdc5-3270-413b-8857-231754974640/tickets/adafa657-9e51-4dad-9297-c4a353c33433" TargetMode="External"/><Relationship Id="rId57" Type="http://schemas.openxmlformats.org/officeDocument/2006/relationships/drawing" Target="../drawings/drawing1.xml"/><Relationship Id="rId10" Type="http://schemas.openxmlformats.org/officeDocument/2006/relationships/hyperlink" Target="https://proever.app/projects/9929cdc5-3270-413b-8857-231754974640/tickets/3ddb836e-cd6c-4fd5-b53b-80b3a68e1892" TargetMode="External"/><Relationship Id="rId31" Type="http://schemas.openxmlformats.org/officeDocument/2006/relationships/hyperlink" Target="https://proever.app/projects/9929cdc5-3270-413b-8857-231754974640/tickets/f010170c-a045-4b46-b80a-fbbd8fe4ae51" TargetMode="External"/><Relationship Id="rId44" Type="http://schemas.openxmlformats.org/officeDocument/2006/relationships/hyperlink" Target="https://proever.app/projects/9929cdc5-3270-413b-8857-231754974640/tickets/46ec832d-3e64-48f3-be6f-9e44b5f80bc1" TargetMode="External"/><Relationship Id="rId52" Type="http://schemas.openxmlformats.org/officeDocument/2006/relationships/hyperlink" Target="https://proever.app/projects/9929cdc5-3270-413b-8857-231754974640/tickets/a51ba04b-5d10-484e-acdd-6736cf706fef" TargetMode="External"/></Relationships>
</file>

<file path=xl/worksheets/_rels/sheet14.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7" Type="http://schemas.openxmlformats.org/officeDocument/2006/relationships/hyperlink" Target="https://tatgroup.sharepoint.com/:x:/s/TEC_U-SLIM879/IQC5j8GHNqQARIznp9j16hPiASLSPL365SztodBHLw9y_OU?e=tfZ6po" TargetMode="External"/><Relationship Id="rId2" Type="http://schemas.openxmlformats.org/officeDocument/2006/relationships/hyperlink" Target="../../../../../../../../:f:/s/TEC_U-SLIM879/IgAV4DCPNNbITpyONL-CtkvyAblGOW5CiBusXoi60A-MeVQ?e=7cPy3K%0a03_WEB&#21270;&#23550;&#24540;%0a07_&#36009;&#22770;&#24215;&#12539;&#32076;&#21942;&#23652;&#21521;&#12369;PBI&#12539;WEB%0a06_&#23455;&#32318;&#12480;&#12483;&#12471;&#12517;&#12508;&#12540;&#12489;" TargetMode="External"/><Relationship Id="rId1" Type="http://schemas.openxmlformats.org/officeDocument/2006/relationships/hyperlink" Target="../../../../../../../../../../../:p:/s/TEC_U-SLIM879/IQBpHyVY05CWS7K7H6rDTSRYAZIVoKi-kFtuCoMtZ5YdTpI?e=3r0WCc" TargetMode="External"/><Relationship Id="rId6" Type="http://schemas.openxmlformats.org/officeDocument/2006/relationships/hyperlink" Target="https://tatgroup.sharepoint.com/:x:/s/TEC_U-SLIM879/IQC5j8GHNqQARIznp9j16hPiASLSPL365SztodBHLw9y_OU?e=tfZ6po" TargetMode="External"/><Relationship Id="rId5"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4"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3EC-C7CA-495A-AA84-C05DB0213215}">
  <dimension ref="B2:G13"/>
  <sheetViews>
    <sheetView showGridLines="0" workbookViewId="0">
      <selection activeCell="B3" sqref="B3"/>
    </sheetView>
  </sheetViews>
  <sheetFormatPr defaultColWidth="9" defaultRowHeight="16.899999999999999"/>
  <cols>
    <col min="1" max="1" width="5.875" style="2" customWidth="1"/>
    <col min="2" max="2" width="9" style="2"/>
    <col min="3" max="3" width="12.625" style="2" customWidth="1"/>
    <col min="4" max="4" width="49.875" style="2" customWidth="1"/>
    <col min="5" max="6" width="9" style="2"/>
    <col min="7" max="7" width="47.75" style="2" customWidth="1"/>
    <col min="8" max="9" width="9" style="2"/>
    <col min="10" max="10" width="13.125" style="2" customWidth="1"/>
    <col min="11" max="11" width="35.375" style="2" customWidth="1"/>
    <col min="12" max="12" width="40.75" style="2" customWidth="1"/>
    <col min="13" max="13" width="14.125" style="2" customWidth="1"/>
    <col min="14" max="14" width="14.5" style="2" customWidth="1"/>
    <col min="15" max="16384" width="9" style="2"/>
  </cols>
  <sheetData>
    <row r="2" spans="2:7" ht="27">
      <c r="B2" s="101" t="s">
        <v>0</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34.44999999999999">
      <c r="B6" s="22" t="s">
        <v>8</v>
      </c>
      <c r="C6" s="19" t="s">
        <v>9</v>
      </c>
      <c r="D6" s="12" t="s">
        <v>10</v>
      </c>
      <c r="E6" s="11"/>
      <c r="F6" s="15" t="s">
        <v>11</v>
      </c>
      <c r="G6" s="12" t="s">
        <v>12</v>
      </c>
    </row>
    <row r="7" spans="2:7" ht="67.150000000000006">
      <c r="B7" s="23" t="s">
        <v>13</v>
      </c>
      <c r="C7" s="18" t="s">
        <v>14</v>
      </c>
      <c r="D7" s="13" t="s">
        <v>15</v>
      </c>
      <c r="E7" s="11"/>
      <c r="F7" s="16" t="s">
        <v>16</v>
      </c>
      <c r="G7" s="13" t="s">
        <v>17</v>
      </c>
    </row>
    <row r="8" spans="2:7" ht="67.150000000000006">
      <c r="B8" s="24" t="s">
        <v>18</v>
      </c>
      <c r="C8" s="20" t="s">
        <v>19</v>
      </c>
      <c r="D8" s="14" t="s">
        <v>20</v>
      </c>
      <c r="E8" s="11"/>
      <c r="F8" s="16" t="s">
        <v>21</v>
      </c>
      <c r="G8" s="13" t="s">
        <v>22</v>
      </c>
    </row>
    <row r="9" spans="2:7" ht="100.9">
      <c r="B9" s="11"/>
      <c r="C9" s="11"/>
      <c r="D9" s="11"/>
      <c r="E9" s="11"/>
      <c r="F9" s="17" t="s">
        <v>23</v>
      </c>
      <c r="G9" s="14" t="s">
        <v>24</v>
      </c>
    </row>
    <row r="11" spans="2:7" ht="20.45">
      <c r="B11" s="10" t="s">
        <v>25</v>
      </c>
    </row>
    <row r="12" spans="2:7">
      <c r="B12" s="2" t="s">
        <v>26</v>
      </c>
    </row>
    <row r="13" spans="2:7">
      <c r="B13" s="2" t="s">
        <v>27</v>
      </c>
    </row>
  </sheetData>
  <phoneticPr fontId="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A089-138B-4479-B6E3-8C8A72F42821}">
  <dimension ref="B2:G11"/>
  <sheetViews>
    <sheetView showGridLines="0" workbookViewId="0">
      <selection activeCell="D9" sqref="D9"/>
    </sheetView>
  </sheetViews>
  <sheetFormatPr defaultColWidth="9" defaultRowHeight="16.899999999999999"/>
  <cols>
    <col min="1" max="1" width="5.875" style="2" customWidth="1"/>
    <col min="2" max="2" width="9" style="2"/>
    <col min="3" max="3" width="12.625" style="2" customWidth="1"/>
    <col min="4" max="4" width="60.5" style="2" customWidth="1"/>
    <col min="5" max="6" width="9" style="2"/>
    <col min="7" max="7" width="47.75" style="2" customWidth="1"/>
    <col min="8" max="9" width="9" style="2"/>
    <col min="10" max="10" width="13.125" style="2" customWidth="1"/>
    <col min="11" max="11" width="35.375" style="2" customWidth="1"/>
    <col min="12" max="12" width="40.75" style="2" customWidth="1"/>
    <col min="13" max="13" width="14.125" style="2" customWidth="1"/>
    <col min="14" max="14" width="14.5" style="2" customWidth="1"/>
    <col min="15" max="16384" width="9" style="2"/>
  </cols>
  <sheetData>
    <row r="2" spans="2:7" ht="27">
      <c r="B2" s="101" t="s">
        <v>28</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03.5" customHeight="1">
      <c r="B6" s="22" t="s">
        <v>8</v>
      </c>
      <c r="C6" s="19" t="s">
        <v>9</v>
      </c>
      <c r="D6" s="12" t="s">
        <v>29</v>
      </c>
      <c r="E6" s="11"/>
      <c r="F6" s="15" t="s">
        <v>11</v>
      </c>
      <c r="G6" s="12" t="s">
        <v>30</v>
      </c>
    </row>
    <row r="7" spans="2:7" ht="134.44999999999999">
      <c r="B7" s="23" t="s">
        <v>13</v>
      </c>
      <c r="C7" s="18" t="s">
        <v>14</v>
      </c>
      <c r="D7" s="13" t="s">
        <v>31</v>
      </c>
      <c r="E7" s="11"/>
      <c r="F7" s="16" t="s">
        <v>16</v>
      </c>
      <c r="G7" s="13" t="s">
        <v>32</v>
      </c>
    </row>
    <row r="8" spans="2:7" ht="33.6">
      <c r="B8" s="24" t="s">
        <v>18</v>
      </c>
      <c r="C8" s="20" t="s">
        <v>19</v>
      </c>
      <c r="D8" s="14" t="s">
        <v>33</v>
      </c>
      <c r="E8" s="11"/>
      <c r="F8" s="16" t="s">
        <v>21</v>
      </c>
      <c r="G8" s="13" t="s">
        <v>34</v>
      </c>
    </row>
    <row r="9" spans="2:7" ht="100.9">
      <c r="B9" s="11"/>
      <c r="C9" s="11"/>
      <c r="D9" s="11"/>
      <c r="E9" s="11"/>
      <c r="F9" s="17" t="s">
        <v>23</v>
      </c>
      <c r="G9" s="14" t="s">
        <v>24</v>
      </c>
    </row>
    <row r="11" spans="2:7" ht="20.45">
      <c r="B11" s="10" t="s">
        <v>25</v>
      </c>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B656-A781-4EF2-A527-04ED72AA4DCB}">
  <sheetPr>
    <outlinePr summaryBelow="0" summaryRight="0"/>
  </sheetPr>
  <dimension ref="B2:K31"/>
  <sheetViews>
    <sheetView showGridLines="0" zoomScale="85" zoomScaleNormal="85" workbookViewId="0"/>
  </sheetViews>
  <sheetFormatPr defaultColWidth="9" defaultRowHeight="15" customHeight="1"/>
  <cols>
    <col min="1" max="1" width="10.75" style="435" customWidth="1"/>
    <col min="2" max="2" width="27.5" style="435" customWidth="1"/>
    <col min="3" max="3" width="18.125" style="435" customWidth="1"/>
    <col min="4" max="4" width="14.875" style="435" customWidth="1"/>
    <col min="5" max="5" width="12.375" style="435" customWidth="1"/>
    <col min="6" max="7" width="13.25" style="435" customWidth="1"/>
    <col min="8" max="8" width="12.625" style="435" customWidth="1"/>
    <col min="9" max="9" width="13.25" style="435" bestFit="1" customWidth="1"/>
    <col min="10" max="10" width="13.25" style="435" customWidth="1"/>
    <col min="11" max="11" width="8.75" style="435" customWidth="1"/>
    <col min="12" max="16384" width="9" style="435"/>
  </cols>
  <sheetData>
    <row r="2" spans="2:11" ht="30" thickBot="1">
      <c r="B2" s="434" t="s">
        <v>35</v>
      </c>
      <c r="K2" s="436" t="s">
        <v>36</v>
      </c>
    </row>
    <row r="3" spans="2:11" ht="19.149999999999999">
      <c r="B3" s="1073" t="s">
        <v>37</v>
      </c>
      <c r="C3" s="1154"/>
      <c r="D3" s="1074" t="s">
        <v>38</v>
      </c>
      <c r="E3" s="1155"/>
      <c r="F3" s="1155"/>
      <c r="G3" s="1155"/>
      <c r="H3" s="1156"/>
      <c r="K3" s="435" t="s">
        <v>39</v>
      </c>
    </row>
    <row r="4" spans="2:11" ht="19.899999999999999" thickBot="1">
      <c r="B4" s="437" t="s">
        <v>40</v>
      </c>
      <c r="C4" s="438" t="s">
        <v>41</v>
      </c>
      <c r="D4" s="439" t="s">
        <v>42</v>
      </c>
      <c r="E4" s="440" t="s">
        <v>43</v>
      </c>
      <c r="F4" s="440" t="s">
        <v>44</v>
      </c>
      <c r="G4" s="728" t="s">
        <v>45</v>
      </c>
      <c r="H4" s="441" t="s">
        <v>46</v>
      </c>
      <c r="K4" s="435" t="s">
        <v>47</v>
      </c>
    </row>
    <row r="5" spans="2:11" ht="19.899999999999999" thickTop="1">
      <c r="B5" s="1075" t="s">
        <v>48</v>
      </c>
      <c r="C5" s="713" t="s">
        <v>49</v>
      </c>
      <c r="D5" s="714">
        <v>0</v>
      </c>
      <c r="E5" s="715">
        <v>5</v>
      </c>
      <c r="F5" s="715">
        <v>9</v>
      </c>
      <c r="G5" s="729">
        <v>1</v>
      </c>
      <c r="H5" s="716" t="s">
        <v>50</v>
      </c>
      <c r="I5" s="435" t="s">
        <v>51</v>
      </c>
      <c r="K5" s="435" t="s">
        <v>52</v>
      </c>
    </row>
    <row r="6" spans="2:11" ht="19.149999999999999">
      <c r="B6" s="1157"/>
      <c r="C6" s="717" t="s">
        <v>53</v>
      </c>
      <c r="D6" s="718">
        <v>10</v>
      </c>
      <c r="E6" s="719">
        <v>3</v>
      </c>
      <c r="F6" s="719">
        <v>3</v>
      </c>
      <c r="G6" s="730">
        <v>2</v>
      </c>
      <c r="H6" s="737" t="s">
        <v>50</v>
      </c>
      <c r="I6" s="435" t="s">
        <v>51</v>
      </c>
      <c r="K6" s="435" t="s">
        <v>54</v>
      </c>
    </row>
    <row r="7" spans="2:11" ht="19.149999999999999">
      <c r="B7" s="1158"/>
      <c r="C7" s="442" t="s">
        <v>55</v>
      </c>
      <c r="D7" s="520" t="s">
        <v>50</v>
      </c>
      <c r="E7" s="521" t="s">
        <v>50</v>
      </c>
      <c r="F7" s="521" t="s">
        <v>50</v>
      </c>
      <c r="G7" s="731" t="s">
        <v>50</v>
      </c>
      <c r="H7" s="522" t="s">
        <v>50</v>
      </c>
      <c r="I7" s="435" t="s">
        <v>56</v>
      </c>
      <c r="K7" s="415" t="s">
        <v>57</v>
      </c>
    </row>
    <row r="8" spans="2:11" ht="19.149999999999999">
      <c r="B8" s="1076" t="s">
        <v>58</v>
      </c>
      <c r="C8" s="720" t="s">
        <v>59</v>
      </c>
      <c r="D8" s="721">
        <v>2</v>
      </c>
      <c r="E8" s="722" t="s">
        <v>50</v>
      </c>
      <c r="F8" s="722" t="s">
        <v>50</v>
      </c>
      <c r="G8" s="732" t="s">
        <v>50</v>
      </c>
      <c r="H8" s="723">
        <v>1</v>
      </c>
      <c r="I8" s="435" t="s">
        <v>51</v>
      </c>
    </row>
    <row r="9" spans="2:11" ht="19.149999999999999">
      <c r="B9" s="1157"/>
      <c r="C9" s="724" t="s">
        <v>60</v>
      </c>
      <c r="D9" s="725">
        <v>1</v>
      </c>
      <c r="E9" s="726" t="s">
        <v>50</v>
      </c>
      <c r="F9" s="726" t="s">
        <v>50</v>
      </c>
      <c r="G9" s="733">
        <v>1</v>
      </c>
      <c r="H9" s="727" t="s">
        <v>50</v>
      </c>
      <c r="I9" s="435" t="s">
        <v>51</v>
      </c>
    </row>
    <row r="10" spans="2:11" ht="19.149999999999999">
      <c r="B10" s="1157"/>
      <c r="C10" s="443" t="s">
        <v>61</v>
      </c>
      <c r="D10" s="523" t="s">
        <v>50</v>
      </c>
      <c r="E10" s="524" t="s">
        <v>50</v>
      </c>
      <c r="F10" s="524" t="s">
        <v>50</v>
      </c>
      <c r="G10" s="734" t="s">
        <v>50</v>
      </c>
      <c r="H10" s="525" t="s">
        <v>50</v>
      </c>
      <c r="I10" s="435" t="s">
        <v>56</v>
      </c>
    </row>
    <row r="11" spans="2:11" ht="19.149999999999999">
      <c r="B11" s="1157"/>
      <c r="C11" s="443"/>
      <c r="D11" s="444"/>
      <c r="E11" s="445"/>
      <c r="F11" s="445"/>
      <c r="G11" s="735"/>
      <c r="H11" s="446"/>
    </row>
    <row r="12" spans="2:11" ht="19.149999999999999">
      <c r="B12" s="1157"/>
      <c r="C12" s="443"/>
      <c r="D12" s="444"/>
      <c r="E12" s="445"/>
      <c r="F12" s="445"/>
      <c r="G12" s="735"/>
      <c r="H12" s="446"/>
    </row>
    <row r="13" spans="2:11" ht="19.149999999999999">
      <c r="B13" s="1157"/>
      <c r="C13" s="443"/>
      <c r="D13" s="444"/>
      <c r="E13" s="445"/>
      <c r="F13" s="445"/>
      <c r="G13" s="735"/>
      <c r="H13" s="446"/>
    </row>
    <row r="14" spans="2:11" ht="19.149999999999999">
      <c r="B14" s="1157"/>
      <c r="C14" s="443"/>
      <c r="D14" s="444"/>
      <c r="E14" s="445"/>
      <c r="F14" s="445"/>
      <c r="G14" s="735"/>
      <c r="H14" s="446"/>
    </row>
    <row r="15" spans="2:11" ht="19.899999999999999" thickBot="1">
      <c r="B15" s="1159"/>
      <c r="C15" s="447"/>
      <c r="D15" s="448"/>
      <c r="E15" s="449"/>
      <c r="F15" s="449"/>
      <c r="G15" s="736"/>
      <c r="H15" s="450"/>
    </row>
    <row r="16" spans="2:11" ht="23.45">
      <c r="C16" s="451" t="s">
        <v>62</v>
      </c>
      <c r="D16" s="452">
        <f>SUM(D5:D15)</f>
        <v>13</v>
      </c>
      <c r="E16" s="453">
        <f>SUM(E5:E15)</f>
        <v>8</v>
      </c>
      <c r="F16" s="453">
        <f>SUM(F5:F15)</f>
        <v>12</v>
      </c>
      <c r="G16" s="453">
        <f>SUM(G5:G15)</f>
        <v>4</v>
      </c>
      <c r="H16" s="738">
        <f>SUM(H5:H15)</f>
        <v>1</v>
      </c>
    </row>
    <row r="17" spans="2:7" ht="16.899999999999999" customHeight="1">
      <c r="D17" s="454" t="s">
        <v>63</v>
      </c>
      <c r="E17" s="1077" t="s">
        <v>64</v>
      </c>
      <c r="F17" s="1077"/>
      <c r="G17" s="1077"/>
    </row>
    <row r="21" spans="2:7" ht="24.6">
      <c r="B21" s="455" t="s">
        <v>65</v>
      </c>
    </row>
    <row r="22" spans="2:7" ht="20.45">
      <c r="B22" s="456" t="s">
        <v>66</v>
      </c>
    </row>
    <row r="23" spans="2:7" ht="20.45">
      <c r="B23" s="456" t="s">
        <v>67</v>
      </c>
    </row>
    <row r="24" spans="2:7" ht="20.45">
      <c r="B24" s="456" t="s">
        <v>68</v>
      </c>
    </row>
    <row r="26" spans="2:7" ht="24.6">
      <c r="B26" s="455" t="s">
        <v>69</v>
      </c>
    </row>
    <row r="27" spans="2:7" ht="20.45">
      <c r="B27" s="456" t="s">
        <v>70</v>
      </c>
    </row>
    <row r="28" spans="2:7" ht="20.45">
      <c r="B28" s="456" t="s">
        <v>71</v>
      </c>
    </row>
    <row r="30" spans="2:7" ht="20.45">
      <c r="B30" s="456" t="s">
        <v>72</v>
      </c>
    </row>
    <row r="31" spans="2:7" ht="20.45">
      <c r="B31" s="456" t="s">
        <v>73</v>
      </c>
    </row>
  </sheetData>
  <mergeCells count="5">
    <mergeCell ref="B3:C3"/>
    <mergeCell ref="D3:H3"/>
    <mergeCell ref="B5:B7"/>
    <mergeCell ref="B8:B15"/>
    <mergeCell ref="E17:G17"/>
  </mergeCells>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E52-4DCB-46C1-9B2E-41C0E84C7B8A}">
  <dimension ref="A2:BW73"/>
  <sheetViews>
    <sheetView showGridLines="0" tabSelected="1" zoomScale="55" zoomScaleNormal="55" workbookViewId="0">
      <pane xSplit="4" ySplit="13" topLeftCell="Z44" activePane="bottomRight" state="frozen"/>
      <selection pane="bottomRight" activeCell="AA45" sqref="AA45"/>
      <selection pane="bottomLeft" activeCell="A13" sqref="A13"/>
      <selection pane="topRight" activeCell="E1" sqref="E1"/>
    </sheetView>
  </sheetViews>
  <sheetFormatPr defaultColWidth="13.25" defaultRowHeight="15" customHeight="1" outlineLevelCol="1"/>
  <cols>
    <col min="1" max="1" width="8.25" style="168" customWidth="1"/>
    <col min="2" max="2" width="28.125" style="168" customWidth="1"/>
    <col min="3" max="3" width="45.375" style="168" customWidth="1"/>
    <col min="4" max="4" width="31.875" style="168" customWidth="1"/>
    <col min="5" max="5" width="42" style="168" customWidth="1"/>
    <col min="6" max="6" width="29.875" style="168" customWidth="1"/>
    <col min="7" max="7" width="61" style="168" customWidth="1"/>
    <col min="8" max="8" width="20.25" style="168" customWidth="1"/>
    <col min="9" max="9" width="27.25" style="168" customWidth="1"/>
    <col min="10" max="11" width="13.25" style="168" customWidth="1"/>
    <col min="12" max="12" width="19.5" style="168" customWidth="1"/>
    <col min="13" max="13" width="11.375" style="168" customWidth="1"/>
    <col min="14" max="14" width="12.375" style="168" customWidth="1"/>
    <col min="15" max="16" width="11.875" style="168" customWidth="1"/>
    <col min="17" max="17" width="19.5" style="168" customWidth="1"/>
    <col min="18" max="18" width="11.875" style="168" customWidth="1"/>
    <col min="19" max="21" width="12.375" style="168" customWidth="1"/>
    <col min="22" max="22" width="21.125" style="168" customWidth="1"/>
    <col min="23" max="23" width="12.375" style="168" customWidth="1"/>
    <col min="24" max="24" width="12.625" style="168" customWidth="1"/>
    <col min="25" max="25" width="7.125" style="168" customWidth="1"/>
    <col min="26" max="26" width="57.75" style="168" customWidth="1"/>
    <col min="27" max="27" width="26.125" style="168" customWidth="1" outlineLevel="1"/>
    <col min="28" max="28" width="15.375" style="168" customWidth="1" outlineLevel="1"/>
    <col min="29" max="29" width="26.25" style="168" customWidth="1" outlineLevel="1"/>
    <col min="30" max="30" width="7.125" style="168" customWidth="1" outlineLevel="1"/>
    <col min="31" max="31" width="15.375" style="168" customWidth="1" outlineLevel="1"/>
    <col min="32" max="32" width="23.875" style="168" customWidth="1" outlineLevel="1"/>
    <col min="33" max="33" width="15.375" style="168" customWidth="1" outlineLevel="1"/>
    <col min="34" max="34" width="18.375" style="168" customWidth="1" outlineLevel="1"/>
    <col min="35" max="35" width="7.125" style="168" customWidth="1" outlineLevel="1"/>
    <col min="36" max="36" width="15.375" style="168" customWidth="1" outlineLevel="1"/>
    <col min="37" max="37" width="23.875" style="168" customWidth="1" outlineLevel="1"/>
    <col min="38" max="38" width="15.375" style="168" customWidth="1" outlineLevel="1"/>
    <col min="39" max="39" width="18.375" style="168" customWidth="1" outlineLevel="1"/>
    <col min="40" max="40" width="7.125" style="168" customWidth="1" outlineLevel="1"/>
    <col min="41" max="41" width="15.375" style="168" customWidth="1" outlineLevel="1"/>
    <col min="42" max="42" width="23.875" style="168" customWidth="1" outlineLevel="1"/>
    <col min="43" max="43" width="15.375" style="168" customWidth="1" outlineLevel="1"/>
    <col min="44" max="44" width="18.375" style="168" customWidth="1" outlineLevel="1"/>
    <col min="45" max="45" width="7.125" style="168" customWidth="1" outlineLevel="1"/>
    <col min="46" max="46" width="15.375" style="168" customWidth="1" outlineLevel="1"/>
    <col min="47" max="47" width="7.125" style="168" customWidth="1" outlineLevel="1"/>
    <col min="48" max="48" width="13.25" style="168" customWidth="1"/>
    <col min="49" max="49" width="51.5" style="168" customWidth="1"/>
    <col min="50" max="50" width="48.125" style="168" customWidth="1"/>
    <col min="51" max="51" width="52.625" style="168" customWidth="1"/>
    <col min="52" max="52" width="48.75" style="168" customWidth="1"/>
    <col min="53" max="55" width="12.375" style="168" customWidth="1"/>
    <col min="56" max="59" width="18.75" style="168" customWidth="1"/>
    <col min="60" max="60" width="12.375" style="168" customWidth="1"/>
    <col min="61" max="61" width="23" style="168" customWidth="1"/>
    <col min="62" max="62" width="21.625" style="168" customWidth="1"/>
    <col min="63" max="63" width="18.875" style="168" customWidth="1"/>
    <col min="64" max="64" width="21.625" style="168" customWidth="1"/>
    <col min="65" max="65" width="12.375" style="168" customWidth="1"/>
    <col min="66" max="69" width="18.75" style="168" customWidth="1"/>
    <col min="70" max="70" width="19.25" style="168" customWidth="1"/>
    <col min="71" max="74" width="20.625" style="168" customWidth="1"/>
    <col min="75" max="75" width="20.875" style="168" customWidth="1"/>
    <col min="76" max="76" width="21.5" style="168" customWidth="1"/>
    <col min="77" max="80" width="20.125" style="168" customWidth="1"/>
    <col min="81" max="16383" width="13.25" style="168"/>
    <col min="16384" max="16384" width="13.25" style="168" bestFit="1" customWidth="1"/>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055" t="s">
        <v>77</v>
      </c>
      <c r="C4" s="1055"/>
      <c r="D4" s="1055"/>
      <c r="E4" s="1055"/>
      <c r="F4" s="174"/>
      <c r="G4" s="174"/>
      <c r="H4" s="174"/>
      <c r="I4" s="174"/>
      <c r="J4" s="174"/>
      <c r="K4" s="174"/>
      <c r="L4" s="174"/>
      <c r="M4" s="174"/>
      <c r="N4" s="174"/>
      <c r="O4" s="174"/>
      <c r="P4" s="174"/>
      <c r="Q4" s="174"/>
      <c r="R4" s="174"/>
      <c r="S4" s="174"/>
      <c r="T4" s="174"/>
      <c r="U4" s="174"/>
      <c r="V4" s="174"/>
      <c r="W4" s="174"/>
      <c r="X4" s="174"/>
      <c r="Y4" s="414" t="s">
        <v>47</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055" t="s">
        <v>79</v>
      </c>
      <c r="C5" s="1055"/>
      <c r="D5" s="1055"/>
      <c r="E5" s="1055"/>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5" t="s">
        <v>57</v>
      </c>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thickBot="1">
      <c r="B8" s="173"/>
      <c r="E8" s="169"/>
      <c r="Y8" s="414"/>
      <c r="Z8" s="170"/>
      <c r="AA8" s="171"/>
      <c r="AB8" s="171"/>
      <c r="AC8" s="171"/>
      <c r="AD8" s="170"/>
      <c r="AE8" s="171"/>
      <c r="AF8" s="171"/>
      <c r="AG8" s="171"/>
      <c r="AH8" s="170"/>
      <c r="AI8" s="170"/>
      <c r="AJ8" s="170"/>
      <c r="AK8" s="171"/>
      <c r="AL8" s="171"/>
      <c r="AM8" s="170"/>
      <c r="AN8" s="170"/>
      <c r="AO8" s="170"/>
      <c r="AP8" s="171"/>
      <c r="AQ8" s="170"/>
      <c r="AR8" s="170"/>
      <c r="AS8" s="170"/>
      <c r="AT8" s="170"/>
      <c r="AU8" s="170"/>
      <c r="BA8" s="172"/>
      <c r="BB8" s="172"/>
      <c r="BC8" s="172"/>
      <c r="BD8" s="172"/>
      <c r="BE8" s="172"/>
      <c r="BF8" s="172"/>
      <c r="BG8" s="172"/>
      <c r="BH8" s="172"/>
      <c r="BI8" s="172"/>
      <c r="BJ8" s="172"/>
      <c r="BK8" s="172"/>
      <c r="BL8" s="172"/>
      <c r="BM8" s="172"/>
      <c r="BN8" s="172"/>
      <c r="BO8" s="172"/>
      <c r="BP8" s="172"/>
      <c r="BQ8" s="172"/>
      <c r="BR8" s="172"/>
      <c r="BS8" s="172"/>
      <c r="BT8" s="172"/>
      <c r="BU8" s="172"/>
      <c r="BV8" s="172"/>
    </row>
    <row r="9" spans="1:75" ht="16.5" customHeight="1">
      <c r="B9" s="1061" t="s">
        <v>37</v>
      </c>
      <c r="C9" s="1160"/>
      <c r="D9" s="1161"/>
      <c r="E9" s="1062" t="s">
        <v>80</v>
      </c>
      <c r="F9" s="1160"/>
      <c r="G9" s="1160"/>
      <c r="H9" s="1160"/>
      <c r="I9" s="1160"/>
      <c r="J9" s="1160"/>
      <c r="K9" s="1160"/>
      <c r="L9" s="1160"/>
      <c r="M9" s="1160"/>
      <c r="N9" s="1160"/>
      <c r="O9" s="1160"/>
      <c r="P9" s="1160"/>
      <c r="Q9" s="1160"/>
      <c r="R9" s="1160"/>
      <c r="S9" s="1160"/>
      <c r="T9" s="1160"/>
      <c r="U9" s="1160"/>
      <c r="V9" s="1160"/>
      <c r="W9" s="1160"/>
      <c r="X9" s="1160"/>
      <c r="Y9" s="1160"/>
      <c r="Z9" s="1161"/>
      <c r="AA9" s="1062" t="s">
        <v>81</v>
      </c>
      <c r="AB9" s="1160"/>
      <c r="AC9" s="1160"/>
      <c r="AD9" s="1160"/>
      <c r="AE9" s="1160"/>
      <c r="AF9" s="1160"/>
      <c r="AG9" s="1160"/>
      <c r="AH9" s="1160"/>
      <c r="AI9" s="1160"/>
      <c r="AJ9" s="1160"/>
      <c r="AK9" s="1160"/>
      <c r="AL9" s="1160"/>
      <c r="AM9" s="1160"/>
      <c r="AN9" s="1160"/>
      <c r="AO9" s="1160"/>
      <c r="AP9" s="1160"/>
      <c r="AQ9" s="1160"/>
      <c r="AR9" s="1160"/>
      <c r="AS9" s="1160"/>
      <c r="AT9" s="1160"/>
      <c r="AU9" s="1160"/>
      <c r="AV9" s="1063" t="s">
        <v>82</v>
      </c>
      <c r="AW9" s="1160"/>
      <c r="AX9" s="1160"/>
      <c r="AY9" s="1160"/>
      <c r="AZ9" s="1161"/>
      <c r="BA9" s="1070" t="s">
        <v>83</v>
      </c>
      <c r="BB9" s="1162"/>
      <c r="BC9" s="1162"/>
      <c r="BD9" s="1162"/>
      <c r="BE9" s="1162"/>
      <c r="BF9" s="1162"/>
      <c r="BG9" s="1162"/>
      <c r="BH9" s="1162"/>
      <c r="BI9" s="1162"/>
      <c r="BJ9" s="1162"/>
      <c r="BK9" s="1162"/>
      <c r="BL9" s="1162"/>
      <c r="BM9" s="1162"/>
      <c r="BN9" s="1162"/>
      <c r="BO9" s="1162"/>
      <c r="BP9" s="1162"/>
      <c r="BQ9" s="1162"/>
      <c r="BR9" s="1162"/>
      <c r="BS9" s="1162"/>
      <c r="BT9" s="1162"/>
      <c r="BU9" s="1162"/>
      <c r="BV9" s="1162"/>
      <c r="BW9" s="1163"/>
    </row>
    <row r="10" spans="1:75" ht="16.5" customHeight="1">
      <c r="B10" s="184" t="s">
        <v>41</v>
      </c>
      <c r="C10" s="176" t="s">
        <v>84</v>
      </c>
      <c r="D10" s="177" t="s">
        <v>85</v>
      </c>
      <c r="E10" s="1060" t="s">
        <v>11</v>
      </c>
      <c r="F10" s="1164"/>
      <c r="G10" s="1164"/>
      <c r="H10" s="1164"/>
      <c r="I10" s="1164"/>
      <c r="J10" s="1060" t="s">
        <v>16</v>
      </c>
      <c r="K10" s="1164"/>
      <c r="L10" s="1164"/>
      <c r="M10" s="1164"/>
      <c r="N10" s="1165"/>
      <c r="O10" s="1060" t="s">
        <v>21</v>
      </c>
      <c r="P10" s="1164"/>
      <c r="Q10" s="1164"/>
      <c r="R10" s="1164"/>
      <c r="S10" s="1164"/>
      <c r="T10" s="1060" t="s">
        <v>23</v>
      </c>
      <c r="U10" s="1164"/>
      <c r="V10" s="1164"/>
      <c r="W10" s="1164"/>
      <c r="X10" s="1164"/>
      <c r="Y10" s="1072" t="s">
        <v>86</v>
      </c>
      <c r="Z10" s="1165"/>
      <c r="AA10" s="1060" t="s">
        <v>11</v>
      </c>
      <c r="AB10" s="1164"/>
      <c r="AC10" s="1164"/>
      <c r="AD10" s="1164"/>
      <c r="AE10" s="1164"/>
      <c r="AF10" s="1060" t="s">
        <v>16</v>
      </c>
      <c r="AG10" s="1164"/>
      <c r="AH10" s="1164"/>
      <c r="AI10" s="1164"/>
      <c r="AJ10" s="1164"/>
      <c r="AK10" s="1060" t="s">
        <v>21</v>
      </c>
      <c r="AL10" s="1164"/>
      <c r="AM10" s="1164"/>
      <c r="AN10" s="1164"/>
      <c r="AO10" s="1164"/>
      <c r="AP10" s="1060" t="s">
        <v>23</v>
      </c>
      <c r="AQ10" s="1164"/>
      <c r="AR10" s="1164"/>
      <c r="AS10" s="1164"/>
      <c r="AT10" s="1164"/>
      <c r="AU10" s="178" t="s">
        <v>86</v>
      </c>
      <c r="AV10" s="176" t="s">
        <v>87</v>
      </c>
      <c r="AW10" s="179" t="s">
        <v>88</v>
      </c>
      <c r="AX10" s="180" t="s">
        <v>89</v>
      </c>
      <c r="AY10" s="181" t="s">
        <v>90</v>
      </c>
      <c r="AZ10" s="182" t="s">
        <v>91</v>
      </c>
      <c r="BA10" s="1071" t="s">
        <v>92</v>
      </c>
      <c r="BB10" s="1165"/>
      <c r="BC10" s="176" t="s">
        <v>93</v>
      </c>
      <c r="BD10" s="1067" t="s">
        <v>94</v>
      </c>
      <c r="BE10" s="1164"/>
      <c r="BF10" s="1164"/>
      <c r="BG10" s="1164"/>
      <c r="BH10" s="1164"/>
      <c r="BI10" s="1164"/>
      <c r="BJ10" s="1164"/>
      <c r="BK10" s="1164"/>
      <c r="BL10" s="1164"/>
      <c r="BM10" s="1164"/>
      <c r="BN10" s="1164"/>
      <c r="BO10" s="1164"/>
      <c r="BP10" s="1164"/>
      <c r="BQ10" s="1164"/>
      <c r="BR10" s="1164"/>
      <c r="BS10" s="1164"/>
      <c r="BT10" s="1164"/>
      <c r="BU10" s="1164"/>
      <c r="BV10" s="1164"/>
      <c r="BW10" s="1166"/>
    </row>
    <row r="11" spans="1:75" ht="16.5" customHeight="1">
      <c r="B11" s="184" t="s">
        <v>50</v>
      </c>
      <c r="C11" s="185" t="s">
        <v>50</v>
      </c>
      <c r="D11" s="177" t="s">
        <v>50</v>
      </c>
      <c r="E11" s="186" t="s">
        <v>7</v>
      </c>
      <c r="F11" s="187" t="s">
        <v>95</v>
      </c>
      <c r="G11" s="187" t="s">
        <v>96</v>
      </c>
      <c r="H11" s="1059" t="s">
        <v>97</v>
      </c>
      <c r="I11" s="1164"/>
      <c r="J11" s="189" t="s">
        <v>7</v>
      </c>
      <c r="K11" s="187" t="s">
        <v>95</v>
      </c>
      <c r="L11" s="187" t="s">
        <v>96</v>
      </c>
      <c r="M11" s="1059" t="s">
        <v>97</v>
      </c>
      <c r="N11" s="1164"/>
      <c r="O11" s="189" t="s">
        <v>7</v>
      </c>
      <c r="P11" s="187" t="s">
        <v>95</v>
      </c>
      <c r="Q11" s="187" t="s">
        <v>96</v>
      </c>
      <c r="R11" s="1059" t="s">
        <v>97</v>
      </c>
      <c r="S11" s="1164"/>
      <c r="T11" s="189" t="s">
        <v>7</v>
      </c>
      <c r="U11" s="187" t="s">
        <v>95</v>
      </c>
      <c r="V11" s="187" t="s">
        <v>96</v>
      </c>
      <c r="W11" s="1059" t="s">
        <v>97</v>
      </c>
      <c r="X11" s="1164"/>
      <c r="Y11" s="190" t="s">
        <v>98</v>
      </c>
      <c r="Z11" s="191" t="s">
        <v>99</v>
      </c>
      <c r="AA11" s="186" t="s">
        <v>7</v>
      </c>
      <c r="AB11" s="192" t="s">
        <v>95</v>
      </c>
      <c r="AC11" s="192" t="s">
        <v>96</v>
      </c>
      <c r="AD11" s="1059" t="s">
        <v>97</v>
      </c>
      <c r="AE11" s="1164"/>
      <c r="AF11" s="186" t="s">
        <v>7</v>
      </c>
      <c r="AG11" s="192" t="s">
        <v>95</v>
      </c>
      <c r="AH11" s="187" t="s">
        <v>96</v>
      </c>
      <c r="AI11" s="1059" t="s">
        <v>97</v>
      </c>
      <c r="AJ11" s="1164"/>
      <c r="AK11" s="186" t="s">
        <v>7</v>
      </c>
      <c r="AL11" s="192" t="s">
        <v>95</v>
      </c>
      <c r="AM11" s="187" t="s">
        <v>96</v>
      </c>
      <c r="AN11" s="1059" t="s">
        <v>97</v>
      </c>
      <c r="AO11" s="1164"/>
      <c r="AP11" s="186" t="s">
        <v>7</v>
      </c>
      <c r="AQ11" s="187" t="s">
        <v>95</v>
      </c>
      <c r="AR11" s="187" t="s">
        <v>96</v>
      </c>
      <c r="AS11" s="1059" t="s">
        <v>97</v>
      </c>
      <c r="AT11" s="1164"/>
      <c r="AU11" s="178" t="s">
        <v>50</v>
      </c>
      <c r="AV11" s="176" t="s">
        <v>100</v>
      </c>
      <c r="AW11" s="179" t="s">
        <v>101</v>
      </c>
      <c r="AX11" s="180" t="s">
        <v>102</v>
      </c>
      <c r="AY11" s="181" t="s">
        <v>103</v>
      </c>
      <c r="AZ11" s="416" t="s">
        <v>104</v>
      </c>
      <c r="BA11" s="193" t="s">
        <v>105</v>
      </c>
      <c r="BB11" s="176" t="s">
        <v>106</v>
      </c>
      <c r="BC11" s="176" t="s">
        <v>107</v>
      </c>
      <c r="BD11" s="1067" t="s">
        <v>108</v>
      </c>
      <c r="BE11" s="1164"/>
      <c r="BF11" s="1164"/>
      <c r="BG11" s="1164"/>
      <c r="BH11" s="1165"/>
      <c r="BI11" s="1067" t="s">
        <v>109</v>
      </c>
      <c r="BJ11" s="1164"/>
      <c r="BK11" s="1164"/>
      <c r="BL11" s="1164"/>
      <c r="BM11" s="1165"/>
      <c r="BN11" s="1067" t="s">
        <v>110</v>
      </c>
      <c r="BO11" s="1164"/>
      <c r="BP11" s="1164"/>
      <c r="BQ11" s="1164"/>
      <c r="BR11" s="1165"/>
      <c r="BS11" s="1067" t="s">
        <v>111</v>
      </c>
      <c r="BT11" s="1164"/>
      <c r="BU11" s="1164"/>
      <c r="BV11" s="1164"/>
      <c r="BW11" s="1166"/>
    </row>
    <row r="12" spans="1:75" ht="16.5" customHeight="1">
      <c r="B12" s="194" t="s">
        <v>50</v>
      </c>
      <c r="C12" s="185" t="s">
        <v>50</v>
      </c>
      <c r="D12" s="183" t="s">
        <v>50</v>
      </c>
      <c r="E12" s="186"/>
      <c r="F12" s="187" t="s">
        <v>50</v>
      </c>
      <c r="G12" s="187" t="s">
        <v>50</v>
      </c>
      <c r="H12" s="187" t="s">
        <v>112</v>
      </c>
      <c r="I12" s="188" t="s">
        <v>113</v>
      </c>
      <c r="J12" s="189" t="s">
        <v>50</v>
      </c>
      <c r="K12" s="187" t="s">
        <v>50</v>
      </c>
      <c r="L12" s="187" t="s">
        <v>50</v>
      </c>
      <c r="M12" s="187" t="s">
        <v>112</v>
      </c>
      <c r="N12" s="188" t="s">
        <v>113</v>
      </c>
      <c r="O12" s="189" t="s">
        <v>50</v>
      </c>
      <c r="P12" s="187" t="s">
        <v>50</v>
      </c>
      <c r="Q12" s="187" t="s">
        <v>50</v>
      </c>
      <c r="R12" s="187" t="s">
        <v>112</v>
      </c>
      <c r="S12" s="188" t="s">
        <v>113</v>
      </c>
      <c r="T12" s="189" t="s">
        <v>50</v>
      </c>
      <c r="U12" s="187" t="s">
        <v>50</v>
      </c>
      <c r="V12" s="187" t="s">
        <v>50</v>
      </c>
      <c r="W12" s="187" t="s">
        <v>112</v>
      </c>
      <c r="X12" s="188" t="s">
        <v>113</v>
      </c>
      <c r="Y12" s="195" t="s">
        <v>50</v>
      </c>
      <c r="Z12" s="191"/>
      <c r="AA12" s="186"/>
      <c r="AB12" s="192" t="s">
        <v>50</v>
      </c>
      <c r="AC12" s="192" t="s">
        <v>50</v>
      </c>
      <c r="AD12" s="187" t="s">
        <v>112</v>
      </c>
      <c r="AE12" s="196" t="s">
        <v>113</v>
      </c>
      <c r="AF12" s="186" t="s">
        <v>50</v>
      </c>
      <c r="AG12" s="192" t="s">
        <v>50</v>
      </c>
      <c r="AH12" s="187" t="s">
        <v>50</v>
      </c>
      <c r="AI12" s="187" t="s">
        <v>112</v>
      </c>
      <c r="AJ12" s="188" t="s">
        <v>113</v>
      </c>
      <c r="AK12" s="186" t="s">
        <v>50</v>
      </c>
      <c r="AL12" s="192" t="s">
        <v>50</v>
      </c>
      <c r="AM12" s="187" t="s">
        <v>50</v>
      </c>
      <c r="AN12" s="187" t="s">
        <v>112</v>
      </c>
      <c r="AO12" s="188" t="s">
        <v>113</v>
      </c>
      <c r="AP12" s="186" t="s">
        <v>50</v>
      </c>
      <c r="AQ12" s="187" t="s">
        <v>50</v>
      </c>
      <c r="AR12" s="187" t="s">
        <v>50</v>
      </c>
      <c r="AS12" s="187" t="s">
        <v>112</v>
      </c>
      <c r="AT12" s="188" t="s">
        <v>113</v>
      </c>
      <c r="AU12" s="178" t="s">
        <v>50</v>
      </c>
      <c r="AV12" s="176" t="s">
        <v>50</v>
      </c>
      <c r="AW12" s="179" t="s">
        <v>50</v>
      </c>
      <c r="AX12" s="180" t="s">
        <v>50</v>
      </c>
      <c r="AY12" s="181" t="s">
        <v>50</v>
      </c>
      <c r="AZ12" s="182" t="s">
        <v>50</v>
      </c>
      <c r="BA12" s="193" t="s">
        <v>50</v>
      </c>
      <c r="BB12" s="176" t="s">
        <v>50</v>
      </c>
      <c r="BC12" s="176" t="s">
        <v>50</v>
      </c>
      <c r="BD12" s="1067" t="s">
        <v>114</v>
      </c>
      <c r="BE12" s="1165"/>
      <c r="BF12" s="1067" t="s">
        <v>115</v>
      </c>
      <c r="BG12" s="1165"/>
      <c r="BH12" s="176" t="s">
        <v>116</v>
      </c>
      <c r="BI12" s="1067" t="s">
        <v>114</v>
      </c>
      <c r="BJ12" s="1165"/>
      <c r="BK12" s="1067" t="s">
        <v>115</v>
      </c>
      <c r="BL12" s="1165"/>
      <c r="BM12" s="176" t="s">
        <v>116</v>
      </c>
      <c r="BN12" s="1067" t="s">
        <v>114</v>
      </c>
      <c r="BO12" s="1165"/>
      <c r="BP12" s="1067" t="s">
        <v>115</v>
      </c>
      <c r="BQ12" s="1165"/>
      <c r="BR12" s="176" t="s">
        <v>116</v>
      </c>
      <c r="BS12" s="1067" t="s">
        <v>114</v>
      </c>
      <c r="BT12" s="1165"/>
      <c r="BU12" s="1067" t="s">
        <v>115</v>
      </c>
      <c r="BV12" s="1165"/>
      <c r="BW12" s="197" t="s">
        <v>116</v>
      </c>
    </row>
    <row r="13" spans="1:75" ht="16.5" customHeight="1" thickBot="1">
      <c r="B13" s="198" t="s">
        <v>50</v>
      </c>
      <c r="C13" s="199" t="s">
        <v>50</v>
      </c>
      <c r="D13" s="200" t="s">
        <v>50</v>
      </c>
      <c r="E13" s="201"/>
      <c r="F13" s="202" t="s">
        <v>50</v>
      </c>
      <c r="G13" s="202" t="s">
        <v>50</v>
      </c>
      <c r="H13" s="202" t="s">
        <v>50</v>
      </c>
      <c r="I13" s="203" t="s">
        <v>50</v>
      </c>
      <c r="J13" s="204" t="s">
        <v>50</v>
      </c>
      <c r="K13" s="202" t="s">
        <v>50</v>
      </c>
      <c r="L13" s="202" t="s">
        <v>50</v>
      </c>
      <c r="M13" s="202" t="s">
        <v>50</v>
      </c>
      <c r="N13" s="203" t="s">
        <v>50</v>
      </c>
      <c r="O13" s="204" t="s">
        <v>50</v>
      </c>
      <c r="P13" s="202" t="s">
        <v>50</v>
      </c>
      <c r="Q13" s="202" t="s">
        <v>50</v>
      </c>
      <c r="R13" s="202" t="s">
        <v>50</v>
      </c>
      <c r="S13" s="203" t="s">
        <v>50</v>
      </c>
      <c r="T13" s="204" t="s">
        <v>50</v>
      </c>
      <c r="U13" s="202" t="s">
        <v>50</v>
      </c>
      <c r="V13" s="202" t="s">
        <v>50</v>
      </c>
      <c r="W13" s="202" t="s">
        <v>50</v>
      </c>
      <c r="X13" s="203" t="s">
        <v>50</v>
      </c>
      <c r="Y13" s="205" t="s">
        <v>50</v>
      </c>
      <c r="Z13" s="206"/>
      <c r="AA13" s="201"/>
      <c r="AB13" s="207" t="s">
        <v>50</v>
      </c>
      <c r="AC13" s="207" t="s">
        <v>50</v>
      </c>
      <c r="AD13" s="202" t="s">
        <v>50</v>
      </c>
      <c r="AE13" s="208" t="s">
        <v>50</v>
      </c>
      <c r="AF13" s="201" t="s">
        <v>50</v>
      </c>
      <c r="AG13" s="207" t="s">
        <v>50</v>
      </c>
      <c r="AH13" s="202" t="s">
        <v>50</v>
      </c>
      <c r="AI13" s="202" t="s">
        <v>50</v>
      </c>
      <c r="AJ13" s="203" t="s">
        <v>50</v>
      </c>
      <c r="AK13" s="201" t="s">
        <v>50</v>
      </c>
      <c r="AL13" s="207" t="s">
        <v>50</v>
      </c>
      <c r="AM13" s="202" t="s">
        <v>50</v>
      </c>
      <c r="AN13" s="202" t="s">
        <v>50</v>
      </c>
      <c r="AO13" s="203" t="s">
        <v>50</v>
      </c>
      <c r="AP13" s="201" t="s">
        <v>50</v>
      </c>
      <c r="AQ13" s="202" t="s">
        <v>50</v>
      </c>
      <c r="AR13" s="202" t="s">
        <v>50</v>
      </c>
      <c r="AS13" s="202" t="s">
        <v>50</v>
      </c>
      <c r="AT13" s="203" t="s">
        <v>50</v>
      </c>
      <c r="AU13" s="209" t="s">
        <v>50</v>
      </c>
      <c r="AV13" s="185" t="s">
        <v>50</v>
      </c>
      <c r="AW13" s="210" t="s">
        <v>50</v>
      </c>
      <c r="AX13" s="211" t="s">
        <v>50</v>
      </c>
      <c r="AY13" s="212" t="s">
        <v>50</v>
      </c>
      <c r="AZ13" s="213" t="s">
        <v>50</v>
      </c>
      <c r="BA13" s="214" t="s">
        <v>50</v>
      </c>
      <c r="BB13" s="199" t="s">
        <v>50</v>
      </c>
      <c r="BC13" s="199" t="s">
        <v>50</v>
      </c>
      <c r="BD13" s="199" t="s">
        <v>117</v>
      </c>
      <c r="BE13" s="199" t="s">
        <v>118</v>
      </c>
      <c r="BF13" s="199" t="s">
        <v>117</v>
      </c>
      <c r="BG13" s="199" t="s">
        <v>118</v>
      </c>
      <c r="BH13" s="199" t="s">
        <v>50</v>
      </c>
      <c r="BI13" s="199" t="s">
        <v>117</v>
      </c>
      <c r="BJ13" s="199" t="s">
        <v>118</v>
      </c>
      <c r="BK13" s="199" t="s">
        <v>117</v>
      </c>
      <c r="BL13" s="199" t="s">
        <v>118</v>
      </c>
      <c r="BM13" s="199" t="s">
        <v>50</v>
      </c>
      <c r="BN13" s="199" t="s">
        <v>117</v>
      </c>
      <c r="BO13" s="199" t="s">
        <v>118</v>
      </c>
      <c r="BP13" s="199" t="s">
        <v>117</v>
      </c>
      <c r="BQ13" s="199" t="s">
        <v>118</v>
      </c>
      <c r="BR13" s="199" t="s">
        <v>50</v>
      </c>
      <c r="BS13" s="199" t="s">
        <v>117</v>
      </c>
      <c r="BT13" s="199" t="s">
        <v>118</v>
      </c>
      <c r="BU13" s="199" t="s">
        <v>117</v>
      </c>
      <c r="BV13" s="199" t="s">
        <v>118</v>
      </c>
      <c r="BW13" s="215" t="s">
        <v>50</v>
      </c>
    </row>
    <row r="14" spans="1:75" ht="117.6">
      <c r="B14" s="417" t="s">
        <v>119</v>
      </c>
      <c r="C14" s="216" t="s">
        <v>120</v>
      </c>
      <c r="D14" s="217" t="s">
        <v>121</v>
      </c>
      <c r="E14" s="224" t="s">
        <v>122</v>
      </c>
      <c r="F14" s="218" t="s">
        <v>123</v>
      </c>
      <c r="G14" s="225" t="s">
        <v>124</v>
      </c>
      <c r="H14" s="219" t="s">
        <v>125</v>
      </c>
      <c r="I14" s="217" t="s">
        <v>126</v>
      </c>
      <c r="J14" s="220" t="s">
        <v>46</v>
      </c>
      <c r="K14" s="218" t="s">
        <v>46</v>
      </c>
      <c r="L14" s="218" t="s">
        <v>46</v>
      </c>
      <c r="M14" s="218" t="s">
        <v>46</v>
      </c>
      <c r="N14" s="221" t="s">
        <v>46</v>
      </c>
      <c r="O14" s="220" t="s">
        <v>46</v>
      </c>
      <c r="P14" s="218" t="s">
        <v>46</v>
      </c>
      <c r="Q14" s="218" t="s">
        <v>46</v>
      </c>
      <c r="R14" s="218" t="s">
        <v>46</v>
      </c>
      <c r="S14" s="221" t="s">
        <v>46</v>
      </c>
      <c r="T14" s="222" t="s">
        <v>46</v>
      </c>
      <c r="U14" s="218" t="s">
        <v>46</v>
      </c>
      <c r="V14" s="221" t="s">
        <v>46</v>
      </c>
      <c r="W14" s="221" t="s">
        <v>46</v>
      </c>
      <c r="X14" s="221" t="s">
        <v>46</v>
      </c>
      <c r="Y14" s="296" t="s">
        <v>127</v>
      </c>
      <c r="Z14" s="527" t="s">
        <v>128</v>
      </c>
      <c r="AA14" s="224" t="s">
        <v>129</v>
      </c>
      <c r="AB14" s="225" t="s">
        <v>130</v>
      </c>
      <c r="AC14" s="226" t="s">
        <v>131</v>
      </c>
      <c r="AD14" s="226" t="s">
        <v>132</v>
      </c>
      <c r="AE14" s="227" t="s">
        <v>133</v>
      </c>
      <c r="AF14" s="224" t="s">
        <v>134</v>
      </c>
      <c r="AG14" s="225" t="s">
        <v>135</v>
      </c>
      <c r="AH14" s="218" t="s">
        <v>46</v>
      </c>
      <c r="AI14" s="218" t="s">
        <v>46</v>
      </c>
      <c r="AJ14" s="221" t="s">
        <v>46</v>
      </c>
      <c r="AK14" s="224" t="s">
        <v>136</v>
      </c>
      <c r="AL14" s="225" t="s">
        <v>135</v>
      </c>
      <c r="AM14" s="218" t="s">
        <v>46</v>
      </c>
      <c r="AN14" s="218" t="s">
        <v>46</v>
      </c>
      <c r="AO14" s="221" t="s">
        <v>46</v>
      </c>
      <c r="AP14" s="228" t="s">
        <v>137</v>
      </c>
      <c r="AQ14" s="218" t="s">
        <v>138</v>
      </c>
      <c r="AR14" s="221" t="s">
        <v>46</v>
      </c>
      <c r="AS14" s="221" t="s">
        <v>46</v>
      </c>
      <c r="AT14" s="221" t="s">
        <v>46</v>
      </c>
      <c r="AU14" s="229" t="s">
        <v>42</v>
      </c>
      <c r="AV14" s="418" t="s">
        <v>139</v>
      </c>
      <c r="AW14" s="419" t="s">
        <v>140</v>
      </c>
      <c r="AX14" s="419" t="s">
        <v>141</v>
      </c>
      <c r="AY14" s="232" t="s">
        <v>46</v>
      </c>
      <c r="AZ14" s="232" t="s">
        <v>46</v>
      </c>
      <c r="BA14" s="230" t="s">
        <v>142</v>
      </c>
      <c r="BB14" s="231"/>
      <c r="BC14" s="231" t="s">
        <v>143</v>
      </c>
      <c r="BD14" s="232" t="s">
        <v>144</v>
      </c>
      <c r="BE14" s="232" t="s">
        <v>144</v>
      </c>
      <c r="BF14" s="232" t="s">
        <v>145</v>
      </c>
      <c r="BG14" s="232" t="s">
        <v>146</v>
      </c>
      <c r="BH14" s="233" t="s">
        <v>147</v>
      </c>
      <c r="BI14" s="232" t="s">
        <v>144</v>
      </c>
      <c r="BJ14" s="232" t="s">
        <v>144</v>
      </c>
      <c r="BK14" s="232" t="s">
        <v>145</v>
      </c>
      <c r="BL14" s="232" t="s">
        <v>146</v>
      </c>
      <c r="BM14" s="233" t="s">
        <v>148</v>
      </c>
      <c r="BN14" s="960" t="s">
        <v>144</v>
      </c>
      <c r="BO14" s="960" t="s">
        <v>144</v>
      </c>
      <c r="BP14" s="960" t="s">
        <v>145</v>
      </c>
      <c r="BQ14" s="960" t="s">
        <v>146</v>
      </c>
      <c r="BR14" s="961" t="s">
        <v>148</v>
      </c>
      <c r="BS14" s="960" t="s">
        <v>144</v>
      </c>
      <c r="BT14" s="960" t="s">
        <v>144</v>
      </c>
      <c r="BU14" s="960" t="s">
        <v>145</v>
      </c>
      <c r="BV14" s="960" t="s">
        <v>146</v>
      </c>
      <c r="BW14" s="961" t="s">
        <v>148</v>
      </c>
    </row>
    <row r="15" spans="1:75" ht="201.6">
      <c r="B15" s="235"/>
      <c r="C15" s="216"/>
      <c r="D15" s="236" t="s">
        <v>149</v>
      </c>
      <c r="E15" s="224" t="s">
        <v>150</v>
      </c>
      <c r="F15" s="237" t="s">
        <v>151</v>
      </c>
      <c r="G15" s="242" t="s">
        <v>152</v>
      </c>
      <c r="H15" s="238" t="s">
        <v>125</v>
      </c>
      <c r="I15" s="236" t="s">
        <v>133</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127</v>
      </c>
      <c r="Z15" s="527" t="s">
        <v>128</v>
      </c>
      <c r="AA15" s="224" t="s">
        <v>153</v>
      </c>
      <c r="AB15" s="225" t="s">
        <v>135</v>
      </c>
      <c r="AC15" s="243" t="s">
        <v>154</v>
      </c>
      <c r="AD15" s="226" t="s">
        <v>132</v>
      </c>
      <c r="AE15" s="244" t="s">
        <v>133</v>
      </c>
      <c r="AF15" s="245" t="s">
        <v>134</v>
      </c>
      <c r="AG15" s="225" t="s">
        <v>135</v>
      </c>
      <c r="AH15" s="218" t="s">
        <v>46</v>
      </c>
      <c r="AI15" s="237" t="s">
        <v>46</v>
      </c>
      <c r="AJ15" s="240" t="s">
        <v>46</v>
      </c>
      <c r="AK15" s="245" t="s">
        <v>155</v>
      </c>
      <c r="AL15" s="225" t="s">
        <v>135</v>
      </c>
      <c r="AM15" s="237" t="s">
        <v>46</v>
      </c>
      <c r="AN15" s="237" t="s">
        <v>46</v>
      </c>
      <c r="AO15" s="240" t="s">
        <v>46</v>
      </c>
      <c r="AP15" s="228" t="s">
        <v>156</v>
      </c>
      <c r="AQ15" s="237" t="s">
        <v>138</v>
      </c>
      <c r="AR15" s="240" t="s">
        <v>46</v>
      </c>
      <c r="AS15" s="240" t="s">
        <v>46</v>
      </c>
      <c r="AT15" s="240" t="s">
        <v>46</v>
      </c>
      <c r="AU15" s="229" t="s">
        <v>42</v>
      </c>
      <c r="AV15" s="257" t="s">
        <v>139</v>
      </c>
      <c r="AW15" s="419" t="s">
        <v>157</v>
      </c>
      <c r="AX15" s="419" t="s">
        <v>158</v>
      </c>
      <c r="AY15" s="232" t="s">
        <v>159</v>
      </c>
      <c r="AZ15" s="242" t="s">
        <v>160</v>
      </c>
      <c r="BA15" s="230" t="s">
        <v>142</v>
      </c>
      <c r="BB15" s="231"/>
      <c r="BC15" s="231" t="s">
        <v>143</v>
      </c>
      <c r="BD15" s="233"/>
      <c r="BE15" s="233"/>
      <c r="BF15" s="233"/>
      <c r="BG15" s="233"/>
      <c r="BH15" s="233"/>
      <c r="BI15" s="223"/>
      <c r="BJ15" s="223"/>
      <c r="BK15" s="223"/>
      <c r="BL15" s="223"/>
      <c r="BM15" s="223"/>
      <c r="BN15" s="223"/>
      <c r="BO15" s="223"/>
      <c r="BP15" s="223"/>
      <c r="BQ15" s="223"/>
      <c r="BR15" s="223"/>
      <c r="BS15" s="961" t="s">
        <v>46</v>
      </c>
      <c r="BT15" s="961" t="s">
        <v>46</v>
      </c>
      <c r="BU15" s="961" t="s">
        <v>46</v>
      </c>
      <c r="BV15" s="961" t="s">
        <v>46</v>
      </c>
      <c r="BW15" s="962" t="s">
        <v>46</v>
      </c>
    </row>
    <row r="16" spans="1:75" ht="336">
      <c r="B16" s="235"/>
      <c r="C16" s="216"/>
      <c r="D16" s="248" t="s">
        <v>161</v>
      </c>
      <c r="E16" s="224" t="s">
        <v>150</v>
      </c>
      <c r="F16" s="237" t="s">
        <v>123</v>
      </c>
      <c r="G16" s="242" t="s">
        <v>162</v>
      </c>
      <c r="H16" s="238" t="s">
        <v>125</v>
      </c>
      <c r="I16" s="236" t="s">
        <v>133</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127</v>
      </c>
      <c r="Z16" s="527" t="s">
        <v>128</v>
      </c>
      <c r="AA16" s="224" t="s">
        <v>163</v>
      </c>
      <c r="AB16" s="225" t="s">
        <v>135</v>
      </c>
      <c r="AC16" s="243" t="s">
        <v>164</v>
      </c>
      <c r="AD16" s="226" t="s">
        <v>132</v>
      </c>
      <c r="AE16" s="244" t="s">
        <v>133</v>
      </c>
      <c r="AF16" s="245" t="s">
        <v>165</v>
      </c>
      <c r="AG16" s="225" t="s">
        <v>135</v>
      </c>
      <c r="AH16" s="218" t="s">
        <v>46</v>
      </c>
      <c r="AI16" s="237" t="s">
        <v>46</v>
      </c>
      <c r="AJ16" s="240" t="s">
        <v>160</v>
      </c>
      <c r="AK16" s="245" t="s">
        <v>166</v>
      </c>
      <c r="AL16" s="225" t="s">
        <v>135</v>
      </c>
      <c r="AM16" s="237" t="s">
        <v>46</v>
      </c>
      <c r="AN16" s="237" t="s">
        <v>46</v>
      </c>
      <c r="AO16" s="240" t="s">
        <v>46</v>
      </c>
      <c r="AP16" s="228" t="s">
        <v>167</v>
      </c>
      <c r="AQ16" s="237" t="s">
        <v>138</v>
      </c>
      <c r="AR16" s="240" t="s">
        <v>46</v>
      </c>
      <c r="AS16" s="240" t="s">
        <v>46</v>
      </c>
      <c r="AT16" s="240" t="s">
        <v>46</v>
      </c>
      <c r="AU16" s="229" t="s">
        <v>42</v>
      </c>
      <c r="AV16" s="257" t="s">
        <v>139</v>
      </c>
      <c r="AW16" s="419" t="s">
        <v>168</v>
      </c>
      <c r="AX16" s="419" t="s">
        <v>46</v>
      </c>
      <c r="AY16" s="232" t="s">
        <v>46</v>
      </c>
      <c r="AZ16" s="242" t="s">
        <v>169</v>
      </c>
      <c r="BA16" s="230" t="s">
        <v>142</v>
      </c>
      <c r="BB16" s="231"/>
      <c r="BC16" s="231" t="s">
        <v>143</v>
      </c>
      <c r="BD16" s="233"/>
      <c r="BE16" s="233"/>
      <c r="BF16" s="233"/>
      <c r="BG16" s="233"/>
      <c r="BH16" s="233"/>
      <c r="BI16" s="961" t="s">
        <v>46</v>
      </c>
      <c r="BJ16" s="961" t="s">
        <v>46</v>
      </c>
      <c r="BK16" s="961" t="s">
        <v>46</v>
      </c>
      <c r="BL16" s="961" t="s">
        <v>46</v>
      </c>
      <c r="BM16" s="961" t="s">
        <v>46</v>
      </c>
      <c r="BN16" s="961" t="s">
        <v>46</v>
      </c>
      <c r="BO16" s="961" t="s">
        <v>46</v>
      </c>
      <c r="BP16" s="961" t="s">
        <v>46</v>
      </c>
      <c r="BQ16" s="961" t="s">
        <v>46</v>
      </c>
      <c r="BR16" s="961" t="s">
        <v>46</v>
      </c>
      <c r="BS16" s="223"/>
      <c r="BT16" s="223"/>
      <c r="BU16" s="223"/>
      <c r="BV16" s="223"/>
      <c r="BW16" s="247"/>
    </row>
    <row r="17" spans="2:75" ht="134.44999999999999">
      <c r="B17" s="235"/>
      <c r="C17" s="218"/>
      <c r="D17" s="236" t="s">
        <v>170</v>
      </c>
      <c r="E17" s="224" t="s">
        <v>150</v>
      </c>
      <c r="F17" s="237" t="s">
        <v>123</v>
      </c>
      <c r="G17" s="242" t="s">
        <v>171</v>
      </c>
      <c r="H17" s="238" t="s">
        <v>125</v>
      </c>
      <c r="I17" s="236" t="s">
        <v>133</v>
      </c>
      <c r="J17" s="239" t="s">
        <v>46</v>
      </c>
      <c r="K17" s="237" t="s">
        <v>46</v>
      </c>
      <c r="L17" s="237" t="s">
        <v>46</v>
      </c>
      <c r="M17" s="237" t="s">
        <v>46</v>
      </c>
      <c r="N17" s="240" t="s">
        <v>46</v>
      </c>
      <c r="O17" s="239" t="s">
        <v>46</v>
      </c>
      <c r="P17" s="237" t="s">
        <v>46</v>
      </c>
      <c r="Q17" s="237" t="s">
        <v>46</v>
      </c>
      <c r="R17" s="237" t="s">
        <v>46</v>
      </c>
      <c r="S17" s="240" t="s">
        <v>46</v>
      </c>
      <c r="T17" s="241" t="s">
        <v>46</v>
      </c>
      <c r="U17" s="237" t="s">
        <v>46</v>
      </c>
      <c r="V17" s="240" t="s">
        <v>46</v>
      </c>
      <c r="W17" s="240" t="s">
        <v>46</v>
      </c>
      <c r="X17" s="240" t="s">
        <v>46</v>
      </c>
      <c r="Y17" s="296" t="s">
        <v>127</v>
      </c>
      <c r="Z17" s="527" t="s">
        <v>128</v>
      </c>
      <c r="AA17" s="224" t="s">
        <v>172</v>
      </c>
      <c r="AB17" s="225" t="s">
        <v>135</v>
      </c>
      <c r="AC17" s="243" t="s">
        <v>173</v>
      </c>
      <c r="AD17" s="226" t="s">
        <v>132</v>
      </c>
      <c r="AE17" s="244" t="s">
        <v>133</v>
      </c>
      <c r="AF17" s="245" t="s">
        <v>174</v>
      </c>
      <c r="AG17" s="225" t="s">
        <v>135</v>
      </c>
      <c r="AH17" s="218" t="s">
        <v>46</v>
      </c>
      <c r="AI17" s="237" t="s">
        <v>46</v>
      </c>
      <c r="AJ17" s="240" t="s">
        <v>46</v>
      </c>
      <c r="AK17" s="245" t="s">
        <v>175</v>
      </c>
      <c r="AL17" s="225" t="s">
        <v>135</v>
      </c>
      <c r="AM17" s="237" t="s">
        <v>46</v>
      </c>
      <c r="AN17" s="237" t="s">
        <v>46</v>
      </c>
      <c r="AO17" s="240" t="s">
        <v>46</v>
      </c>
      <c r="AP17" s="228" t="s">
        <v>176</v>
      </c>
      <c r="AQ17" s="237" t="s">
        <v>138</v>
      </c>
      <c r="AR17" s="240" t="s">
        <v>46</v>
      </c>
      <c r="AS17" s="240" t="s">
        <v>46</v>
      </c>
      <c r="AT17" s="240" t="s">
        <v>46</v>
      </c>
      <c r="AU17" s="229" t="s">
        <v>42</v>
      </c>
      <c r="AV17" s="251" t="s">
        <v>139</v>
      </c>
      <c r="AW17" s="420" t="s">
        <v>46</v>
      </c>
      <c r="AX17" s="420" t="s">
        <v>46</v>
      </c>
      <c r="AY17" s="421" t="s">
        <v>177</v>
      </c>
      <c r="AZ17" s="421" t="s">
        <v>178</v>
      </c>
      <c r="BA17" s="230" t="s">
        <v>142</v>
      </c>
      <c r="BB17" s="231"/>
      <c r="BC17" s="231" t="s">
        <v>143</v>
      </c>
      <c r="BD17" s="963" t="s">
        <v>46</v>
      </c>
      <c r="BE17" s="963" t="s">
        <v>46</v>
      </c>
      <c r="BF17" s="963" t="s">
        <v>46</v>
      </c>
      <c r="BG17" s="963" t="s">
        <v>46</v>
      </c>
      <c r="BH17" s="963" t="s">
        <v>46</v>
      </c>
      <c r="BI17" s="963" t="s">
        <v>46</v>
      </c>
      <c r="BJ17" s="963" t="s">
        <v>46</v>
      </c>
      <c r="BK17" s="963" t="s">
        <v>46</v>
      </c>
      <c r="BL17" s="963" t="s">
        <v>46</v>
      </c>
      <c r="BM17" s="963" t="s">
        <v>46</v>
      </c>
      <c r="BN17" s="223"/>
      <c r="BO17" s="223"/>
      <c r="BP17" s="223"/>
      <c r="BQ17" s="223"/>
      <c r="BR17" s="223"/>
      <c r="BS17" s="223"/>
      <c r="BT17" s="223"/>
      <c r="BU17" s="223"/>
      <c r="BV17" s="223"/>
      <c r="BW17" s="247"/>
    </row>
    <row r="18" spans="2:75" ht="117.6">
      <c r="B18" s="235"/>
      <c r="C18" s="254" t="s">
        <v>179</v>
      </c>
      <c r="D18" s="221" t="s">
        <v>121</v>
      </c>
      <c r="E18" s="245" t="s">
        <v>180</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181</v>
      </c>
      <c r="AA18" s="245" t="s">
        <v>182</v>
      </c>
      <c r="AB18" s="242" t="s">
        <v>183</v>
      </c>
      <c r="AC18" s="243" t="s">
        <v>184</v>
      </c>
      <c r="AD18" s="226" t="s">
        <v>132</v>
      </c>
      <c r="AE18" s="244" t="s">
        <v>133</v>
      </c>
      <c r="AF18" s="245" t="s">
        <v>185</v>
      </c>
      <c r="AG18" s="242" t="s">
        <v>183</v>
      </c>
      <c r="AH18" s="238" t="s">
        <v>46</v>
      </c>
      <c r="AI18" s="238" t="s">
        <v>46</v>
      </c>
      <c r="AJ18" s="238" t="s">
        <v>46</v>
      </c>
      <c r="AK18" s="245" t="s">
        <v>186</v>
      </c>
      <c r="AL18" s="243" t="s">
        <v>183</v>
      </c>
      <c r="AM18" s="238" t="s">
        <v>46</v>
      </c>
      <c r="AN18" s="238" t="s">
        <v>46</v>
      </c>
      <c r="AO18" s="238" t="s">
        <v>46</v>
      </c>
      <c r="AP18" s="245" t="s">
        <v>187</v>
      </c>
      <c r="AQ18" s="243" t="s">
        <v>183</v>
      </c>
      <c r="AR18" s="240" t="s">
        <v>46</v>
      </c>
      <c r="AS18" s="240" t="s">
        <v>46</v>
      </c>
      <c r="AT18" s="240" t="s">
        <v>46</v>
      </c>
      <c r="AU18" s="229" t="s">
        <v>42</v>
      </c>
      <c r="AV18" s="277" t="s">
        <v>139</v>
      </c>
      <c r="AW18" s="917" t="s">
        <v>188</v>
      </c>
      <c r="AX18" s="917" t="s">
        <v>189</v>
      </c>
      <c r="AY18" s="918" t="s">
        <v>190</v>
      </c>
      <c r="AZ18" s="918" t="s">
        <v>191</v>
      </c>
      <c r="BA18" s="230" t="s">
        <v>142</v>
      </c>
      <c r="BB18" s="231"/>
      <c r="BC18" s="231" t="s">
        <v>143</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117.6">
      <c r="B19" s="235"/>
      <c r="C19" s="216"/>
      <c r="D19" s="221" t="s">
        <v>149</v>
      </c>
      <c r="E19" s="245" t="s">
        <v>180</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181</v>
      </c>
      <c r="AA19" s="245" t="s">
        <v>192</v>
      </c>
      <c r="AB19" s="242" t="s">
        <v>193</v>
      </c>
      <c r="AC19" s="243" t="s">
        <v>194</v>
      </c>
      <c r="AD19" s="226" t="s">
        <v>132</v>
      </c>
      <c r="AE19" s="244" t="s">
        <v>133</v>
      </c>
      <c r="AF19" s="245" t="s">
        <v>195</v>
      </c>
      <c r="AG19" s="242" t="s">
        <v>193</v>
      </c>
      <c r="AH19" s="238" t="s">
        <v>46</v>
      </c>
      <c r="AI19" s="238" t="s">
        <v>46</v>
      </c>
      <c r="AJ19" s="238" t="s">
        <v>46</v>
      </c>
      <c r="AK19" s="245" t="s">
        <v>196</v>
      </c>
      <c r="AL19" s="242" t="s">
        <v>193</v>
      </c>
      <c r="AM19" s="238" t="s">
        <v>46</v>
      </c>
      <c r="AN19" s="238" t="s">
        <v>46</v>
      </c>
      <c r="AO19" s="238" t="s">
        <v>46</v>
      </c>
      <c r="AP19" s="245" t="s">
        <v>197</v>
      </c>
      <c r="AQ19" s="242" t="s">
        <v>193</v>
      </c>
      <c r="AR19" s="240" t="s">
        <v>46</v>
      </c>
      <c r="AS19" s="240" t="s">
        <v>46</v>
      </c>
      <c r="AT19" s="240" t="s">
        <v>46</v>
      </c>
      <c r="AU19" s="229" t="s">
        <v>42</v>
      </c>
      <c r="AV19" s="251"/>
      <c r="AW19" s="919" t="s">
        <v>198</v>
      </c>
      <c r="AX19" s="919" t="s">
        <v>199</v>
      </c>
      <c r="AY19" s="920" t="s">
        <v>200</v>
      </c>
      <c r="AZ19" s="920" t="s">
        <v>201</v>
      </c>
      <c r="BA19" s="230" t="s">
        <v>142</v>
      </c>
      <c r="BB19" s="231"/>
      <c r="BC19" s="231" t="s">
        <v>143</v>
      </c>
      <c r="BD19" s="233"/>
      <c r="BE19" s="233"/>
      <c r="BF19" s="233"/>
      <c r="BG19" s="233"/>
      <c r="BH19" s="233"/>
      <c r="BI19" s="223"/>
      <c r="BJ19" s="223"/>
      <c r="BK19" s="223"/>
      <c r="BL19" s="223"/>
      <c r="BM19" s="223"/>
      <c r="BN19" s="223"/>
      <c r="BO19" s="223"/>
      <c r="BP19" s="223"/>
      <c r="BQ19" s="223"/>
      <c r="BR19" s="223"/>
      <c r="BS19" s="223"/>
      <c r="BT19" s="223"/>
      <c r="BU19" s="223"/>
      <c r="BV19" s="223"/>
      <c r="BW19" s="247"/>
    </row>
    <row r="20" spans="2:75" ht="117.6">
      <c r="B20" s="235"/>
      <c r="C20" s="216"/>
      <c r="D20" s="252" t="s">
        <v>161</v>
      </c>
      <c r="E20" s="245" t="s">
        <v>180</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181</v>
      </c>
      <c r="AA20" s="245" t="s">
        <v>202</v>
      </c>
      <c r="AB20" s="242" t="s">
        <v>203</v>
      </c>
      <c r="AC20" s="243" t="s">
        <v>204</v>
      </c>
      <c r="AD20" s="226" t="s">
        <v>205</v>
      </c>
      <c r="AE20" s="244" t="s">
        <v>133</v>
      </c>
      <c r="AF20" s="245" t="s">
        <v>206</v>
      </c>
      <c r="AG20" s="242" t="s">
        <v>193</v>
      </c>
      <c r="AH20" s="238" t="s">
        <v>46</v>
      </c>
      <c r="AI20" s="238" t="s">
        <v>46</v>
      </c>
      <c r="AJ20" s="238" t="s">
        <v>46</v>
      </c>
      <c r="AK20" s="245" t="s">
        <v>207</v>
      </c>
      <c r="AL20" s="242" t="s">
        <v>203</v>
      </c>
      <c r="AM20" s="238" t="s">
        <v>46</v>
      </c>
      <c r="AN20" s="238" t="s">
        <v>46</v>
      </c>
      <c r="AO20" s="238" t="s">
        <v>46</v>
      </c>
      <c r="AP20" s="245" t="s">
        <v>208</v>
      </c>
      <c r="AQ20" s="238" t="s">
        <v>46</v>
      </c>
      <c r="AR20" s="240" t="s">
        <v>46</v>
      </c>
      <c r="AS20" s="240" t="s">
        <v>46</v>
      </c>
      <c r="AT20" s="240" t="s">
        <v>46</v>
      </c>
      <c r="AU20" s="229" t="s">
        <v>42</v>
      </c>
      <c r="AV20" s="251"/>
      <c r="AW20" s="919" t="s">
        <v>209</v>
      </c>
      <c r="AX20" s="919" t="s">
        <v>210</v>
      </c>
      <c r="AY20" s="920" t="s">
        <v>211</v>
      </c>
      <c r="AZ20" s="920" t="s">
        <v>212</v>
      </c>
      <c r="BA20" s="230" t="s">
        <v>142</v>
      </c>
      <c r="BB20" s="231"/>
      <c r="BC20" s="231" t="s">
        <v>143</v>
      </c>
      <c r="BD20" s="223"/>
      <c r="BE20" s="223"/>
      <c r="BF20" s="223"/>
      <c r="BG20" s="223"/>
      <c r="BH20" s="223"/>
      <c r="BI20" s="223"/>
      <c r="BJ20" s="223"/>
      <c r="BK20" s="223"/>
      <c r="BL20" s="223"/>
      <c r="BM20" s="223"/>
      <c r="BN20" s="223"/>
      <c r="BO20" s="223"/>
      <c r="BP20" s="223"/>
      <c r="BQ20" s="223"/>
      <c r="BR20" s="223"/>
      <c r="BS20" s="253"/>
      <c r="BT20" s="223"/>
      <c r="BU20" s="223"/>
      <c r="BV20" s="223"/>
      <c r="BW20" s="247"/>
    </row>
    <row r="21" spans="2:75" ht="84">
      <c r="B21" s="235"/>
      <c r="C21" s="254"/>
      <c r="D21" s="240" t="s">
        <v>170</v>
      </c>
      <c r="E21" s="245" t="s">
        <v>180</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181</v>
      </c>
      <c r="AA21" s="245" t="s">
        <v>213</v>
      </c>
      <c r="AB21" s="242" t="s">
        <v>203</v>
      </c>
      <c r="AC21" s="243" t="s">
        <v>214</v>
      </c>
      <c r="AD21" s="243" t="s">
        <v>205</v>
      </c>
      <c r="AE21" s="244" t="s">
        <v>133</v>
      </c>
      <c r="AF21" s="245" t="s">
        <v>215</v>
      </c>
      <c r="AG21" s="243" t="s">
        <v>203</v>
      </c>
      <c r="AH21" s="238" t="s">
        <v>46</v>
      </c>
      <c r="AI21" s="238" t="s">
        <v>46</v>
      </c>
      <c r="AJ21" s="238" t="s">
        <v>46</v>
      </c>
      <c r="AK21" s="245" t="s">
        <v>216</v>
      </c>
      <c r="AL21" s="243" t="s">
        <v>203</v>
      </c>
      <c r="AM21" s="238" t="s">
        <v>46</v>
      </c>
      <c r="AN21" s="238" t="s">
        <v>46</v>
      </c>
      <c r="AO21" s="238" t="s">
        <v>46</v>
      </c>
      <c r="AP21" s="245" t="s">
        <v>217</v>
      </c>
      <c r="AQ21" s="243" t="s">
        <v>203</v>
      </c>
      <c r="AR21" s="240" t="s">
        <v>46</v>
      </c>
      <c r="AS21" s="240" t="s">
        <v>46</v>
      </c>
      <c r="AT21" s="240" t="s">
        <v>46</v>
      </c>
      <c r="AU21" s="229" t="s">
        <v>42</v>
      </c>
      <c r="AV21" s="251"/>
      <c r="AW21" s="919" t="s">
        <v>218</v>
      </c>
      <c r="AX21" s="919" t="s">
        <v>219</v>
      </c>
      <c r="AY21" s="920" t="s">
        <v>220</v>
      </c>
      <c r="AZ21" s="920" t="s">
        <v>221</v>
      </c>
      <c r="BA21" s="230" t="s">
        <v>142</v>
      </c>
      <c r="BB21" s="231"/>
      <c r="BC21" s="231" t="s">
        <v>143</v>
      </c>
      <c r="BD21" s="223"/>
      <c r="BE21" s="223"/>
      <c r="BF21" s="223"/>
      <c r="BG21" s="223"/>
      <c r="BH21" s="223"/>
      <c r="BI21" s="223"/>
      <c r="BJ21" s="223"/>
      <c r="BK21" s="223"/>
      <c r="BL21" s="223"/>
      <c r="BM21" s="223"/>
      <c r="BN21" s="223"/>
      <c r="BO21" s="223"/>
      <c r="BP21" s="223"/>
      <c r="BQ21" s="223"/>
      <c r="BR21" s="223"/>
      <c r="BS21" s="255"/>
      <c r="BT21" s="256"/>
      <c r="BU21" s="223"/>
      <c r="BV21" s="223"/>
      <c r="BW21" s="247"/>
    </row>
    <row r="22" spans="2:75" ht="117.6">
      <c r="B22" s="235"/>
      <c r="C22" s="218"/>
      <c r="D22" s="221" t="s">
        <v>222</v>
      </c>
      <c r="E22" s="245" t="s">
        <v>180</v>
      </c>
      <c r="F22" s="237" t="s">
        <v>50</v>
      </c>
      <c r="G22" s="238" t="s">
        <v>50</v>
      </c>
      <c r="H22" s="238" t="s">
        <v>50</v>
      </c>
      <c r="I22" s="236" t="s">
        <v>50</v>
      </c>
      <c r="J22" s="239" t="s">
        <v>50</v>
      </c>
      <c r="K22" s="238" t="s">
        <v>50</v>
      </c>
      <c r="L22" s="238" t="s">
        <v>50</v>
      </c>
      <c r="M22" s="238" t="s">
        <v>50</v>
      </c>
      <c r="N22" s="236" t="s">
        <v>50</v>
      </c>
      <c r="O22" s="239" t="s">
        <v>50</v>
      </c>
      <c r="P22" s="238" t="s">
        <v>50</v>
      </c>
      <c r="Q22" s="238" t="s">
        <v>50</v>
      </c>
      <c r="R22" s="238" t="s">
        <v>50</v>
      </c>
      <c r="S22" s="236" t="s">
        <v>50</v>
      </c>
      <c r="T22" s="239" t="s">
        <v>50</v>
      </c>
      <c r="U22" s="238" t="s">
        <v>50</v>
      </c>
      <c r="V22" s="238" t="s">
        <v>50</v>
      </c>
      <c r="W22" s="238" t="s">
        <v>50</v>
      </c>
      <c r="X22" s="236" t="s">
        <v>50</v>
      </c>
      <c r="Y22" s="249" t="s">
        <v>44</v>
      </c>
      <c r="Z22" s="528" t="s">
        <v>181</v>
      </c>
      <c r="AA22" s="245" t="s">
        <v>223</v>
      </c>
      <c r="AB22" s="242" t="s">
        <v>203</v>
      </c>
      <c r="AC22" s="243" t="s">
        <v>224</v>
      </c>
      <c r="AD22" s="243" t="s">
        <v>205</v>
      </c>
      <c r="AE22" s="244" t="s">
        <v>133</v>
      </c>
      <c r="AF22" s="245" t="s">
        <v>225</v>
      </c>
      <c r="AG22" s="243" t="s">
        <v>203</v>
      </c>
      <c r="AH22" s="238" t="s">
        <v>46</v>
      </c>
      <c r="AI22" s="238" t="s">
        <v>46</v>
      </c>
      <c r="AJ22" s="238" t="s">
        <v>46</v>
      </c>
      <c r="AK22" s="245" t="s">
        <v>226</v>
      </c>
      <c r="AL22" s="243" t="s">
        <v>203</v>
      </c>
      <c r="AM22" s="238" t="s">
        <v>46</v>
      </c>
      <c r="AN22" s="238" t="s">
        <v>46</v>
      </c>
      <c r="AO22" s="238" t="s">
        <v>46</v>
      </c>
      <c r="AP22" s="245" t="s">
        <v>227</v>
      </c>
      <c r="AQ22" s="243" t="s">
        <v>203</v>
      </c>
      <c r="AR22" s="240" t="s">
        <v>46</v>
      </c>
      <c r="AS22" s="240" t="s">
        <v>46</v>
      </c>
      <c r="AT22" s="240" t="s">
        <v>46</v>
      </c>
      <c r="AU22" s="229" t="s">
        <v>42</v>
      </c>
      <c r="AV22" s="257"/>
      <c r="AW22" s="921" t="s">
        <v>228</v>
      </c>
      <c r="AX22" s="921" t="s">
        <v>229</v>
      </c>
      <c r="AY22" s="922" t="s">
        <v>230</v>
      </c>
      <c r="AZ22" s="922" t="s">
        <v>231</v>
      </c>
      <c r="BA22" s="230" t="s">
        <v>142</v>
      </c>
      <c r="BB22" s="231"/>
      <c r="BC22" s="231" t="s">
        <v>143</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8" t="s">
        <v>170</v>
      </c>
      <c r="D23" s="259" t="s">
        <v>232</v>
      </c>
      <c r="E23" s="245" t="s">
        <v>180</v>
      </c>
      <c r="F23" s="260" t="s">
        <v>50</v>
      </c>
      <c r="G23" s="261" t="s">
        <v>50</v>
      </c>
      <c r="H23" s="261" t="s">
        <v>50</v>
      </c>
      <c r="I23" s="262" t="s">
        <v>50</v>
      </c>
      <c r="J23" s="263" t="s">
        <v>50</v>
      </c>
      <c r="K23" s="261" t="s">
        <v>50</v>
      </c>
      <c r="L23" s="261" t="s">
        <v>50</v>
      </c>
      <c r="M23" s="261" t="s">
        <v>50</v>
      </c>
      <c r="N23" s="262" t="s">
        <v>50</v>
      </c>
      <c r="O23" s="263" t="s">
        <v>50</v>
      </c>
      <c r="P23" s="261" t="s">
        <v>50</v>
      </c>
      <c r="Q23" s="261" t="s">
        <v>50</v>
      </c>
      <c r="R23" s="261" t="s">
        <v>50</v>
      </c>
      <c r="S23" s="262" t="s">
        <v>50</v>
      </c>
      <c r="T23" s="263" t="s">
        <v>50</v>
      </c>
      <c r="U23" s="261" t="s">
        <v>50</v>
      </c>
      <c r="V23" s="261" t="s">
        <v>50</v>
      </c>
      <c r="W23" s="261" t="s">
        <v>50</v>
      </c>
      <c r="X23" s="262" t="s">
        <v>50</v>
      </c>
      <c r="Y23" s="249" t="s">
        <v>44</v>
      </c>
      <c r="Z23" s="528" t="s">
        <v>181</v>
      </c>
      <c r="AA23" s="264" t="s">
        <v>233</v>
      </c>
      <c r="AB23" s="265" t="s">
        <v>234</v>
      </c>
      <c r="AC23" s="243" t="s">
        <v>235</v>
      </c>
      <c r="AD23" s="243" t="s">
        <v>205</v>
      </c>
      <c r="AE23" s="244" t="s">
        <v>133</v>
      </c>
      <c r="AF23" s="264" t="s">
        <v>236</v>
      </c>
      <c r="AG23" s="243" t="s">
        <v>234</v>
      </c>
      <c r="AH23" s="238" t="s">
        <v>46</v>
      </c>
      <c r="AI23" s="238" t="s">
        <v>46</v>
      </c>
      <c r="AJ23" s="238" t="s">
        <v>46</v>
      </c>
      <c r="AK23" s="264" t="s">
        <v>237</v>
      </c>
      <c r="AL23" s="243" t="s">
        <v>234</v>
      </c>
      <c r="AM23" s="238" t="s">
        <v>46</v>
      </c>
      <c r="AN23" s="238" t="s">
        <v>46</v>
      </c>
      <c r="AO23" s="238" t="s">
        <v>46</v>
      </c>
      <c r="AP23" s="264" t="s">
        <v>238</v>
      </c>
      <c r="AQ23" s="238" t="s">
        <v>234</v>
      </c>
      <c r="AR23" s="238" t="s">
        <v>46</v>
      </c>
      <c r="AS23" s="238" t="s">
        <v>46</v>
      </c>
      <c r="AT23" s="238" t="s">
        <v>46</v>
      </c>
      <c r="AU23" s="229" t="s">
        <v>42</v>
      </c>
      <c r="AV23" s="1056" t="s">
        <v>239</v>
      </c>
      <c r="AW23" s="268" t="s">
        <v>46</v>
      </c>
      <c r="AX23" s="269" t="s">
        <v>46</v>
      </c>
      <c r="AY23" s="270" t="s">
        <v>46</v>
      </c>
      <c r="AZ23" s="271" t="s">
        <v>240</v>
      </c>
      <c r="BA23" s="230" t="s">
        <v>142</v>
      </c>
      <c r="BB23" s="231"/>
      <c r="BC23" s="231" t="s">
        <v>143</v>
      </c>
      <c r="BD23" s="961" t="s">
        <v>46</v>
      </c>
      <c r="BE23" s="961" t="s">
        <v>46</v>
      </c>
      <c r="BF23" s="961" t="s">
        <v>46</v>
      </c>
      <c r="BG23" s="961" t="s">
        <v>46</v>
      </c>
      <c r="BH23" s="961" t="s">
        <v>46</v>
      </c>
      <c r="BI23" s="961" t="s">
        <v>46</v>
      </c>
      <c r="BJ23" s="961" t="s">
        <v>46</v>
      </c>
      <c r="BK23" s="961" t="s">
        <v>46</v>
      </c>
      <c r="BL23" s="961" t="s">
        <v>46</v>
      </c>
      <c r="BM23" s="961" t="s">
        <v>46</v>
      </c>
      <c r="BN23" s="961" t="s">
        <v>46</v>
      </c>
      <c r="BO23" s="961" t="s">
        <v>46</v>
      </c>
      <c r="BP23" s="961" t="s">
        <v>46</v>
      </c>
      <c r="BQ23" s="961" t="s">
        <v>46</v>
      </c>
      <c r="BR23" s="961" t="s">
        <v>46</v>
      </c>
      <c r="BS23" s="223"/>
      <c r="BT23" s="223"/>
      <c r="BU23" s="223"/>
      <c r="BV23" s="223"/>
      <c r="BW23" s="247"/>
    </row>
    <row r="24" spans="2:75" ht="409.6" customHeight="1">
      <c r="B24" s="235"/>
      <c r="C24" s="254"/>
      <c r="D24" s="240" t="s">
        <v>241</v>
      </c>
      <c r="E24" s="245" t="s">
        <v>180</v>
      </c>
      <c r="F24" s="237" t="s">
        <v>50</v>
      </c>
      <c r="G24" s="238" t="s">
        <v>50</v>
      </c>
      <c r="H24" s="238" t="s">
        <v>50</v>
      </c>
      <c r="I24" s="236" t="s">
        <v>50</v>
      </c>
      <c r="J24" s="239" t="s">
        <v>50</v>
      </c>
      <c r="K24" s="238" t="s">
        <v>50</v>
      </c>
      <c r="L24" s="238" t="s">
        <v>50</v>
      </c>
      <c r="M24" s="238" t="s">
        <v>50</v>
      </c>
      <c r="N24" s="236" t="s">
        <v>50</v>
      </c>
      <c r="O24" s="239" t="s">
        <v>50</v>
      </c>
      <c r="P24" s="238" t="s">
        <v>50</v>
      </c>
      <c r="Q24" s="238" t="s">
        <v>50</v>
      </c>
      <c r="R24" s="238" t="s">
        <v>50</v>
      </c>
      <c r="S24" s="236" t="s">
        <v>50</v>
      </c>
      <c r="T24" s="239" t="s">
        <v>50</v>
      </c>
      <c r="U24" s="238" t="s">
        <v>50</v>
      </c>
      <c r="V24" s="238" t="s">
        <v>50</v>
      </c>
      <c r="W24" s="238" t="s">
        <v>50</v>
      </c>
      <c r="X24" s="236" t="s">
        <v>50</v>
      </c>
      <c r="Y24" s="249" t="s">
        <v>44</v>
      </c>
      <c r="Z24" s="528" t="s">
        <v>181</v>
      </c>
      <c r="AA24" s="264" t="s">
        <v>242</v>
      </c>
      <c r="AB24" s="265" t="s">
        <v>234</v>
      </c>
      <c r="AC24" s="243" t="s">
        <v>243</v>
      </c>
      <c r="AD24" s="243" t="s">
        <v>205</v>
      </c>
      <c r="AE24" s="244" t="s">
        <v>133</v>
      </c>
      <c r="AF24" s="264" t="s">
        <v>244</v>
      </c>
      <c r="AG24" s="243" t="s">
        <v>234</v>
      </c>
      <c r="AH24" s="243" t="s">
        <v>245</v>
      </c>
      <c r="AI24" s="238"/>
      <c r="AJ24" s="238"/>
      <c r="AK24" s="264" t="s">
        <v>246</v>
      </c>
      <c r="AL24" s="243" t="s">
        <v>234</v>
      </c>
      <c r="AM24" s="238" t="s">
        <v>46</v>
      </c>
      <c r="AN24" s="238" t="s">
        <v>46</v>
      </c>
      <c r="AO24" s="238" t="s">
        <v>46</v>
      </c>
      <c r="AP24" s="264" t="s">
        <v>247</v>
      </c>
      <c r="AQ24" s="238" t="s">
        <v>234</v>
      </c>
      <c r="AR24" s="240"/>
      <c r="AS24" s="240"/>
      <c r="AT24" s="240"/>
      <c r="AU24" s="229" t="s">
        <v>42</v>
      </c>
      <c r="AV24" s="1167"/>
      <c r="AW24" s="484" t="s">
        <v>248</v>
      </c>
      <c r="AX24" s="269" t="s">
        <v>46</v>
      </c>
      <c r="AY24" s="270" t="s">
        <v>46</v>
      </c>
      <c r="AZ24" s="485" t="s">
        <v>249</v>
      </c>
      <c r="BA24" s="230" t="s">
        <v>142</v>
      </c>
      <c r="BB24" s="231"/>
      <c r="BC24" s="231" t="s">
        <v>143</v>
      </c>
      <c r="BD24" s="223"/>
      <c r="BE24" s="223"/>
      <c r="BF24" s="223"/>
      <c r="BG24" s="223"/>
      <c r="BH24" s="223"/>
      <c r="BI24" s="961" t="s">
        <v>46</v>
      </c>
      <c r="BJ24" s="961" t="s">
        <v>46</v>
      </c>
      <c r="BK24" s="961" t="s">
        <v>46</v>
      </c>
      <c r="BL24" s="961" t="s">
        <v>46</v>
      </c>
      <c r="BM24" s="961" t="s">
        <v>46</v>
      </c>
      <c r="BN24" s="961" t="s">
        <v>46</v>
      </c>
      <c r="BO24" s="961" t="s">
        <v>46</v>
      </c>
      <c r="BP24" s="961" t="s">
        <v>46</v>
      </c>
      <c r="BQ24" s="961" t="s">
        <v>46</v>
      </c>
      <c r="BR24" s="961" t="s">
        <v>46</v>
      </c>
      <c r="BS24" s="223"/>
      <c r="BT24" s="223"/>
      <c r="BU24" s="223"/>
      <c r="BV24" s="223"/>
      <c r="BW24" s="247"/>
    </row>
    <row r="25" spans="2:75" ht="409.6" customHeight="1">
      <c r="B25" s="235"/>
      <c r="C25" s="216"/>
      <c r="D25" s="221" t="s">
        <v>250</v>
      </c>
      <c r="E25" s="245" t="s">
        <v>180</v>
      </c>
      <c r="F25" s="258" t="s">
        <v>50</v>
      </c>
      <c r="G25" s="272" t="s">
        <v>50</v>
      </c>
      <c r="H25" s="272" t="s">
        <v>50</v>
      </c>
      <c r="I25" s="248" t="s">
        <v>50</v>
      </c>
      <c r="J25" s="273" t="s">
        <v>50</v>
      </c>
      <c r="K25" s="272" t="s">
        <v>50</v>
      </c>
      <c r="L25" s="272" t="s">
        <v>50</v>
      </c>
      <c r="M25" s="272" t="s">
        <v>50</v>
      </c>
      <c r="N25" s="248" t="s">
        <v>50</v>
      </c>
      <c r="O25" s="273" t="s">
        <v>50</v>
      </c>
      <c r="P25" s="272" t="s">
        <v>50</v>
      </c>
      <c r="Q25" s="272" t="s">
        <v>50</v>
      </c>
      <c r="R25" s="272" t="s">
        <v>50</v>
      </c>
      <c r="S25" s="248" t="s">
        <v>50</v>
      </c>
      <c r="T25" s="273" t="s">
        <v>50</v>
      </c>
      <c r="U25" s="272" t="s">
        <v>50</v>
      </c>
      <c r="V25" s="272" t="s">
        <v>50</v>
      </c>
      <c r="W25" s="272" t="s">
        <v>50</v>
      </c>
      <c r="X25" s="248" t="s">
        <v>50</v>
      </c>
      <c r="Y25" s="249" t="s">
        <v>44</v>
      </c>
      <c r="Z25" s="528" t="s">
        <v>181</v>
      </c>
      <c r="AA25" s="264" t="s">
        <v>251</v>
      </c>
      <c r="AB25" s="265" t="s">
        <v>234</v>
      </c>
      <c r="AC25" s="269" t="s">
        <v>252</v>
      </c>
      <c r="AD25" s="243" t="s">
        <v>205</v>
      </c>
      <c r="AE25" s="244" t="s">
        <v>133</v>
      </c>
      <c r="AF25" s="264" t="s">
        <v>253</v>
      </c>
      <c r="AG25" s="243" t="s">
        <v>234</v>
      </c>
      <c r="AH25" s="238" t="s">
        <v>254</v>
      </c>
      <c r="AI25" s="238"/>
      <c r="AJ25" s="238"/>
      <c r="AK25" s="264" t="s">
        <v>255</v>
      </c>
      <c r="AL25" s="243" t="s">
        <v>234</v>
      </c>
      <c r="AM25" s="238" t="s">
        <v>46</v>
      </c>
      <c r="AN25" s="238" t="s">
        <v>46</v>
      </c>
      <c r="AO25" s="238" t="s">
        <v>46</v>
      </c>
      <c r="AP25" s="264" t="s">
        <v>256</v>
      </c>
      <c r="AQ25" s="238" t="s">
        <v>234</v>
      </c>
      <c r="AR25" s="240"/>
      <c r="AS25" s="240"/>
      <c r="AT25" s="240"/>
      <c r="AU25" s="229" t="s">
        <v>42</v>
      </c>
      <c r="AV25" s="1167"/>
      <c r="AW25" s="268" t="s">
        <v>46</v>
      </c>
      <c r="AX25" s="269" t="s">
        <v>257</v>
      </c>
      <c r="AY25" s="290" t="s">
        <v>258</v>
      </c>
      <c r="AZ25" s="290" t="s">
        <v>259</v>
      </c>
      <c r="BA25" s="230" t="s">
        <v>142</v>
      </c>
      <c r="BB25" s="231"/>
      <c r="BC25" s="231" t="s">
        <v>143</v>
      </c>
      <c r="BD25" s="961" t="s">
        <v>46</v>
      </c>
      <c r="BE25" s="961" t="s">
        <v>46</v>
      </c>
      <c r="BF25" s="961" t="s">
        <v>46</v>
      </c>
      <c r="BG25" s="961" t="s">
        <v>46</v>
      </c>
      <c r="BH25" s="961" t="s">
        <v>46</v>
      </c>
      <c r="BI25" s="223"/>
      <c r="BJ25" s="223"/>
      <c r="BK25" s="223"/>
      <c r="BL25" s="223"/>
      <c r="BM25" s="223"/>
      <c r="BN25" s="223"/>
      <c r="BO25" s="223"/>
      <c r="BP25" s="223"/>
      <c r="BQ25" s="223"/>
      <c r="BR25" s="223"/>
      <c r="BS25" s="223"/>
      <c r="BT25" s="223"/>
      <c r="BU25" s="223"/>
      <c r="BV25" s="223"/>
      <c r="BW25" s="247"/>
    </row>
    <row r="26" spans="2:75" ht="409.6" customHeight="1">
      <c r="B26" s="235"/>
      <c r="C26" s="258" t="s">
        <v>260</v>
      </c>
      <c r="D26" s="252" t="s">
        <v>261</v>
      </c>
      <c r="E26" s="276" t="s">
        <v>150</v>
      </c>
      <c r="F26" s="237" t="s">
        <v>262</v>
      </c>
      <c r="G26" s="238" t="s">
        <v>263</v>
      </c>
      <c r="H26" s="238" t="s">
        <v>264</v>
      </c>
      <c r="I26" s="236" t="s">
        <v>46</v>
      </c>
      <c r="J26" s="239" t="s">
        <v>46</v>
      </c>
      <c r="K26" s="237" t="s">
        <v>46</v>
      </c>
      <c r="L26" s="237" t="s">
        <v>46</v>
      </c>
      <c r="M26" s="237" t="s">
        <v>46</v>
      </c>
      <c r="N26" s="240" t="s">
        <v>46</v>
      </c>
      <c r="O26" s="239" t="s">
        <v>46</v>
      </c>
      <c r="P26" s="237" t="s">
        <v>46</v>
      </c>
      <c r="Q26" s="237" t="s">
        <v>46</v>
      </c>
      <c r="R26" s="237" t="s">
        <v>46</v>
      </c>
      <c r="S26" s="240" t="s">
        <v>46</v>
      </c>
      <c r="T26" s="239" t="s">
        <v>46</v>
      </c>
      <c r="U26" s="237" t="s">
        <v>46</v>
      </c>
      <c r="V26" s="237" t="s">
        <v>46</v>
      </c>
      <c r="W26" s="237" t="s">
        <v>46</v>
      </c>
      <c r="X26" s="240" t="s">
        <v>46</v>
      </c>
      <c r="Y26" s="249" t="s">
        <v>127</v>
      </c>
      <c r="Z26" s="527" t="s">
        <v>265</v>
      </c>
      <c r="AA26" s="1057" t="s">
        <v>266</v>
      </c>
      <c r="AB26" s="265" t="s">
        <v>267</v>
      </c>
      <c r="AC26" s="243" t="s">
        <v>268</v>
      </c>
      <c r="AD26" s="243" t="s">
        <v>205</v>
      </c>
      <c r="AE26" s="244" t="s">
        <v>269</v>
      </c>
      <c r="AF26" s="245" t="s">
        <v>270</v>
      </c>
      <c r="AG26" s="265" t="s">
        <v>267</v>
      </c>
      <c r="AH26" s="237" t="s">
        <v>271</v>
      </c>
      <c r="AI26" s="237"/>
      <c r="AJ26" s="240"/>
      <c r="AK26" s="245" t="s">
        <v>272</v>
      </c>
      <c r="AL26" s="265" t="s">
        <v>267</v>
      </c>
      <c r="AM26" s="238" t="s">
        <v>46</v>
      </c>
      <c r="AN26" s="238" t="s">
        <v>46</v>
      </c>
      <c r="AO26" s="238" t="s">
        <v>46</v>
      </c>
      <c r="AP26" s="245" t="s">
        <v>273</v>
      </c>
      <c r="AQ26" s="265" t="s">
        <v>267</v>
      </c>
      <c r="AR26" s="242" t="s">
        <v>274</v>
      </c>
      <c r="AS26" s="237"/>
      <c r="AT26" s="240"/>
      <c r="AU26" s="229" t="s">
        <v>42</v>
      </c>
      <c r="AV26" s="1058" t="s">
        <v>275</v>
      </c>
      <c r="AW26" s="269" t="s">
        <v>46</v>
      </c>
      <c r="AX26" s="270" t="s">
        <v>46</v>
      </c>
      <c r="AY26" s="270" t="s">
        <v>46</v>
      </c>
      <c r="AZ26" s="1064" t="s">
        <v>276</v>
      </c>
      <c r="BA26" s="230" t="s">
        <v>142</v>
      </c>
      <c r="BB26" s="231"/>
      <c r="BC26" s="231" t="s">
        <v>143</v>
      </c>
      <c r="BD26" s="961" t="s">
        <v>46</v>
      </c>
      <c r="BE26" s="961" t="s">
        <v>46</v>
      </c>
      <c r="BF26" s="961" t="s">
        <v>46</v>
      </c>
      <c r="BG26" s="961" t="s">
        <v>46</v>
      </c>
      <c r="BH26" s="961" t="s">
        <v>46</v>
      </c>
      <c r="BI26" s="961" t="s">
        <v>46</v>
      </c>
      <c r="BJ26" s="961" t="s">
        <v>46</v>
      </c>
      <c r="BK26" s="961" t="s">
        <v>46</v>
      </c>
      <c r="BL26" s="961" t="s">
        <v>46</v>
      </c>
      <c r="BM26" s="961" t="s">
        <v>46</v>
      </c>
      <c r="BN26" s="961" t="s">
        <v>46</v>
      </c>
      <c r="BO26" s="961" t="s">
        <v>46</v>
      </c>
      <c r="BP26" s="961" t="s">
        <v>46</v>
      </c>
      <c r="BQ26" s="961" t="s">
        <v>46</v>
      </c>
      <c r="BR26" s="961" t="s">
        <v>46</v>
      </c>
      <c r="BS26" s="223"/>
      <c r="BT26" s="223"/>
      <c r="BU26" s="223"/>
      <c r="BV26" s="223"/>
      <c r="BW26" s="247"/>
    </row>
    <row r="27" spans="2:75" ht="409.6" customHeight="1">
      <c r="B27" s="235"/>
      <c r="C27" s="216"/>
      <c r="D27" s="221"/>
      <c r="E27" s="276" t="s">
        <v>150</v>
      </c>
      <c r="F27" s="237" t="s">
        <v>277</v>
      </c>
      <c r="G27" s="238" t="s">
        <v>50</v>
      </c>
      <c r="H27" s="238" t="s">
        <v>50</v>
      </c>
      <c r="I27" s="236" t="s">
        <v>50</v>
      </c>
      <c r="J27" s="239" t="s">
        <v>50</v>
      </c>
      <c r="K27" s="238" t="s">
        <v>50</v>
      </c>
      <c r="L27" s="238" t="s">
        <v>50</v>
      </c>
      <c r="M27" s="238" t="s">
        <v>50</v>
      </c>
      <c r="N27" s="236" t="s">
        <v>50</v>
      </c>
      <c r="O27" s="239" t="s">
        <v>50</v>
      </c>
      <c r="P27" s="238" t="s">
        <v>50</v>
      </c>
      <c r="Q27" s="238" t="s">
        <v>50</v>
      </c>
      <c r="R27" s="238" t="s">
        <v>50</v>
      </c>
      <c r="S27" s="236" t="s">
        <v>50</v>
      </c>
      <c r="T27" s="239" t="s">
        <v>50</v>
      </c>
      <c r="U27" s="238" t="s">
        <v>50</v>
      </c>
      <c r="V27" s="238" t="s">
        <v>50</v>
      </c>
      <c r="W27" s="238" t="s">
        <v>50</v>
      </c>
      <c r="X27" s="236" t="s">
        <v>50</v>
      </c>
      <c r="Y27" s="249" t="s">
        <v>45</v>
      </c>
      <c r="Z27" s="527" t="s">
        <v>278</v>
      </c>
      <c r="AA27" s="1168"/>
      <c r="AB27" s="265" t="s">
        <v>234</v>
      </c>
      <c r="AC27" s="243" t="s">
        <v>279</v>
      </c>
      <c r="AD27" s="243" t="s">
        <v>205</v>
      </c>
      <c r="AE27" s="244" t="s">
        <v>133</v>
      </c>
      <c r="AF27" s="245" t="s">
        <v>280</v>
      </c>
      <c r="AG27" s="243" t="s">
        <v>234</v>
      </c>
      <c r="AH27" s="238" t="s">
        <v>46</v>
      </c>
      <c r="AI27" s="238" t="s">
        <v>46</v>
      </c>
      <c r="AJ27" s="238" t="s">
        <v>46</v>
      </c>
      <c r="AK27" s="245" t="s">
        <v>281</v>
      </c>
      <c r="AL27" s="243" t="s">
        <v>234</v>
      </c>
      <c r="AM27" s="238" t="s">
        <v>46</v>
      </c>
      <c r="AN27" s="238" t="s">
        <v>46</v>
      </c>
      <c r="AO27" s="238" t="s">
        <v>46</v>
      </c>
      <c r="AP27" s="245" t="s">
        <v>282</v>
      </c>
      <c r="AQ27" s="238" t="s">
        <v>234</v>
      </c>
      <c r="AR27" s="242" t="s">
        <v>283</v>
      </c>
      <c r="AS27" s="237" t="s">
        <v>46</v>
      </c>
      <c r="AT27" s="240" t="s">
        <v>46</v>
      </c>
      <c r="AU27" s="246"/>
      <c r="AV27" s="1167"/>
      <c r="AW27" s="226"/>
      <c r="AX27" s="225"/>
      <c r="AY27" s="225"/>
      <c r="AZ27" s="1169"/>
      <c r="BA27" s="230" t="s">
        <v>142</v>
      </c>
      <c r="BB27" s="231"/>
      <c r="BC27" s="231" t="s">
        <v>143</v>
      </c>
      <c r="BD27" s="961" t="s">
        <v>46</v>
      </c>
      <c r="BE27" s="961" t="s">
        <v>46</v>
      </c>
      <c r="BF27" s="961" t="s">
        <v>46</v>
      </c>
      <c r="BG27" s="961" t="s">
        <v>46</v>
      </c>
      <c r="BH27" s="961" t="s">
        <v>46</v>
      </c>
      <c r="BI27" s="961" t="s">
        <v>46</v>
      </c>
      <c r="BJ27" s="961" t="s">
        <v>46</v>
      </c>
      <c r="BK27" s="961" t="s">
        <v>46</v>
      </c>
      <c r="BL27" s="961" t="s">
        <v>46</v>
      </c>
      <c r="BM27" s="961" t="s">
        <v>46</v>
      </c>
      <c r="BN27" s="961" t="s">
        <v>46</v>
      </c>
      <c r="BO27" s="961" t="s">
        <v>46</v>
      </c>
      <c r="BP27" s="961" t="s">
        <v>46</v>
      </c>
      <c r="BQ27" s="961" t="s">
        <v>46</v>
      </c>
      <c r="BR27" s="961" t="s">
        <v>46</v>
      </c>
      <c r="BS27" s="223"/>
      <c r="BT27" s="223"/>
      <c r="BU27" s="223"/>
      <c r="BV27" s="223"/>
      <c r="BW27" s="247"/>
    </row>
    <row r="28" spans="2:75" ht="409.6" customHeight="1">
      <c r="B28" s="235"/>
      <c r="C28" s="216"/>
      <c r="D28" s="252" t="s">
        <v>284</v>
      </c>
      <c r="E28" s="279" t="s">
        <v>285</v>
      </c>
      <c r="F28" s="280" t="s">
        <v>50</v>
      </c>
      <c r="G28" s="281" t="s">
        <v>50</v>
      </c>
      <c r="H28" s="281" t="s">
        <v>50</v>
      </c>
      <c r="I28" s="282" t="s">
        <v>50</v>
      </c>
      <c r="J28" s="283" t="s">
        <v>50</v>
      </c>
      <c r="K28" s="281" t="s">
        <v>50</v>
      </c>
      <c r="L28" s="281" t="s">
        <v>50</v>
      </c>
      <c r="M28" s="281" t="s">
        <v>50</v>
      </c>
      <c r="N28" s="282" t="s">
        <v>50</v>
      </c>
      <c r="O28" s="283" t="s">
        <v>50</v>
      </c>
      <c r="P28" s="281" t="s">
        <v>50</v>
      </c>
      <c r="Q28" s="281" t="s">
        <v>50</v>
      </c>
      <c r="R28" s="281" t="s">
        <v>50</v>
      </c>
      <c r="S28" s="282" t="s">
        <v>50</v>
      </c>
      <c r="T28" s="283" t="s">
        <v>50</v>
      </c>
      <c r="U28" s="281" t="s">
        <v>50</v>
      </c>
      <c r="V28" s="281" t="s">
        <v>50</v>
      </c>
      <c r="W28" s="281" t="s">
        <v>50</v>
      </c>
      <c r="X28" s="282" t="s">
        <v>50</v>
      </c>
      <c r="Y28" s="284" t="s">
        <v>44</v>
      </c>
      <c r="Z28" s="529" t="s">
        <v>286</v>
      </c>
      <c r="AA28" s="279" t="s">
        <v>287</v>
      </c>
      <c r="AB28" s="265" t="s">
        <v>46</v>
      </c>
      <c r="AC28" s="265" t="s">
        <v>46</v>
      </c>
      <c r="AD28" s="265" t="s">
        <v>46</v>
      </c>
      <c r="AE28" s="244" t="s">
        <v>46</v>
      </c>
      <c r="AF28" s="279" t="s">
        <v>46</v>
      </c>
      <c r="AG28" s="243" t="s">
        <v>46</v>
      </c>
      <c r="AH28" s="238" t="s">
        <v>46</v>
      </c>
      <c r="AI28" s="238" t="s">
        <v>46</v>
      </c>
      <c r="AJ28" s="238" t="s">
        <v>46</v>
      </c>
      <c r="AK28" s="279" t="s">
        <v>46</v>
      </c>
      <c r="AL28" s="243" t="s">
        <v>46</v>
      </c>
      <c r="AM28" s="238" t="s">
        <v>46</v>
      </c>
      <c r="AN28" s="238" t="s">
        <v>46</v>
      </c>
      <c r="AO28" s="238" t="s">
        <v>46</v>
      </c>
      <c r="AP28" s="279" t="s">
        <v>46</v>
      </c>
      <c r="AQ28" s="238" t="s">
        <v>46</v>
      </c>
      <c r="AR28" s="287" t="s">
        <v>46</v>
      </c>
      <c r="AS28" s="281" t="s">
        <v>46</v>
      </c>
      <c r="AT28" s="282" t="s">
        <v>46</v>
      </c>
      <c r="AU28" s="289" t="s">
        <v>46</v>
      </c>
      <c r="AV28" s="1170"/>
      <c r="AW28" s="269" t="s">
        <v>46</v>
      </c>
      <c r="AX28" s="270" t="s">
        <v>46</v>
      </c>
      <c r="AY28" s="270" t="s">
        <v>288</v>
      </c>
      <c r="AZ28" s="290" t="s">
        <v>289</v>
      </c>
      <c r="BA28" s="230" t="s">
        <v>142</v>
      </c>
      <c r="BB28" s="292"/>
      <c r="BC28" s="231" t="s">
        <v>143</v>
      </c>
      <c r="BD28" s="1032" t="s">
        <v>46</v>
      </c>
      <c r="BE28" s="1032" t="s">
        <v>46</v>
      </c>
      <c r="BF28" s="1032" t="s">
        <v>46</v>
      </c>
      <c r="BG28" s="1032" t="s">
        <v>46</v>
      </c>
      <c r="BH28" s="1032" t="s">
        <v>46</v>
      </c>
      <c r="BI28" s="1032" t="s">
        <v>46</v>
      </c>
      <c r="BJ28" s="1032" t="s">
        <v>46</v>
      </c>
      <c r="BK28" s="1032" t="s">
        <v>46</v>
      </c>
      <c r="BL28" s="1032" t="s">
        <v>46</v>
      </c>
      <c r="BM28" s="1032" t="s">
        <v>46</v>
      </c>
      <c r="BN28" s="293"/>
      <c r="BO28" s="293"/>
      <c r="BP28" s="293"/>
      <c r="BQ28" s="293"/>
      <c r="BR28" s="293"/>
      <c r="BS28" s="293"/>
      <c r="BT28" s="293"/>
      <c r="BU28" s="293"/>
      <c r="BV28" s="293"/>
      <c r="BW28" s="294"/>
    </row>
    <row r="29" spans="2:75" ht="268.5" customHeight="1">
      <c r="B29" s="317" t="s">
        <v>290</v>
      </c>
      <c r="C29" s="295" t="s">
        <v>291</v>
      </c>
      <c r="D29" s="318" t="s">
        <v>292</v>
      </c>
      <c r="E29" s="224" t="s">
        <v>150</v>
      </c>
      <c r="F29" s="218" t="s">
        <v>293</v>
      </c>
      <c r="G29" s="225" t="s">
        <v>294</v>
      </c>
      <c r="H29" s="219" t="s">
        <v>125</v>
      </c>
      <c r="I29" s="217" t="s">
        <v>295</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127</v>
      </c>
      <c r="Z29" s="527" t="s">
        <v>296</v>
      </c>
      <c r="AA29" s="224" t="s">
        <v>150</v>
      </c>
      <c r="AB29" s="225" t="s">
        <v>293</v>
      </c>
      <c r="AC29" s="226" t="s">
        <v>297</v>
      </c>
      <c r="AD29" s="219" t="s">
        <v>125</v>
      </c>
      <c r="AE29" s="227" t="s">
        <v>295</v>
      </c>
      <c r="AF29" s="228" t="s">
        <v>46</v>
      </c>
      <c r="AG29" s="225" t="s">
        <v>46</v>
      </c>
      <c r="AH29" s="221" t="s">
        <v>46</v>
      </c>
      <c r="AI29" s="221" t="s">
        <v>46</v>
      </c>
      <c r="AJ29" s="221" t="s">
        <v>46</v>
      </c>
      <c r="AK29" s="228" t="s">
        <v>46</v>
      </c>
      <c r="AL29" s="297" t="s">
        <v>46</v>
      </c>
      <c r="AM29" s="221" t="s">
        <v>46</v>
      </c>
      <c r="AN29" s="221" t="s">
        <v>46</v>
      </c>
      <c r="AO29" s="221" t="s">
        <v>46</v>
      </c>
      <c r="AP29" s="228" t="s">
        <v>46</v>
      </c>
      <c r="AQ29" s="221" t="s">
        <v>46</v>
      </c>
      <c r="AR29" s="221" t="s">
        <v>46</v>
      </c>
      <c r="AS29" s="221" t="s">
        <v>46</v>
      </c>
      <c r="AT29" s="221" t="s">
        <v>46</v>
      </c>
      <c r="AU29" s="229"/>
      <c r="AV29" s="298" t="s">
        <v>298</v>
      </c>
      <c r="AW29" s="299" t="s">
        <v>46</v>
      </c>
      <c r="AX29" s="299" t="s">
        <v>299</v>
      </c>
      <c r="AY29" s="299" t="s">
        <v>300</v>
      </c>
      <c r="AZ29" s="300" t="s">
        <v>46</v>
      </c>
      <c r="BA29" s="1068" t="s">
        <v>301</v>
      </c>
      <c r="BB29" s="1069"/>
      <c r="BC29" s="1069" t="s">
        <v>143</v>
      </c>
      <c r="BD29" s="1033" t="s">
        <v>46</v>
      </c>
      <c r="BE29" s="1033" t="s">
        <v>46</v>
      </c>
      <c r="BF29" s="1033" t="s">
        <v>46</v>
      </c>
      <c r="BG29" s="1033" t="s">
        <v>46</v>
      </c>
      <c r="BH29" s="1033" t="s">
        <v>46</v>
      </c>
      <c r="BI29" s="965"/>
      <c r="BJ29" s="965"/>
      <c r="BK29" s="965"/>
      <c r="BL29" s="965"/>
      <c r="BM29" s="965"/>
      <c r="BN29" s="965"/>
      <c r="BO29" s="965"/>
      <c r="BP29" s="965"/>
      <c r="BQ29" s="965"/>
      <c r="BR29" s="965"/>
      <c r="BS29" s="1044" t="s">
        <v>46</v>
      </c>
      <c r="BT29" s="1044" t="s">
        <v>46</v>
      </c>
      <c r="BU29" s="1044" t="s">
        <v>46</v>
      </c>
      <c r="BV29" s="1044" t="s">
        <v>46</v>
      </c>
      <c r="BW29" s="1045" t="s">
        <v>46</v>
      </c>
    </row>
    <row r="30" spans="2:75" ht="252">
      <c r="B30" s="417"/>
      <c r="C30" s="254"/>
      <c r="D30" s="221" t="s">
        <v>302</v>
      </c>
      <c r="E30" s="224" t="s">
        <v>150</v>
      </c>
      <c r="F30" s="218" t="s">
        <v>303</v>
      </c>
      <c r="G30" s="225" t="s">
        <v>294</v>
      </c>
      <c r="H30" s="219" t="s">
        <v>125</v>
      </c>
      <c r="I30" s="217" t="s">
        <v>295</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127</v>
      </c>
      <c r="Z30" s="527" t="s">
        <v>304</v>
      </c>
      <c r="AA30" s="224" t="s">
        <v>150</v>
      </c>
      <c r="AB30" s="225" t="s">
        <v>293</v>
      </c>
      <c r="AC30" s="226" t="s">
        <v>305</v>
      </c>
      <c r="AD30" s="219" t="s">
        <v>125</v>
      </c>
      <c r="AE30" s="227" t="s">
        <v>295</v>
      </c>
      <c r="AF30" s="228" t="s">
        <v>46</v>
      </c>
      <c r="AG30" s="225" t="s">
        <v>46</v>
      </c>
      <c r="AH30" s="221" t="s">
        <v>46</v>
      </c>
      <c r="AI30" s="221" t="s">
        <v>46</v>
      </c>
      <c r="AJ30" s="221" t="s">
        <v>46</v>
      </c>
      <c r="AK30" s="228" t="s">
        <v>46</v>
      </c>
      <c r="AL30" s="297" t="s">
        <v>46</v>
      </c>
      <c r="AM30" s="221" t="s">
        <v>46</v>
      </c>
      <c r="AN30" s="221" t="s">
        <v>46</v>
      </c>
      <c r="AO30" s="221" t="s">
        <v>46</v>
      </c>
      <c r="AP30" s="228" t="s">
        <v>46</v>
      </c>
      <c r="AQ30" s="221" t="s">
        <v>46</v>
      </c>
      <c r="AR30" s="221" t="s">
        <v>46</v>
      </c>
      <c r="AS30" s="221" t="s">
        <v>46</v>
      </c>
      <c r="AT30" s="221" t="s">
        <v>46</v>
      </c>
      <c r="AU30" s="229"/>
      <c r="AV30" s="298"/>
      <c r="AW30" s="268"/>
      <c r="AX30" s="304"/>
      <c r="AY30" s="304"/>
      <c r="AZ30" s="271"/>
      <c r="BA30" s="1051"/>
      <c r="BB30" s="1053"/>
      <c r="BC30" s="1053"/>
      <c r="BD30" s="967"/>
      <c r="BE30" s="967"/>
      <c r="BF30" s="967"/>
      <c r="BG30" s="967"/>
      <c r="BH30" s="967"/>
      <c r="BI30" s="968"/>
      <c r="BJ30" s="968"/>
      <c r="BK30" s="968"/>
      <c r="BL30" s="968"/>
      <c r="BM30" s="968"/>
      <c r="BN30" s="968"/>
      <c r="BO30" s="968"/>
      <c r="BP30" s="968"/>
      <c r="BQ30" s="968"/>
      <c r="BR30" s="968"/>
      <c r="BS30" s="967"/>
      <c r="BT30" s="967"/>
      <c r="BU30" s="967"/>
      <c r="BV30" s="967"/>
      <c r="BW30" s="969"/>
    </row>
    <row r="31" spans="2:75" ht="67.150000000000006">
      <c r="B31" s="417"/>
      <c r="C31" s="221"/>
      <c r="D31" s="221" t="s">
        <v>306</v>
      </c>
      <c r="E31" s="224" t="s">
        <v>150</v>
      </c>
      <c r="F31" s="218" t="s">
        <v>293</v>
      </c>
      <c r="G31" s="225" t="s">
        <v>307</v>
      </c>
      <c r="H31" s="219" t="s">
        <v>125</v>
      </c>
      <c r="I31" s="217" t="s">
        <v>295</v>
      </c>
      <c r="J31" s="222" t="s">
        <v>46</v>
      </c>
      <c r="K31" s="218" t="s">
        <v>46</v>
      </c>
      <c r="L31" s="221" t="s">
        <v>46</v>
      </c>
      <c r="M31" s="221" t="s">
        <v>46</v>
      </c>
      <c r="N31" s="221" t="s">
        <v>46</v>
      </c>
      <c r="O31" s="222" t="s">
        <v>46</v>
      </c>
      <c r="P31" s="221" t="s">
        <v>46</v>
      </c>
      <c r="Q31" s="221" t="s">
        <v>46</v>
      </c>
      <c r="R31" s="221" t="s">
        <v>46</v>
      </c>
      <c r="S31" s="221" t="s">
        <v>46</v>
      </c>
      <c r="T31" s="222" t="s">
        <v>46</v>
      </c>
      <c r="U31" s="221" t="s">
        <v>46</v>
      </c>
      <c r="V31" s="221" t="s">
        <v>46</v>
      </c>
      <c r="W31" s="221" t="s">
        <v>46</v>
      </c>
      <c r="X31" s="221" t="s">
        <v>46</v>
      </c>
      <c r="Y31" s="296" t="s">
        <v>127</v>
      </c>
      <c r="Z31" s="527" t="s">
        <v>304</v>
      </c>
      <c r="AA31" s="224" t="s">
        <v>150</v>
      </c>
      <c r="AB31" s="225" t="s">
        <v>293</v>
      </c>
      <c r="AC31" s="226" t="s">
        <v>308</v>
      </c>
      <c r="AD31" s="219" t="s">
        <v>125</v>
      </c>
      <c r="AE31" s="227" t="s">
        <v>295</v>
      </c>
      <c r="AF31" s="228" t="s">
        <v>46</v>
      </c>
      <c r="AG31" s="225" t="s">
        <v>46</v>
      </c>
      <c r="AH31" s="221" t="s">
        <v>46</v>
      </c>
      <c r="AI31" s="221" t="s">
        <v>46</v>
      </c>
      <c r="AJ31" s="221" t="s">
        <v>46</v>
      </c>
      <c r="AK31" s="228" t="s">
        <v>46</v>
      </c>
      <c r="AL31" s="297" t="s">
        <v>46</v>
      </c>
      <c r="AM31" s="221" t="s">
        <v>46</v>
      </c>
      <c r="AN31" s="221" t="s">
        <v>46</v>
      </c>
      <c r="AO31" s="221" t="s">
        <v>46</v>
      </c>
      <c r="AP31" s="228" t="s">
        <v>46</v>
      </c>
      <c r="AQ31" s="221" t="s">
        <v>46</v>
      </c>
      <c r="AR31" s="221" t="s">
        <v>46</v>
      </c>
      <c r="AS31" s="221" t="s">
        <v>46</v>
      </c>
      <c r="AT31" s="221" t="s">
        <v>46</v>
      </c>
      <c r="AU31" s="229"/>
      <c r="AV31" s="298"/>
      <c r="AW31" s="268"/>
      <c r="AX31" s="304"/>
      <c r="AY31" s="304"/>
      <c r="AZ31" s="271"/>
      <c r="BA31" s="1052"/>
      <c r="BB31" s="1054"/>
      <c r="BC31" s="1054"/>
      <c r="BD31" s="964"/>
      <c r="BE31" s="964"/>
      <c r="BF31" s="964"/>
      <c r="BG31" s="964"/>
      <c r="BH31" s="964"/>
      <c r="BI31" s="966"/>
      <c r="BJ31" s="966"/>
      <c r="BK31" s="966"/>
      <c r="BL31" s="966"/>
      <c r="BM31" s="966"/>
      <c r="BN31" s="966"/>
      <c r="BO31" s="966"/>
      <c r="BP31" s="966"/>
      <c r="BQ31" s="966"/>
      <c r="BR31" s="966"/>
      <c r="BS31" s="964"/>
      <c r="BT31" s="964"/>
      <c r="BU31" s="964"/>
      <c r="BV31" s="964"/>
      <c r="BW31" s="970"/>
    </row>
    <row r="32" spans="2:75" ht="134.44999999999999">
      <c r="B32" s="235"/>
      <c r="C32" s="252" t="s">
        <v>309</v>
      </c>
      <c r="D32" s="240" t="s">
        <v>310</v>
      </c>
      <c r="E32" s="224" t="s">
        <v>150</v>
      </c>
      <c r="F32" s="237" t="s">
        <v>123</v>
      </c>
      <c r="G32" s="242" t="s">
        <v>311</v>
      </c>
      <c r="H32" s="238" t="s">
        <v>125</v>
      </c>
      <c r="I32" s="236" t="s">
        <v>133</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312</v>
      </c>
      <c r="AA32" s="224" t="s">
        <v>313</v>
      </c>
      <c r="AB32" s="242" t="s">
        <v>123</v>
      </c>
      <c r="AC32" s="243" t="s">
        <v>314</v>
      </c>
      <c r="AD32" s="243" t="s">
        <v>315</v>
      </c>
      <c r="AE32" s="244" t="s">
        <v>133</v>
      </c>
      <c r="AF32" s="228" t="s">
        <v>46</v>
      </c>
      <c r="AG32" s="225" t="s">
        <v>46</v>
      </c>
      <c r="AH32" s="221" t="s">
        <v>46</v>
      </c>
      <c r="AI32" s="221" t="s">
        <v>46</v>
      </c>
      <c r="AJ32" s="221" t="s">
        <v>46</v>
      </c>
      <c r="AK32" s="228" t="s">
        <v>46</v>
      </c>
      <c r="AL32" s="297" t="s">
        <v>46</v>
      </c>
      <c r="AM32" s="221" t="s">
        <v>46</v>
      </c>
      <c r="AN32" s="221" t="s">
        <v>46</v>
      </c>
      <c r="AO32" s="221" t="s">
        <v>46</v>
      </c>
      <c r="AP32" s="228" t="s">
        <v>46</v>
      </c>
      <c r="AQ32" s="221" t="s">
        <v>46</v>
      </c>
      <c r="AR32" s="221" t="s">
        <v>46</v>
      </c>
      <c r="AS32" s="221" t="s">
        <v>46</v>
      </c>
      <c r="AT32" s="221" t="s">
        <v>46</v>
      </c>
      <c r="AU32" s="246" t="s">
        <v>42</v>
      </c>
      <c r="AV32" s="298"/>
      <c r="AW32" s="483" t="s">
        <v>46</v>
      </c>
      <c r="AX32" s="500" t="s">
        <v>46</v>
      </c>
      <c r="AY32" s="500" t="s">
        <v>316</v>
      </c>
      <c r="AZ32" s="501" t="s">
        <v>317</v>
      </c>
      <c r="BA32" s="1047" t="s">
        <v>301</v>
      </c>
      <c r="BB32" s="1049"/>
      <c r="BC32" s="1049" t="s">
        <v>143</v>
      </c>
      <c r="BD32" s="1043" t="s">
        <v>46</v>
      </c>
      <c r="BE32" s="1043" t="s">
        <v>46</v>
      </c>
      <c r="BF32" s="1043" t="s">
        <v>46</v>
      </c>
      <c r="BG32" s="1043" t="s">
        <v>46</v>
      </c>
      <c r="BH32" s="1043" t="s">
        <v>46</v>
      </c>
      <c r="BI32" s="1043" t="s">
        <v>46</v>
      </c>
      <c r="BJ32" s="1043" t="s">
        <v>46</v>
      </c>
      <c r="BK32" s="1043" t="s">
        <v>46</v>
      </c>
      <c r="BL32" s="1043" t="s">
        <v>46</v>
      </c>
      <c r="BM32" s="1043" t="s">
        <v>46</v>
      </c>
      <c r="BN32" s="1034"/>
      <c r="BO32" s="1034"/>
      <c r="BP32" s="1034"/>
      <c r="BQ32" s="1034"/>
      <c r="BR32" s="1034"/>
      <c r="BS32" s="1034"/>
      <c r="BT32" s="1034"/>
      <c r="BU32" s="1034"/>
      <c r="BV32" s="1034"/>
      <c r="BW32" s="1035"/>
    </row>
    <row r="33" spans="2:75" ht="151.15">
      <c r="B33" s="235"/>
      <c r="C33" s="254"/>
      <c r="D33" s="252" t="s">
        <v>318</v>
      </c>
      <c r="E33" s="224" t="s">
        <v>150</v>
      </c>
      <c r="F33" s="237" t="s">
        <v>123</v>
      </c>
      <c r="G33" s="242" t="s">
        <v>319</v>
      </c>
      <c r="H33" s="238" t="s">
        <v>125</v>
      </c>
      <c r="I33" s="236" t="s">
        <v>133</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312</v>
      </c>
      <c r="AA33" s="224" t="s">
        <v>320</v>
      </c>
      <c r="AB33" s="242" t="s">
        <v>123</v>
      </c>
      <c r="AC33" s="243" t="s">
        <v>321</v>
      </c>
      <c r="AD33" s="243" t="s">
        <v>315</v>
      </c>
      <c r="AE33" s="244" t="s">
        <v>133</v>
      </c>
      <c r="AF33" s="228" t="s">
        <v>46</v>
      </c>
      <c r="AG33" s="225" t="s">
        <v>46</v>
      </c>
      <c r="AH33" s="221" t="s">
        <v>46</v>
      </c>
      <c r="AI33" s="221" t="s">
        <v>46</v>
      </c>
      <c r="AJ33" s="221" t="s">
        <v>46</v>
      </c>
      <c r="AK33" s="228" t="s">
        <v>46</v>
      </c>
      <c r="AL33" s="297" t="s">
        <v>46</v>
      </c>
      <c r="AM33" s="221" t="s">
        <v>46</v>
      </c>
      <c r="AN33" s="221" t="s">
        <v>46</v>
      </c>
      <c r="AO33" s="221" t="s">
        <v>46</v>
      </c>
      <c r="AP33" s="228" t="s">
        <v>46</v>
      </c>
      <c r="AQ33" s="221" t="s">
        <v>46</v>
      </c>
      <c r="AR33" s="221" t="s">
        <v>46</v>
      </c>
      <c r="AS33" s="221" t="s">
        <v>46</v>
      </c>
      <c r="AT33" s="221" t="s">
        <v>46</v>
      </c>
      <c r="AU33" s="246" t="s">
        <v>42</v>
      </c>
      <c r="AV33" s="298"/>
      <c r="AW33" s="268"/>
      <c r="AX33" s="304"/>
      <c r="AY33" s="304"/>
      <c r="AZ33" s="271"/>
      <c r="BA33" s="1051"/>
      <c r="BB33" s="1053"/>
      <c r="BC33" s="1053"/>
      <c r="BD33" s="967"/>
      <c r="BE33" s="967"/>
      <c r="BF33" s="967"/>
      <c r="BG33" s="967"/>
      <c r="BH33" s="967"/>
      <c r="BI33" s="967"/>
      <c r="BJ33" s="967"/>
      <c r="BK33" s="967"/>
      <c r="BL33" s="967"/>
      <c r="BM33" s="967"/>
      <c r="BN33" s="968"/>
      <c r="BO33" s="968"/>
      <c r="BP33" s="968"/>
      <c r="BQ33" s="968"/>
      <c r="BR33" s="968"/>
      <c r="BS33" s="968"/>
      <c r="BT33" s="968"/>
      <c r="BU33" s="968"/>
      <c r="BV33" s="968"/>
      <c r="BW33" s="1036"/>
    </row>
    <row r="34" spans="2:75" ht="134.44999999999999">
      <c r="B34" s="235"/>
      <c r="C34" s="254"/>
      <c r="D34" s="252" t="s">
        <v>322</v>
      </c>
      <c r="E34" s="224" t="s">
        <v>150</v>
      </c>
      <c r="F34" s="237" t="s">
        <v>123</v>
      </c>
      <c r="G34" s="242" t="s">
        <v>323</v>
      </c>
      <c r="H34" s="238" t="s">
        <v>125</v>
      </c>
      <c r="I34" s="236" t="s">
        <v>133</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312</v>
      </c>
      <c r="AA34" s="224" t="s">
        <v>324</v>
      </c>
      <c r="AB34" s="242" t="s">
        <v>123</v>
      </c>
      <c r="AC34" s="243" t="s">
        <v>325</v>
      </c>
      <c r="AD34" s="243" t="s">
        <v>315</v>
      </c>
      <c r="AE34" s="244" t="s">
        <v>133</v>
      </c>
      <c r="AF34" s="228" t="s">
        <v>46</v>
      </c>
      <c r="AG34" s="225" t="s">
        <v>46</v>
      </c>
      <c r="AH34" s="221" t="s">
        <v>46</v>
      </c>
      <c r="AI34" s="221" t="s">
        <v>46</v>
      </c>
      <c r="AJ34" s="221" t="s">
        <v>46</v>
      </c>
      <c r="AK34" s="228" t="s">
        <v>46</v>
      </c>
      <c r="AL34" s="297" t="s">
        <v>46</v>
      </c>
      <c r="AM34" s="221" t="s">
        <v>46</v>
      </c>
      <c r="AN34" s="221" t="s">
        <v>46</v>
      </c>
      <c r="AO34" s="221" t="s">
        <v>46</v>
      </c>
      <c r="AP34" s="228" t="s">
        <v>46</v>
      </c>
      <c r="AQ34" s="221" t="s">
        <v>46</v>
      </c>
      <c r="AR34" s="221" t="s">
        <v>46</v>
      </c>
      <c r="AS34" s="221" t="s">
        <v>46</v>
      </c>
      <c r="AT34" s="221" t="s">
        <v>46</v>
      </c>
      <c r="AU34" s="246" t="s">
        <v>42</v>
      </c>
      <c r="AV34" s="298"/>
      <c r="AW34" s="268"/>
      <c r="AX34" s="304"/>
      <c r="AY34" s="304"/>
      <c r="AZ34" s="271"/>
      <c r="BA34" s="1051"/>
      <c r="BB34" s="1053"/>
      <c r="BC34" s="1053"/>
      <c r="BD34" s="967"/>
      <c r="BE34" s="967"/>
      <c r="BF34" s="967"/>
      <c r="BG34" s="967"/>
      <c r="BH34" s="967"/>
      <c r="BI34" s="967"/>
      <c r="BJ34" s="967"/>
      <c r="BK34" s="967"/>
      <c r="BL34" s="967"/>
      <c r="BM34" s="967"/>
      <c r="BN34" s="968"/>
      <c r="BO34" s="968"/>
      <c r="BP34" s="968"/>
      <c r="BQ34" s="968"/>
      <c r="BR34" s="968"/>
      <c r="BS34" s="968"/>
      <c r="BT34" s="968"/>
      <c r="BU34" s="968"/>
      <c r="BV34" s="968"/>
      <c r="BW34" s="1036"/>
    </row>
    <row r="35" spans="2:75" ht="134.44999999999999">
      <c r="B35" s="235"/>
      <c r="C35" s="221"/>
      <c r="D35" s="252" t="s">
        <v>326</v>
      </c>
      <c r="E35" s="224" t="s">
        <v>150</v>
      </c>
      <c r="F35" s="237" t="s">
        <v>123</v>
      </c>
      <c r="G35" s="242" t="s">
        <v>327</v>
      </c>
      <c r="H35" s="238" t="s">
        <v>125</v>
      </c>
      <c r="I35" s="236" t="s">
        <v>133</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312</v>
      </c>
      <c r="AA35" s="224" t="s">
        <v>328</v>
      </c>
      <c r="AB35" s="242" t="s">
        <v>123</v>
      </c>
      <c r="AC35" s="243" t="s">
        <v>329</v>
      </c>
      <c r="AD35" s="243" t="s">
        <v>315</v>
      </c>
      <c r="AE35" s="244" t="s">
        <v>133</v>
      </c>
      <c r="AF35" s="228" t="s">
        <v>46</v>
      </c>
      <c r="AG35" s="225" t="s">
        <v>46</v>
      </c>
      <c r="AH35" s="221" t="s">
        <v>46</v>
      </c>
      <c r="AI35" s="221" t="s">
        <v>46</v>
      </c>
      <c r="AJ35" s="221" t="s">
        <v>46</v>
      </c>
      <c r="AK35" s="228" t="s">
        <v>46</v>
      </c>
      <c r="AL35" s="297" t="s">
        <v>46</v>
      </c>
      <c r="AM35" s="221" t="s">
        <v>46</v>
      </c>
      <c r="AN35" s="221" t="s">
        <v>46</v>
      </c>
      <c r="AO35" s="221" t="s">
        <v>46</v>
      </c>
      <c r="AP35" s="228" t="s">
        <v>46</v>
      </c>
      <c r="AQ35" s="221" t="s">
        <v>46</v>
      </c>
      <c r="AR35" s="221" t="s">
        <v>46</v>
      </c>
      <c r="AS35" s="221" t="s">
        <v>46</v>
      </c>
      <c r="AT35" s="221" t="s">
        <v>46</v>
      </c>
      <c r="AU35" s="246" t="s">
        <v>42</v>
      </c>
      <c r="AV35" s="298"/>
      <c r="AW35" s="268"/>
      <c r="AX35" s="304"/>
      <c r="AY35" s="304"/>
      <c r="AZ35" s="271"/>
      <c r="BA35" s="1052"/>
      <c r="BB35" s="1054"/>
      <c r="BC35" s="1054"/>
      <c r="BD35" s="964"/>
      <c r="BE35" s="964"/>
      <c r="BF35" s="964"/>
      <c r="BG35" s="964"/>
      <c r="BH35" s="964"/>
      <c r="BI35" s="964"/>
      <c r="BJ35" s="964"/>
      <c r="BK35" s="964"/>
      <c r="BL35" s="964"/>
      <c r="BM35" s="964"/>
      <c r="BN35" s="966"/>
      <c r="BO35" s="966"/>
      <c r="BP35" s="966"/>
      <c r="BQ35" s="966"/>
      <c r="BR35" s="966"/>
      <c r="BS35" s="966"/>
      <c r="BT35" s="966"/>
      <c r="BU35" s="966"/>
      <c r="BV35" s="966"/>
      <c r="BW35" s="303"/>
    </row>
    <row r="36" spans="2:75" ht="134.44999999999999">
      <c r="B36" s="235"/>
      <c r="C36" s="252" t="s">
        <v>330</v>
      </c>
      <c r="D36" s="290" t="s">
        <v>331</v>
      </c>
      <c r="E36" s="224" t="s">
        <v>332</v>
      </c>
      <c r="F36" s="237" t="s">
        <v>151</v>
      </c>
      <c r="G36" s="242" t="s">
        <v>333</v>
      </c>
      <c r="H36" s="238" t="s">
        <v>125</v>
      </c>
      <c r="I36" s="236" t="s">
        <v>133</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312</v>
      </c>
      <c r="AA36" s="224" t="s">
        <v>334</v>
      </c>
      <c r="AB36" s="242" t="s">
        <v>123</v>
      </c>
      <c r="AC36" s="243" t="s">
        <v>335</v>
      </c>
      <c r="AD36" s="243" t="s">
        <v>315</v>
      </c>
      <c r="AE36" s="244" t="s">
        <v>133</v>
      </c>
      <c r="AF36" s="228" t="s">
        <v>46</v>
      </c>
      <c r="AG36" s="225" t="s">
        <v>46</v>
      </c>
      <c r="AH36" s="221" t="s">
        <v>46</v>
      </c>
      <c r="AI36" s="221" t="s">
        <v>46</v>
      </c>
      <c r="AJ36" s="221" t="s">
        <v>46</v>
      </c>
      <c r="AK36" s="228" t="s">
        <v>46</v>
      </c>
      <c r="AL36" s="297" t="s">
        <v>46</v>
      </c>
      <c r="AM36" s="221" t="s">
        <v>46</v>
      </c>
      <c r="AN36" s="221" t="s">
        <v>46</v>
      </c>
      <c r="AO36" s="221" t="s">
        <v>46</v>
      </c>
      <c r="AP36" s="228" t="s">
        <v>46</v>
      </c>
      <c r="AQ36" s="221" t="s">
        <v>46</v>
      </c>
      <c r="AR36" s="221" t="s">
        <v>46</v>
      </c>
      <c r="AS36" s="221" t="s">
        <v>46</v>
      </c>
      <c r="AT36" s="221" t="s">
        <v>46</v>
      </c>
      <c r="AU36" s="246" t="s">
        <v>42</v>
      </c>
      <c r="AV36" s="298"/>
      <c r="AW36" s="483" t="s">
        <v>46</v>
      </c>
      <c r="AX36" s="500" t="s">
        <v>336</v>
      </c>
      <c r="AY36" s="502" t="s">
        <v>46</v>
      </c>
      <c r="AZ36" s="503" t="s">
        <v>337</v>
      </c>
      <c r="BA36" s="1047" t="s">
        <v>301</v>
      </c>
      <c r="BB36" s="1049"/>
      <c r="BC36" s="1049" t="s">
        <v>143</v>
      </c>
      <c r="BD36" s="1037" t="s">
        <v>46</v>
      </c>
      <c r="BE36" s="1037" t="s">
        <v>46</v>
      </c>
      <c r="BF36" s="1037" t="s">
        <v>46</v>
      </c>
      <c r="BG36" s="1037" t="s">
        <v>46</v>
      </c>
      <c r="BH36" s="1037" t="s">
        <v>46</v>
      </c>
      <c r="BI36" s="1034"/>
      <c r="BJ36" s="1034"/>
      <c r="BK36" s="1034"/>
      <c r="BL36" s="1034"/>
      <c r="BM36" s="1034"/>
      <c r="BN36" s="1037" t="s">
        <v>46</v>
      </c>
      <c r="BO36" s="1037" t="s">
        <v>46</v>
      </c>
      <c r="BP36" s="1037" t="s">
        <v>46</v>
      </c>
      <c r="BQ36" s="1037" t="s">
        <v>46</v>
      </c>
      <c r="BR36" s="1037" t="s">
        <v>46</v>
      </c>
      <c r="BS36" s="1034"/>
      <c r="BT36" s="1034"/>
      <c r="BU36" s="1034"/>
      <c r="BV36" s="1034"/>
      <c r="BW36" s="1035"/>
    </row>
    <row r="37" spans="2:75" ht="134.44999999999999">
      <c r="B37" s="235"/>
      <c r="C37" s="254"/>
      <c r="D37" s="290" t="s">
        <v>338</v>
      </c>
      <c r="E37" s="224" t="s">
        <v>150</v>
      </c>
      <c r="F37" s="237" t="s">
        <v>123</v>
      </c>
      <c r="G37" s="242" t="s">
        <v>339</v>
      </c>
      <c r="H37" s="238" t="s">
        <v>125</v>
      </c>
      <c r="I37" s="236" t="s">
        <v>133</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312</v>
      </c>
      <c r="AA37" s="224" t="s">
        <v>340</v>
      </c>
      <c r="AB37" s="242" t="s">
        <v>123</v>
      </c>
      <c r="AC37" s="243" t="s">
        <v>341</v>
      </c>
      <c r="AD37" s="243" t="s">
        <v>315</v>
      </c>
      <c r="AE37" s="244" t="s">
        <v>133</v>
      </c>
      <c r="AF37" s="228" t="s">
        <v>46</v>
      </c>
      <c r="AG37" s="225" t="s">
        <v>46</v>
      </c>
      <c r="AH37" s="221" t="s">
        <v>46</v>
      </c>
      <c r="AI37" s="221" t="s">
        <v>46</v>
      </c>
      <c r="AJ37" s="221" t="s">
        <v>46</v>
      </c>
      <c r="AK37" s="228" t="s">
        <v>46</v>
      </c>
      <c r="AL37" s="297" t="s">
        <v>46</v>
      </c>
      <c r="AM37" s="221" t="s">
        <v>46</v>
      </c>
      <c r="AN37" s="221" t="s">
        <v>46</v>
      </c>
      <c r="AO37" s="221" t="s">
        <v>46</v>
      </c>
      <c r="AP37" s="228" t="s">
        <v>46</v>
      </c>
      <c r="AQ37" s="221" t="s">
        <v>46</v>
      </c>
      <c r="AR37" s="221" t="s">
        <v>46</v>
      </c>
      <c r="AS37" s="221" t="s">
        <v>46</v>
      </c>
      <c r="AT37" s="221" t="s">
        <v>46</v>
      </c>
      <c r="AU37" s="246" t="s">
        <v>42</v>
      </c>
      <c r="AV37" s="298"/>
      <c r="AW37" s="268"/>
      <c r="AX37" s="271"/>
      <c r="AY37" s="304"/>
      <c r="AZ37" s="271"/>
      <c r="BA37" s="1051"/>
      <c r="BB37" s="1053"/>
      <c r="BC37" s="1053"/>
      <c r="BD37" s="967"/>
      <c r="BE37" s="967"/>
      <c r="BF37" s="967"/>
      <c r="BG37" s="967"/>
      <c r="BH37" s="967"/>
      <c r="BI37" s="968"/>
      <c r="BJ37" s="968"/>
      <c r="BK37" s="968"/>
      <c r="BL37" s="968"/>
      <c r="BM37" s="968"/>
      <c r="BN37" s="967"/>
      <c r="BO37" s="967"/>
      <c r="BP37" s="967"/>
      <c r="BQ37" s="967"/>
      <c r="BR37" s="967"/>
      <c r="BS37" s="968"/>
      <c r="BT37" s="968"/>
      <c r="BU37" s="968"/>
      <c r="BV37" s="968"/>
      <c r="BW37" s="1036"/>
    </row>
    <row r="38" spans="2:75" ht="134.44999999999999">
      <c r="B38" s="235"/>
      <c r="C38" s="221"/>
      <c r="D38" s="290" t="s">
        <v>342</v>
      </c>
      <c r="E38" s="224" t="s">
        <v>150</v>
      </c>
      <c r="F38" s="237" t="s">
        <v>123</v>
      </c>
      <c r="G38" s="242" t="s">
        <v>339</v>
      </c>
      <c r="H38" s="238" t="s">
        <v>125</v>
      </c>
      <c r="I38" s="236" t="s">
        <v>133</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312</v>
      </c>
      <c r="AA38" s="224" t="s">
        <v>343</v>
      </c>
      <c r="AB38" s="242" t="s">
        <v>123</v>
      </c>
      <c r="AC38" s="243" t="s">
        <v>344</v>
      </c>
      <c r="AD38" s="243" t="s">
        <v>315</v>
      </c>
      <c r="AE38" s="244" t="s">
        <v>133</v>
      </c>
      <c r="AF38" s="228" t="s">
        <v>46</v>
      </c>
      <c r="AG38" s="225" t="s">
        <v>46</v>
      </c>
      <c r="AH38" s="221" t="s">
        <v>46</v>
      </c>
      <c r="AI38" s="221" t="s">
        <v>46</v>
      </c>
      <c r="AJ38" s="221" t="s">
        <v>46</v>
      </c>
      <c r="AK38" s="228" t="s">
        <v>46</v>
      </c>
      <c r="AL38" s="297" t="s">
        <v>46</v>
      </c>
      <c r="AM38" s="221" t="s">
        <v>46</v>
      </c>
      <c r="AN38" s="221" t="s">
        <v>46</v>
      </c>
      <c r="AO38" s="221" t="s">
        <v>46</v>
      </c>
      <c r="AP38" s="228" t="s">
        <v>46</v>
      </c>
      <c r="AQ38" s="221" t="s">
        <v>46</v>
      </c>
      <c r="AR38" s="221" t="s">
        <v>46</v>
      </c>
      <c r="AS38" s="221" t="s">
        <v>46</v>
      </c>
      <c r="AT38" s="221" t="s">
        <v>46</v>
      </c>
      <c r="AU38" s="246" t="s">
        <v>42</v>
      </c>
      <c r="AV38" s="298"/>
      <c r="AW38" s="268"/>
      <c r="AX38" s="271"/>
      <c r="AY38" s="304"/>
      <c r="AZ38" s="271"/>
      <c r="BA38" s="1052"/>
      <c r="BB38" s="1054"/>
      <c r="BC38" s="1054"/>
      <c r="BD38" s="964"/>
      <c r="BE38" s="964"/>
      <c r="BF38" s="964"/>
      <c r="BG38" s="964"/>
      <c r="BH38" s="964"/>
      <c r="BI38" s="966"/>
      <c r="BJ38" s="966"/>
      <c r="BK38" s="966"/>
      <c r="BL38" s="966"/>
      <c r="BM38" s="966"/>
      <c r="BN38" s="964"/>
      <c r="BO38" s="964"/>
      <c r="BP38" s="964"/>
      <c r="BQ38" s="964"/>
      <c r="BR38" s="964"/>
      <c r="BS38" s="966"/>
      <c r="BT38" s="966"/>
      <c r="BU38" s="966"/>
      <c r="BV38" s="966"/>
      <c r="BW38" s="303"/>
    </row>
    <row r="39" spans="2:75" ht="184.9">
      <c r="B39" s="235"/>
      <c r="C39" s="252" t="s">
        <v>345</v>
      </c>
      <c r="D39" s="240" t="s">
        <v>346</v>
      </c>
      <c r="E39" s="224" t="s">
        <v>150</v>
      </c>
      <c r="F39" s="237" t="s">
        <v>123</v>
      </c>
      <c r="G39" s="242" t="s">
        <v>347</v>
      </c>
      <c r="H39" s="238" t="s">
        <v>125</v>
      </c>
      <c r="I39" s="236" t="s">
        <v>133</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312</v>
      </c>
      <c r="AA39" s="224" t="s">
        <v>150</v>
      </c>
      <c r="AB39" s="237" t="s">
        <v>123</v>
      </c>
      <c r="AC39" s="242" t="s">
        <v>347</v>
      </c>
      <c r="AD39" s="238" t="s">
        <v>125</v>
      </c>
      <c r="AE39" s="236" t="s">
        <v>133</v>
      </c>
      <c r="AF39" s="241" t="s">
        <v>46</v>
      </c>
      <c r="AG39" s="237" t="s">
        <v>46</v>
      </c>
      <c r="AH39" s="240" t="s">
        <v>46</v>
      </c>
      <c r="AI39" s="240" t="s">
        <v>46</v>
      </c>
      <c r="AJ39" s="240" t="s">
        <v>46</v>
      </c>
      <c r="AK39" s="241" t="s">
        <v>46</v>
      </c>
      <c r="AL39" s="240" t="s">
        <v>46</v>
      </c>
      <c r="AM39" s="240" t="s">
        <v>46</v>
      </c>
      <c r="AN39" s="240" t="s">
        <v>46</v>
      </c>
      <c r="AO39" s="240" t="s">
        <v>46</v>
      </c>
      <c r="AP39" s="241" t="s">
        <v>46</v>
      </c>
      <c r="AQ39" s="240" t="s">
        <v>46</v>
      </c>
      <c r="AR39" s="240" t="s">
        <v>46</v>
      </c>
      <c r="AS39" s="240" t="s">
        <v>46</v>
      </c>
      <c r="AT39" s="240" t="s">
        <v>46</v>
      </c>
      <c r="AU39" s="246" t="s">
        <v>42</v>
      </c>
      <c r="AV39" s="298"/>
      <c r="AW39" s="483" t="s">
        <v>348</v>
      </c>
      <c r="AX39" s="502" t="s">
        <v>46</v>
      </c>
      <c r="AY39" s="483" t="s">
        <v>46</v>
      </c>
      <c r="AZ39" s="501" t="s">
        <v>349</v>
      </c>
      <c r="BA39" s="1047" t="s">
        <v>301</v>
      </c>
      <c r="BB39" s="1049"/>
      <c r="BC39" s="1049" t="s">
        <v>143</v>
      </c>
      <c r="BD39" s="1034"/>
      <c r="BE39" s="1034"/>
      <c r="BF39" s="1034"/>
      <c r="BG39" s="1034"/>
      <c r="BH39" s="1034"/>
      <c r="BI39" s="1037" t="s">
        <v>46</v>
      </c>
      <c r="BJ39" s="1037" t="s">
        <v>46</v>
      </c>
      <c r="BK39" s="1037" t="s">
        <v>46</v>
      </c>
      <c r="BL39" s="1037" t="s">
        <v>46</v>
      </c>
      <c r="BM39" s="1037" t="s">
        <v>46</v>
      </c>
      <c r="BN39" s="1037" t="s">
        <v>46</v>
      </c>
      <c r="BO39" s="1037" t="s">
        <v>46</v>
      </c>
      <c r="BP39" s="1037" t="s">
        <v>46</v>
      </c>
      <c r="BQ39" s="1037" t="s">
        <v>46</v>
      </c>
      <c r="BR39" s="1037" t="s">
        <v>46</v>
      </c>
      <c r="BS39" s="1034"/>
      <c r="BT39" s="1034"/>
      <c r="BU39" s="1034"/>
      <c r="BV39" s="1034"/>
      <c r="BW39" s="1035"/>
    </row>
    <row r="40" spans="2:75" ht="168">
      <c r="B40" s="235"/>
      <c r="C40" s="221"/>
      <c r="D40" s="221" t="s">
        <v>350</v>
      </c>
      <c r="E40" s="224" t="s">
        <v>150</v>
      </c>
      <c r="F40" s="237" t="s">
        <v>123</v>
      </c>
      <c r="G40" s="242" t="s">
        <v>351</v>
      </c>
      <c r="H40" s="238" t="s">
        <v>125</v>
      </c>
      <c r="I40" s="236" t="s">
        <v>133</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312</v>
      </c>
      <c r="AA40" s="224" t="s">
        <v>352</v>
      </c>
      <c r="AB40" s="242" t="s">
        <v>123</v>
      </c>
      <c r="AC40" s="243" t="s">
        <v>353</v>
      </c>
      <c r="AD40" s="238" t="s">
        <v>125</v>
      </c>
      <c r="AE40" s="244" t="s">
        <v>133</v>
      </c>
      <c r="AF40" s="241" t="s">
        <v>46</v>
      </c>
      <c r="AG40" s="237" t="s">
        <v>46</v>
      </c>
      <c r="AH40" s="240" t="s">
        <v>46</v>
      </c>
      <c r="AI40" s="240" t="s">
        <v>46</v>
      </c>
      <c r="AJ40" s="240" t="s">
        <v>46</v>
      </c>
      <c r="AK40" s="241" t="s">
        <v>46</v>
      </c>
      <c r="AL40" s="240" t="s">
        <v>46</v>
      </c>
      <c r="AM40" s="240" t="s">
        <v>46</v>
      </c>
      <c r="AN40" s="240" t="s">
        <v>46</v>
      </c>
      <c r="AO40" s="240" t="s">
        <v>46</v>
      </c>
      <c r="AP40" s="241" t="s">
        <v>46</v>
      </c>
      <c r="AQ40" s="240" t="s">
        <v>46</v>
      </c>
      <c r="AR40" s="240" t="s">
        <v>46</v>
      </c>
      <c r="AS40" s="240" t="s">
        <v>46</v>
      </c>
      <c r="AT40" s="240" t="s">
        <v>46</v>
      </c>
      <c r="AU40" s="246" t="s">
        <v>42</v>
      </c>
      <c r="AV40" s="298"/>
      <c r="AW40" s="226"/>
      <c r="AX40" s="225"/>
      <c r="AY40" s="225"/>
      <c r="AZ40" s="271"/>
      <c r="BA40" s="1052"/>
      <c r="BB40" s="1054"/>
      <c r="BC40" s="1054"/>
      <c r="BD40" s="966"/>
      <c r="BE40" s="966"/>
      <c r="BF40" s="966"/>
      <c r="BG40" s="966"/>
      <c r="BH40" s="966"/>
      <c r="BI40" s="964"/>
      <c r="BJ40" s="964"/>
      <c r="BK40" s="964"/>
      <c r="BL40" s="964"/>
      <c r="BM40" s="964"/>
      <c r="BN40" s="964"/>
      <c r="BO40" s="964"/>
      <c r="BP40" s="964"/>
      <c r="BQ40" s="964"/>
      <c r="BR40" s="964"/>
      <c r="BS40" s="966"/>
      <c r="BT40" s="966"/>
      <c r="BU40" s="966"/>
      <c r="BV40" s="966"/>
      <c r="BW40" s="303"/>
    </row>
    <row r="41" spans="2:75" ht="67.150000000000006">
      <c r="B41" s="235"/>
      <c r="C41" s="258" t="s">
        <v>354</v>
      </c>
      <c r="D41" s="221" t="s">
        <v>355</v>
      </c>
      <c r="E41" s="224" t="s">
        <v>150</v>
      </c>
      <c r="F41" s="237" t="s">
        <v>123</v>
      </c>
      <c r="G41" s="243" t="s">
        <v>356</v>
      </c>
      <c r="H41" s="238" t="s">
        <v>125</v>
      </c>
      <c r="I41" s="236" t="s">
        <v>133</v>
      </c>
      <c r="J41" s="241" t="s">
        <v>46</v>
      </c>
      <c r="K41" s="237" t="s">
        <v>46</v>
      </c>
      <c r="L41" s="240" t="s">
        <v>46</v>
      </c>
      <c r="M41" s="240" t="s">
        <v>46</v>
      </c>
      <c r="N41" s="240" t="s">
        <v>46</v>
      </c>
      <c r="O41" s="241" t="s">
        <v>46</v>
      </c>
      <c r="P41" s="240" t="s">
        <v>46</v>
      </c>
      <c r="Q41" s="240" t="s">
        <v>46</v>
      </c>
      <c r="R41" s="240" t="s">
        <v>46</v>
      </c>
      <c r="S41" s="240" t="s">
        <v>46</v>
      </c>
      <c r="T41" s="241" t="s">
        <v>46</v>
      </c>
      <c r="U41" s="240" t="s">
        <v>46</v>
      </c>
      <c r="V41" s="240" t="s">
        <v>46</v>
      </c>
      <c r="W41" s="240" t="s">
        <v>46</v>
      </c>
      <c r="X41" s="240" t="s">
        <v>46</v>
      </c>
      <c r="Y41" s="249" t="s">
        <v>42</v>
      </c>
      <c r="Z41" s="223" t="s">
        <v>312</v>
      </c>
      <c r="AA41" s="224" t="s">
        <v>150</v>
      </c>
      <c r="AB41" s="237" t="s">
        <v>123</v>
      </c>
      <c r="AC41" s="243" t="s">
        <v>356</v>
      </c>
      <c r="AD41" s="238" t="s">
        <v>125</v>
      </c>
      <c r="AE41" s="236" t="s">
        <v>133</v>
      </c>
      <c r="AF41" s="241" t="s">
        <v>46</v>
      </c>
      <c r="AG41" s="237" t="s">
        <v>46</v>
      </c>
      <c r="AH41" s="240" t="s">
        <v>46</v>
      </c>
      <c r="AI41" s="240" t="s">
        <v>46</v>
      </c>
      <c r="AJ41" s="240" t="s">
        <v>46</v>
      </c>
      <c r="AK41" s="241" t="s">
        <v>46</v>
      </c>
      <c r="AL41" s="240" t="s">
        <v>46</v>
      </c>
      <c r="AM41" s="240" t="s">
        <v>46</v>
      </c>
      <c r="AN41" s="240" t="s">
        <v>46</v>
      </c>
      <c r="AO41" s="240" t="s">
        <v>46</v>
      </c>
      <c r="AP41" s="241" t="s">
        <v>46</v>
      </c>
      <c r="AQ41" s="240" t="s">
        <v>46</v>
      </c>
      <c r="AR41" s="240" t="s">
        <v>46</v>
      </c>
      <c r="AS41" s="240" t="s">
        <v>46</v>
      </c>
      <c r="AT41" s="240" t="s">
        <v>46</v>
      </c>
      <c r="AU41" s="246" t="s">
        <v>42</v>
      </c>
      <c r="AV41" s="273" t="s">
        <v>357</v>
      </c>
      <c r="AW41" s="269" t="s">
        <v>46</v>
      </c>
      <c r="AX41" s="270" t="s">
        <v>46</v>
      </c>
      <c r="AY41" s="270" t="s">
        <v>46</v>
      </c>
      <c r="AZ41" s="290" t="s">
        <v>358</v>
      </c>
      <c r="BA41" s="1047" t="s">
        <v>301</v>
      </c>
      <c r="BB41" s="1049"/>
      <c r="BC41" s="1049" t="s">
        <v>143</v>
      </c>
      <c r="BD41" s="1037" t="s">
        <v>46</v>
      </c>
      <c r="BE41" s="1037" t="s">
        <v>46</v>
      </c>
      <c r="BF41" s="1037" t="s">
        <v>46</v>
      </c>
      <c r="BG41" s="1037" t="s">
        <v>46</v>
      </c>
      <c r="BH41" s="1037" t="s">
        <v>46</v>
      </c>
      <c r="BI41" s="1037" t="s">
        <v>46</v>
      </c>
      <c r="BJ41" s="1037" t="s">
        <v>46</v>
      </c>
      <c r="BK41" s="1037" t="s">
        <v>46</v>
      </c>
      <c r="BL41" s="1037" t="s">
        <v>46</v>
      </c>
      <c r="BM41" s="1037" t="s">
        <v>46</v>
      </c>
      <c r="BN41" s="1037" t="s">
        <v>46</v>
      </c>
      <c r="BO41" s="1037" t="s">
        <v>46</v>
      </c>
      <c r="BP41" s="1037" t="s">
        <v>46</v>
      </c>
      <c r="BQ41" s="1037" t="s">
        <v>46</v>
      </c>
      <c r="BR41" s="1037" t="s">
        <v>46</v>
      </c>
      <c r="BS41" s="1034"/>
      <c r="BT41" s="1034"/>
      <c r="BU41" s="1034"/>
      <c r="BV41" s="1034"/>
      <c r="BW41" s="1035"/>
    </row>
    <row r="42" spans="2:75" ht="50.45">
      <c r="B42" s="235"/>
      <c r="C42" s="216"/>
      <c r="D42" s="221" t="s">
        <v>359</v>
      </c>
      <c r="E42" s="245" t="s">
        <v>180</v>
      </c>
      <c r="F42" s="237"/>
      <c r="G42" s="243"/>
      <c r="H42" s="238"/>
      <c r="I42" s="236"/>
      <c r="J42" s="239"/>
      <c r="K42" s="238"/>
      <c r="L42" s="238"/>
      <c r="M42" s="238"/>
      <c r="N42" s="236"/>
      <c r="O42" s="239"/>
      <c r="P42" s="238"/>
      <c r="Q42" s="238"/>
      <c r="R42" s="238"/>
      <c r="S42" s="236"/>
      <c r="T42" s="239"/>
      <c r="U42" s="238"/>
      <c r="V42" s="238"/>
      <c r="W42" s="238"/>
      <c r="X42" s="236"/>
      <c r="Y42" s="249" t="s">
        <v>44</v>
      </c>
      <c r="Z42" s="528" t="s">
        <v>360</v>
      </c>
      <c r="AA42" s="245" t="s">
        <v>150</v>
      </c>
      <c r="AB42" s="242" t="s">
        <v>123</v>
      </c>
      <c r="AC42" s="243" t="s">
        <v>361</v>
      </c>
      <c r="AD42" s="238" t="s">
        <v>125</v>
      </c>
      <c r="AE42" s="244" t="s">
        <v>133</v>
      </c>
      <c r="AF42" s="245" t="s">
        <v>46</v>
      </c>
      <c r="AG42" s="243" t="s">
        <v>46</v>
      </c>
      <c r="AH42" s="240" t="s">
        <v>46</v>
      </c>
      <c r="AI42" s="240" t="s">
        <v>46</v>
      </c>
      <c r="AJ42" s="240" t="s">
        <v>46</v>
      </c>
      <c r="AK42" s="245" t="s">
        <v>46</v>
      </c>
      <c r="AL42" s="243" t="s">
        <v>46</v>
      </c>
      <c r="AM42" s="240" t="s">
        <v>46</v>
      </c>
      <c r="AN42" s="240" t="s">
        <v>46</v>
      </c>
      <c r="AO42" s="240" t="s">
        <v>46</v>
      </c>
      <c r="AP42" s="245" t="s">
        <v>46</v>
      </c>
      <c r="AQ42" s="240" t="s">
        <v>46</v>
      </c>
      <c r="AR42" s="240" t="s">
        <v>46</v>
      </c>
      <c r="AS42" s="240" t="s">
        <v>46</v>
      </c>
      <c r="AT42" s="240" t="s">
        <v>46</v>
      </c>
      <c r="AU42" s="246" t="s">
        <v>42</v>
      </c>
      <c r="AV42" s="298"/>
      <c r="AW42" s="268"/>
      <c r="AX42" s="304"/>
      <c r="AY42" s="304"/>
      <c r="AZ42" s="271"/>
      <c r="BA42" s="1051"/>
      <c r="BB42" s="1053"/>
      <c r="BC42" s="1053"/>
      <c r="BD42" s="1038"/>
      <c r="BE42" s="1038"/>
      <c r="BF42" s="1038"/>
      <c r="BG42" s="1038"/>
      <c r="BH42" s="1038"/>
      <c r="BI42" s="1038"/>
      <c r="BJ42" s="1038"/>
      <c r="BK42" s="1038"/>
      <c r="BL42" s="1038"/>
      <c r="BM42" s="1038"/>
      <c r="BN42" s="1038"/>
      <c r="BO42" s="1038"/>
      <c r="BP42" s="1038"/>
      <c r="BQ42" s="1038"/>
      <c r="BR42" s="1038"/>
      <c r="BS42" s="968"/>
      <c r="BT42" s="968"/>
      <c r="BU42" s="968"/>
      <c r="BV42" s="968"/>
      <c r="BW42" s="1036"/>
    </row>
    <row r="43" spans="2:75" ht="201.6">
      <c r="B43" s="235"/>
      <c r="C43" s="218"/>
      <c r="D43" s="240" t="s">
        <v>362</v>
      </c>
      <c r="E43" s="245" t="s">
        <v>180</v>
      </c>
      <c r="F43" s="237"/>
      <c r="G43" s="238" t="s">
        <v>50</v>
      </c>
      <c r="H43" s="238"/>
      <c r="I43" s="236"/>
      <c r="J43" s="239"/>
      <c r="K43" s="238"/>
      <c r="L43" s="238"/>
      <c r="M43" s="238"/>
      <c r="N43" s="236"/>
      <c r="O43" s="239"/>
      <c r="P43" s="238"/>
      <c r="Q43" s="238"/>
      <c r="R43" s="238"/>
      <c r="S43" s="236"/>
      <c r="T43" s="239"/>
      <c r="U43" s="238"/>
      <c r="V43" s="238"/>
      <c r="W43" s="238"/>
      <c r="X43" s="236"/>
      <c r="Y43" s="249" t="s">
        <v>44</v>
      </c>
      <c r="Z43" s="528" t="s">
        <v>360</v>
      </c>
      <c r="AA43" s="245" t="s">
        <v>150</v>
      </c>
      <c r="AB43" s="242" t="s">
        <v>123</v>
      </c>
      <c r="AC43" s="243" t="s">
        <v>363</v>
      </c>
      <c r="AD43" s="238" t="s">
        <v>125</v>
      </c>
      <c r="AE43" s="244" t="s">
        <v>133</v>
      </c>
      <c r="AF43" s="245" t="s">
        <v>46</v>
      </c>
      <c r="AG43" s="243" t="s">
        <v>46</v>
      </c>
      <c r="AH43" s="240" t="s">
        <v>46</v>
      </c>
      <c r="AI43" s="240" t="s">
        <v>46</v>
      </c>
      <c r="AJ43" s="240" t="s">
        <v>46</v>
      </c>
      <c r="AK43" s="245" t="s">
        <v>46</v>
      </c>
      <c r="AL43" s="243" t="s">
        <v>46</v>
      </c>
      <c r="AM43" s="240" t="s">
        <v>46</v>
      </c>
      <c r="AN43" s="240" t="s">
        <v>46</v>
      </c>
      <c r="AO43" s="240" t="s">
        <v>46</v>
      </c>
      <c r="AP43" s="245" t="s">
        <v>46</v>
      </c>
      <c r="AQ43" s="240" t="s">
        <v>46</v>
      </c>
      <c r="AR43" s="240" t="s">
        <v>46</v>
      </c>
      <c r="AS43" s="240" t="s">
        <v>46</v>
      </c>
      <c r="AT43" s="240" t="s">
        <v>46</v>
      </c>
      <c r="AU43" s="246" t="s">
        <v>42</v>
      </c>
      <c r="AV43" s="220"/>
      <c r="AW43" s="226"/>
      <c r="AX43" s="225"/>
      <c r="AY43" s="225"/>
      <c r="AZ43" s="297"/>
      <c r="BA43" s="1052"/>
      <c r="BB43" s="1054"/>
      <c r="BC43" s="1054"/>
      <c r="BD43" s="1039"/>
      <c r="BE43" s="1039"/>
      <c r="BF43" s="1039"/>
      <c r="BG43" s="1039"/>
      <c r="BH43" s="1039"/>
      <c r="BI43" s="1039"/>
      <c r="BJ43" s="1039"/>
      <c r="BK43" s="1039"/>
      <c r="BL43" s="1039"/>
      <c r="BM43" s="1039"/>
      <c r="BN43" s="1039"/>
      <c r="BO43" s="1039"/>
      <c r="BP43" s="1039"/>
      <c r="BQ43" s="1039"/>
      <c r="BR43" s="1039"/>
      <c r="BS43" s="966"/>
      <c r="BT43" s="966"/>
      <c r="BU43" s="966"/>
      <c r="BV43" s="966"/>
      <c r="BW43" s="303"/>
    </row>
    <row r="44" spans="2:75" ht="319.14999999999998">
      <c r="B44" s="235"/>
      <c r="C44" s="240" t="s">
        <v>364</v>
      </c>
      <c r="D44" s="240"/>
      <c r="E44" s="245" t="s">
        <v>180</v>
      </c>
      <c r="F44" s="237"/>
      <c r="G44" s="238" t="s">
        <v>50</v>
      </c>
      <c r="H44" s="238"/>
      <c r="I44" s="236"/>
      <c r="J44" s="239"/>
      <c r="K44" s="238"/>
      <c r="L44" s="238"/>
      <c r="M44" s="238"/>
      <c r="N44" s="236"/>
      <c r="O44" s="239"/>
      <c r="P44" s="238"/>
      <c r="Q44" s="238"/>
      <c r="R44" s="238"/>
      <c r="S44" s="236"/>
      <c r="T44" s="239"/>
      <c r="U44" s="238"/>
      <c r="V44" s="238"/>
      <c r="W44" s="238"/>
      <c r="X44" s="236"/>
      <c r="Y44" s="249" t="s">
        <v>44</v>
      </c>
      <c r="Z44" s="528" t="s">
        <v>360</v>
      </c>
      <c r="AA44" s="245" t="s">
        <v>150</v>
      </c>
      <c r="AB44" s="242" t="s">
        <v>123</v>
      </c>
      <c r="AC44" s="243" t="s">
        <v>365</v>
      </c>
      <c r="AD44" s="238" t="s">
        <v>125</v>
      </c>
      <c r="AE44" s="244" t="s">
        <v>133</v>
      </c>
      <c r="AF44" s="245" t="s">
        <v>46</v>
      </c>
      <c r="AG44" s="243" t="s">
        <v>46</v>
      </c>
      <c r="AH44" s="238" t="s">
        <v>46</v>
      </c>
      <c r="AI44" s="238" t="s">
        <v>46</v>
      </c>
      <c r="AJ44" s="236" t="s">
        <v>46</v>
      </c>
      <c r="AK44" s="245" t="s">
        <v>46</v>
      </c>
      <c r="AL44" s="243" t="s">
        <v>46</v>
      </c>
      <c r="AM44" s="238" t="s">
        <v>46</v>
      </c>
      <c r="AN44" s="238" t="s">
        <v>46</v>
      </c>
      <c r="AO44" s="236" t="s">
        <v>46</v>
      </c>
      <c r="AP44" s="245" t="s">
        <v>46</v>
      </c>
      <c r="AQ44" s="238" t="s">
        <v>46</v>
      </c>
      <c r="AR44" s="238" t="s">
        <v>46</v>
      </c>
      <c r="AS44" s="238" t="s">
        <v>46</v>
      </c>
      <c r="AT44" s="236" t="s">
        <v>46</v>
      </c>
      <c r="AU44" s="246" t="s">
        <v>42</v>
      </c>
      <c r="AV44" s="239" t="s">
        <v>366</v>
      </c>
      <c r="AW44" s="243" t="s">
        <v>367</v>
      </c>
      <c r="AX44" s="242" t="s">
        <v>368</v>
      </c>
      <c r="AY44" s="242" t="s">
        <v>369</v>
      </c>
      <c r="AZ44" s="306" t="s">
        <v>370</v>
      </c>
      <c r="BA44" s="307" t="s">
        <v>301</v>
      </c>
      <c r="BB44" s="308"/>
      <c r="BC44" s="308" t="s">
        <v>143</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83.25" customHeight="1">
      <c r="B45" s="235"/>
      <c r="C45" s="758" t="s">
        <v>371</v>
      </c>
      <c r="D45" s="758"/>
      <c r="E45" s="245" t="s">
        <v>372</v>
      </c>
      <c r="F45" s="237" t="s">
        <v>46</v>
      </c>
      <c r="G45" s="237" t="s">
        <v>46</v>
      </c>
      <c r="H45" s="237" t="s">
        <v>46</v>
      </c>
      <c r="I45" s="236" t="s">
        <v>46</v>
      </c>
      <c r="J45" s="239" t="s">
        <v>372</v>
      </c>
      <c r="K45" s="238" t="s">
        <v>46</v>
      </c>
      <c r="L45" s="238" t="s">
        <v>46</v>
      </c>
      <c r="M45" s="238" t="s">
        <v>46</v>
      </c>
      <c r="N45" s="236" t="s">
        <v>46</v>
      </c>
      <c r="O45" s="239" t="s">
        <v>372</v>
      </c>
      <c r="P45" s="238" t="s">
        <v>46</v>
      </c>
      <c r="Q45" s="238" t="s">
        <v>46</v>
      </c>
      <c r="R45" s="238" t="s">
        <v>46</v>
      </c>
      <c r="S45" s="236" t="s">
        <v>46</v>
      </c>
      <c r="T45" s="239" t="s">
        <v>372</v>
      </c>
      <c r="U45" s="238" t="s">
        <v>46</v>
      </c>
      <c r="V45" s="238" t="s">
        <v>46</v>
      </c>
      <c r="W45" s="238" t="s">
        <v>46</v>
      </c>
      <c r="X45" s="236" t="s">
        <v>46</v>
      </c>
      <c r="Y45" s="249" t="s">
        <v>46</v>
      </c>
      <c r="Z45" s="527" t="s">
        <v>373</v>
      </c>
      <c r="AA45" s="759" t="s">
        <v>374</v>
      </c>
      <c r="AB45" s="855" t="s">
        <v>375</v>
      </c>
      <c r="AC45" s="856" t="s">
        <v>376</v>
      </c>
      <c r="AD45" s="760" t="s">
        <v>125</v>
      </c>
      <c r="AE45" s="857" t="s">
        <v>133</v>
      </c>
      <c r="AF45" s="759" t="s">
        <v>46</v>
      </c>
      <c r="AG45" s="856" t="s">
        <v>46</v>
      </c>
      <c r="AH45" s="760" t="s">
        <v>46</v>
      </c>
      <c r="AI45" s="760" t="s">
        <v>46</v>
      </c>
      <c r="AJ45" s="761" t="s">
        <v>46</v>
      </c>
      <c r="AK45" s="759" t="s">
        <v>46</v>
      </c>
      <c r="AL45" s="856" t="s">
        <v>46</v>
      </c>
      <c r="AM45" s="760" t="s">
        <v>46</v>
      </c>
      <c r="AN45" s="760" t="s">
        <v>46</v>
      </c>
      <c r="AO45" s="761" t="s">
        <v>46</v>
      </c>
      <c r="AP45" s="759" t="s">
        <v>377</v>
      </c>
      <c r="AQ45" s="856" t="s">
        <v>378</v>
      </c>
      <c r="AR45" s="856" t="s">
        <v>379</v>
      </c>
      <c r="AS45" s="760" t="s">
        <v>46</v>
      </c>
      <c r="AT45" s="761" t="s">
        <v>46</v>
      </c>
      <c r="AU45" s="246"/>
      <c r="AV45" s="923" t="s">
        <v>380</v>
      </c>
      <c r="AW45" s="924" t="s">
        <v>381</v>
      </c>
      <c r="AX45" s="925" t="s">
        <v>382</v>
      </c>
      <c r="AY45" s="925" t="s">
        <v>383</v>
      </c>
      <c r="AZ45" s="926" t="s">
        <v>384</v>
      </c>
      <c r="BA45" s="307" t="s">
        <v>301</v>
      </c>
      <c r="BB45" s="308"/>
      <c r="BC45" s="308" t="s">
        <v>143</v>
      </c>
      <c r="BD45" s="308"/>
      <c r="BE45" s="308"/>
      <c r="BF45" s="308"/>
      <c r="BG45" s="308"/>
      <c r="BH45" s="308"/>
      <c r="BI45" s="308"/>
      <c r="BJ45" s="308"/>
      <c r="BK45" s="308"/>
      <c r="BL45" s="308"/>
      <c r="BM45" s="308"/>
      <c r="BN45" s="308"/>
      <c r="BO45" s="308"/>
      <c r="BP45" s="308"/>
      <c r="BQ45" s="308"/>
      <c r="BR45" s="308"/>
      <c r="BS45" s="308"/>
      <c r="BT45" s="308"/>
      <c r="BU45" s="308"/>
      <c r="BV45" s="308"/>
      <c r="BW45" s="309"/>
    </row>
    <row r="46" spans="2:75" ht="409.6" customHeight="1">
      <c r="B46" s="235"/>
      <c r="C46" s="240" t="s">
        <v>385</v>
      </c>
      <c r="D46" s="240"/>
      <c r="E46" s="245"/>
      <c r="F46" s="237" t="s">
        <v>50</v>
      </c>
      <c r="G46" s="238" t="s">
        <v>50</v>
      </c>
      <c r="H46" s="238" t="s">
        <v>50</v>
      </c>
      <c r="I46" s="236" t="s">
        <v>50</v>
      </c>
      <c r="J46" s="239" t="s">
        <v>50</v>
      </c>
      <c r="K46" s="238" t="s">
        <v>50</v>
      </c>
      <c r="L46" s="238" t="s">
        <v>50</v>
      </c>
      <c r="M46" s="238" t="s">
        <v>50</v>
      </c>
      <c r="N46" s="236" t="s">
        <v>50</v>
      </c>
      <c r="O46" s="239" t="s">
        <v>50</v>
      </c>
      <c r="P46" s="238" t="s">
        <v>50</v>
      </c>
      <c r="Q46" s="238" t="s">
        <v>50</v>
      </c>
      <c r="R46" s="238" t="s">
        <v>50</v>
      </c>
      <c r="S46" s="236" t="s">
        <v>50</v>
      </c>
      <c r="T46" s="239" t="s">
        <v>50</v>
      </c>
      <c r="U46" s="238" t="s">
        <v>50</v>
      </c>
      <c r="V46" s="238" t="s">
        <v>50</v>
      </c>
      <c r="W46" s="238" t="s">
        <v>50</v>
      </c>
      <c r="X46" s="236" t="s">
        <v>50</v>
      </c>
      <c r="Y46" s="249" t="s">
        <v>45</v>
      </c>
      <c r="Z46" s="527" t="s">
        <v>278</v>
      </c>
      <c r="AA46" s="245" t="s">
        <v>386</v>
      </c>
      <c r="AB46" s="242"/>
      <c r="AC46" s="243"/>
      <c r="AD46" s="238"/>
      <c r="AE46" s="244"/>
      <c r="AF46" s="245"/>
      <c r="AG46" s="243"/>
      <c r="AH46" s="238"/>
      <c r="AI46" s="238"/>
      <c r="AJ46" s="238"/>
      <c r="AK46" s="245"/>
      <c r="AL46" s="243"/>
      <c r="AM46" s="238"/>
      <c r="AN46" s="238"/>
      <c r="AO46" s="238"/>
      <c r="AP46" s="245"/>
      <c r="AQ46" s="238"/>
      <c r="AR46" s="238"/>
      <c r="AS46" s="238"/>
      <c r="AT46" s="238"/>
      <c r="AU46" s="246"/>
      <c r="AV46" s="1058" t="s">
        <v>387</v>
      </c>
      <c r="AW46" s="1065" t="s">
        <v>388</v>
      </c>
      <c r="AX46" s="311" t="s">
        <v>389</v>
      </c>
      <c r="AY46" s="1066" t="s">
        <v>390</v>
      </c>
      <c r="AZ46" s="1064" t="s">
        <v>391</v>
      </c>
      <c r="BA46" s="1047" t="s">
        <v>301</v>
      </c>
      <c r="BB46" s="1049"/>
      <c r="BC46" s="1049" t="s">
        <v>143</v>
      </c>
      <c r="BD46" s="1034"/>
      <c r="BE46" s="1034"/>
      <c r="BF46" s="1034"/>
      <c r="BG46" s="1034"/>
      <c r="BH46" s="1034"/>
      <c r="BI46" s="1034"/>
      <c r="BJ46" s="1034"/>
      <c r="BK46" s="1034"/>
      <c r="BL46" s="1034"/>
      <c r="BM46" s="1034"/>
      <c r="BN46" s="1034"/>
      <c r="BO46" s="1034"/>
      <c r="BP46" s="1034"/>
      <c r="BQ46" s="1034"/>
      <c r="BR46" s="1034"/>
      <c r="BS46" s="1034"/>
      <c r="BT46" s="1034"/>
      <c r="BU46" s="1034"/>
      <c r="BV46" s="1034"/>
      <c r="BW46" s="1035"/>
    </row>
    <row r="47" spans="2:75" ht="84">
      <c r="B47" s="235"/>
      <c r="C47" s="252" t="s">
        <v>392</v>
      </c>
      <c r="D47" s="252"/>
      <c r="E47" s="276"/>
      <c r="F47" s="258" t="s">
        <v>50</v>
      </c>
      <c r="G47" s="272" t="s">
        <v>50</v>
      </c>
      <c r="H47" s="272" t="s">
        <v>50</v>
      </c>
      <c r="I47" s="248" t="s">
        <v>50</v>
      </c>
      <c r="J47" s="273" t="s">
        <v>50</v>
      </c>
      <c r="K47" s="272" t="s">
        <v>50</v>
      </c>
      <c r="L47" s="272" t="s">
        <v>50</v>
      </c>
      <c r="M47" s="272" t="s">
        <v>50</v>
      </c>
      <c r="N47" s="248" t="s">
        <v>50</v>
      </c>
      <c r="O47" s="273" t="s">
        <v>50</v>
      </c>
      <c r="P47" s="272" t="s">
        <v>50</v>
      </c>
      <c r="Q47" s="272" t="s">
        <v>50</v>
      </c>
      <c r="R47" s="272" t="s">
        <v>50</v>
      </c>
      <c r="S47" s="248" t="s">
        <v>50</v>
      </c>
      <c r="T47" s="273" t="s">
        <v>50</v>
      </c>
      <c r="U47" s="272" t="s">
        <v>50</v>
      </c>
      <c r="V47" s="272" t="s">
        <v>50</v>
      </c>
      <c r="W47" s="272" t="s">
        <v>50</v>
      </c>
      <c r="X47" s="248" t="s">
        <v>50</v>
      </c>
      <c r="Y47" s="312" t="s">
        <v>45</v>
      </c>
      <c r="Z47" s="527" t="s">
        <v>278</v>
      </c>
      <c r="AA47" s="245" t="s">
        <v>393</v>
      </c>
      <c r="AB47" s="270"/>
      <c r="AC47" s="269"/>
      <c r="AD47" s="272"/>
      <c r="AE47" s="274"/>
      <c r="AF47" s="276"/>
      <c r="AG47" s="269"/>
      <c r="AH47" s="272"/>
      <c r="AI47" s="272"/>
      <c r="AJ47" s="248"/>
      <c r="AK47" s="276"/>
      <c r="AL47" s="269"/>
      <c r="AM47" s="272"/>
      <c r="AN47" s="272"/>
      <c r="AO47" s="248"/>
      <c r="AP47" s="276"/>
      <c r="AQ47" s="272"/>
      <c r="AR47" s="272"/>
      <c r="AS47" s="272"/>
      <c r="AT47" s="248"/>
      <c r="AU47" s="275"/>
      <c r="AV47" s="1170"/>
      <c r="AW47" s="1171"/>
      <c r="AX47" s="313"/>
      <c r="AY47" s="1172"/>
      <c r="AZ47" s="1173"/>
      <c r="BA47" s="1048"/>
      <c r="BB47" s="1050"/>
      <c r="BC47" s="1050"/>
      <c r="BD47" s="1040"/>
      <c r="BE47" s="1040"/>
      <c r="BF47" s="1040"/>
      <c r="BG47" s="1040"/>
      <c r="BH47" s="1040"/>
      <c r="BI47" s="1040"/>
      <c r="BJ47" s="1040"/>
      <c r="BK47" s="1040"/>
      <c r="BL47" s="1040"/>
      <c r="BM47" s="1040"/>
      <c r="BN47" s="1040"/>
      <c r="BO47" s="1040"/>
      <c r="BP47" s="1040"/>
      <c r="BQ47" s="1040"/>
      <c r="BR47" s="1040"/>
      <c r="BS47" s="1040"/>
      <c r="BT47" s="1040"/>
      <c r="BU47" s="1040"/>
      <c r="BV47" s="1040"/>
      <c r="BW47" s="1041"/>
    </row>
    <row r="48" spans="2:75" ht="33.6">
      <c r="B48" s="971" t="s">
        <v>394</v>
      </c>
      <c r="C48" s="972" t="s">
        <v>395</v>
      </c>
      <c r="D48" s="973" t="s">
        <v>396</v>
      </c>
      <c r="E48" s="974"/>
      <c r="F48" s="975"/>
      <c r="G48" s="976"/>
      <c r="H48" s="976"/>
      <c r="I48" s="977"/>
      <c r="J48" s="978"/>
      <c r="K48" s="975"/>
      <c r="L48" s="973"/>
      <c r="M48" s="973"/>
      <c r="N48" s="973"/>
      <c r="O48" s="978"/>
      <c r="P48" s="973"/>
      <c r="Q48" s="973"/>
      <c r="R48" s="973"/>
      <c r="S48" s="973"/>
      <c r="T48" s="978"/>
      <c r="U48" s="973"/>
      <c r="V48" s="973"/>
      <c r="W48" s="973"/>
      <c r="X48" s="973"/>
      <c r="Y48" s="979"/>
      <c r="Z48" s="980"/>
      <c r="AA48" s="974"/>
      <c r="AB48" s="981"/>
      <c r="AC48" s="946"/>
      <c r="AD48" s="976"/>
      <c r="AE48" s="982"/>
      <c r="AF48" s="983"/>
      <c r="AG48" s="981"/>
      <c r="AH48" s="973"/>
      <c r="AI48" s="973"/>
      <c r="AJ48" s="973"/>
      <c r="AK48" s="983"/>
      <c r="AL48" s="947"/>
      <c r="AM48" s="973"/>
      <c r="AN48" s="973"/>
      <c r="AO48" s="973"/>
      <c r="AP48" s="983"/>
      <c r="AQ48" s="973"/>
      <c r="AR48" s="973"/>
      <c r="AS48" s="973"/>
      <c r="AT48" s="973"/>
      <c r="AU48" s="984"/>
      <c r="AV48" s="945"/>
      <c r="AW48" s="946" t="s">
        <v>397</v>
      </c>
      <c r="AX48" s="947" t="s">
        <v>398</v>
      </c>
      <c r="AY48" s="947" t="s">
        <v>399</v>
      </c>
      <c r="AZ48" s="947" t="s">
        <v>400</v>
      </c>
      <c r="BA48" s="985" t="s">
        <v>401</v>
      </c>
      <c r="BB48" s="986"/>
      <c r="BC48" s="986" t="s">
        <v>143</v>
      </c>
      <c r="BD48" s="986"/>
      <c r="BE48" s="986"/>
      <c r="BF48" s="986"/>
      <c r="BG48" s="986"/>
      <c r="BH48" s="986"/>
      <c r="BI48" s="986"/>
      <c r="BJ48" s="986"/>
      <c r="BK48" s="986"/>
      <c r="BL48" s="986"/>
      <c r="BM48" s="986"/>
      <c r="BN48" s="986"/>
      <c r="BO48" s="986"/>
      <c r="BP48" s="986"/>
      <c r="BQ48" s="986"/>
      <c r="BR48" s="986"/>
      <c r="BS48" s="986"/>
      <c r="BT48" s="986"/>
      <c r="BU48" s="986"/>
      <c r="BV48" s="986"/>
      <c r="BW48" s="987"/>
    </row>
    <row r="49" spans="2:75" ht="33.6">
      <c r="B49" s="988"/>
      <c r="C49" s="989"/>
      <c r="D49" s="990" t="s">
        <v>402</v>
      </c>
      <c r="E49" s="991"/>
      <c r="F49" s="992"/>
      <c r="G49" s="993"/>
      <c r="H49" s="993"/>
      <c r="I49" s="994"/>
      <c r="J49" s="995"/>
      <c r="K49" s="992"/>
      <c r="L49" s="990"/>
      <c r="M49" s="990"/>
      <c r="N49" s="990"/>
      <c r="O49" s="995"/>
      <c r="P49" s="990"/>
      <c r="Q49" s="990"/>
      <c r="R49" s="990"/>
      <c r="S49" s="990"/>
      <c r="T49" s="995"/>
      <c r="U49" s="990"/>
      <c r="V49" s="990"/>
      <c r="W49" s="990"/>
      <c r="X49" s="990"/>
      <c r="Y49" s="996"/>
      <c r="Z49" s="997"/>
      <c r="AA49" s="991"/>
      <c r="AB49" s="950"/>
      <c r="AC49" s="949"/>
      <c r="AD49" s="993"/>
      <c r="AE49" s="998"/>
      <c r="AF49" s="999"/>
      <c r="AG49" s="950"/>
      <c r="AH49" s="990"/>
      <c r="AI49" s="990"/>
      <c r="AJ49" s="990"/>
      <c r="AK49" s="999"/>
      <c r="AL49" s="951"/>
      <c r="AM49" s="990"/>
      <c r="AN49" s="990"/>
      <c r="AO49" s="990"/>
      <c r="AP49" s="999"/>
      <c r="AQ49" s="990"/>
      <c r="AR49" s="990"/>
      <c r="AS49" s="990"/>
      <c r="AT49" s="990"/>
      <c r="AU49" s="1000"/>
      <c r="AV49" s="948"/>
      <c r="AW49" s="949" t="s">
        <v>46</v>
      </c>
      <c r="AX49" s="950" t="s">
        <v>403</v>
      </c>
      <c r="AY49" s="950" t="s">
        <v>404</v>
      </c>
      <c r="AZ49" s="950" t="s">
        <v>405</v>
      </c>
      <c r="BA49" s="985" t="s">
        <v>401</v>
      </c>
      <c r="BB49" s="986"/>
      <c r="BC49" s="986" t="s">
        <v>143</v>
      </c>
      <c r="BD49" s="1042" t="s">
        <v>46</v>
      </c>
      <c r="BE49" s="1042" t="s">
        <v>46</v>
      </c>
      <c r="BF49" s="1042" t="s">
        <v>46</v>
      </c>
      <c r="BG49" s="1042" t="s">
        <v>46</v>
      </c>
      <c r="BH49" s="1042" t="s">
        <v>46</v>
      </c>
      <c r="BI49" s="986"/>
      <c r="BJ49" s="986"/>
      <c r="BK49" s="986"/>
      <c r="BL49" s="986"/>
      <c r="BM49" s="986"/>
      <c r="BN49" s="986"/>
      <c r="BO49" s="986"/>
      <c r="BP49" s="986"/>
      <c r="BQ49" s="986"/>
      <c r="BR49" s="986"/>
      <c r="BS49" s="986"/>
      <c r="BT49" s="986"/>
      <c r="BU49" s="986"/>
      <c r="BV49" s="986"/>
      <c r="BW49" s="987"/>
    </row>
    <row r="50" spans="2:75" ht="33.6">
      <c r="B50" s="988"/>
      <c r="C50" s="1001" t="s">
        <v>406</v>
      </c>
      <c r="D50" s="990" t="s">
        <v>407</v>
      </c>
      <c r="E50" s="991"/>
      <c r="F50" s="992"/>
      <c r="G50" s="993"/>
      <c r="H50" s="993"/>
      <c r="I50" s="994"/>
      <c r="J50" s="995"/>
      <c r="K50" s="992"/>
      <c r="L50" s="990"/>
      <c r="M50" s="990"/>
      <c r="N50" s="990"/>
      <c r="O50" s="995"/>
      <c r="P50" s="990"/>
      <c r="Q50" s="990"/>
      <c r="R50" s="990"/>
      <c r="S50" s="990"/>
      <c r="T50" s="995"/>
      <c r="U50" s="990"/>
      <c r="V50" s="990"/>
      <c r="W50" s="990"/>
      <c r="X50" s="990"/>
      <c r="Y50" s="996"/>
      <c r="Z50" s="997"/>
      <c r="AA50" s="991"/>
      <c r="AB50" s="950"/>
      <c r="AC50" s="949"/>
      <c r="AD50" s="993"/>
      <c r="AE50" s="998"/>
      <c r="AF50" s="999"/>
      <c r="AG50" s="950"/>
      <c r="AH50" s="990"/>
      <c r="AI50" s="990"/>
      <c r="AJ50" s="990"/>
      <c r="AK50" s="999"/>
      <c r="AL50" s="951"/>
      <c r="AM50" s="990"/>
      <c r="AN50" s="990"/>
      <c r="AO50" s="990"/>
      <c r="AP50" s="999"/>
      <c r="AQ50" s="990"/>
      <c r="AR50" s="990"/>
      <c r="AS50" s="990"/>
      <c r="AT50" s="990"/>
      <c r="AU50" s="1000"/>
      <c r="AV50" s="948"/>
      <c r="AW50" s="949" t="s">
        <v>46</v>
      </c>
      <c r="AX50" s="950" t="s">
        <v>408</v>
      </c>
      <c r="AY50" s="950" t="s">
        <v>409</v>
      </c>
      <c r="AZ50" s="951" t="s">
        <v>410</v>
      </c>
      <c r="BA50" s="985" t="s">
        <v>401</v>
      </c>
      <c r="BB50" s="986"/>
      <c r="BC50" s="986" t="s">
        <v>143</v>
      </c>
      <c r="BD50" s="1042" t="s">
        <v>46</v>
      </c>
      <c r="BE50" s="1042" t="s">
        <v>46</v>
      </c>
      <c r="BF50" s="1042" t="s">
        <v>46</v>
      </c>
      <c r="BG50" s="1042" t="s">
        <v>46</v>
      </c>
      <c r="BH50" s="1042" t="s">
        <v>46</v>
      </c>
      <c r="BI50" s="986"/>
      <c r="BJ50" s="986"/>
      <c r="BK50" s="986"/>
      <c r="BL50" s="986"/>
      <c r="BM50" s="986"/>
      <c r="BN50" s="986"/>
      <c r="BO50" s="986"/>
      <c r="BP50" s="986"/>
      <c r="BQ50" s="986"/>
      <c r="BR50" s="986"/>
      <c r="BS50" s="986"/>
      <c r="BT50" s="986"/>
      <c r="BU50" s="986"/>
      <c r="BV50" s="986"/>
      <c r="BW50" s="987"/>
    </row>
    <row r="51" spans="2:75" ht="50.45">
      <c r="B51" s="988"/>
      <c r="C51" s="1002"/>
      <c r="D51" s="951" t="s">
        <v>411</v>
      </c>
      <c r="E51" s="991"/>
      <c r="F51" s="992"/>
      <c r="G51" s="993"/>
      <c r="H51" s="993"/>
      <c r="I51" s="994"/>
      <c r="J51" s="995"/>
      <c r="K51" s="992"/>
      <c r="L51" s="990"/>
      <c r="M51" s="990"/>
      <c r="N51" s="990"/>
      <c r="O51" s="995"/>
      <c r="P51" s="990"/>
      <c r="Q51" s="990"/>
      <c r="R51" s="990"/>
      <c r="S51" s="990"/>
      <c r="T51" s="995"/>
      <c r="U51" s="990"/>
      <c r="V51" s="990"/>
      <c r="W51" s="990"/>
      <c r="X51" s="990"/>
      <c r="Y51" s="996"/>
      <c r="Z51" s="997"/>
      <c r="AA51" s="991"/>
      <c r="AB51" s="950"/>
      <c r="AC51" s="949"/>
      <c r="AD51" s="993"/>
      <c r="AE51" s="998"/>
      <c r="AF51" s="999"/>
      <c r="AG51" s="950"/>
      <c r="AH51" s="990"/>
      <c r="AI51" s="990"/>
      <c r="AJ51" s="990"/>
      <c r="AK51" s="999"/>
      <c r="AL51" s="951"/>
      <c r="AM51" s="990"/>
      <c r="AN51" s="990"/>
      <c r="AO51" s="990"/>
      <c r="AP51" s="999"/>
      <c r="AQ51" s="990"/>
      <c r="AR51" s="990"/>
      <c r="AS51" s="990"/>
      <c r="AT51" s="990"/>
      <c r="AU51" s="1000"/>
      <c r="AV51" s="948"/>
      <c r="AW51" s="949" t="s">
        <v>46</v>
      </c>
      <c r="AX51" s="950" t="s">
        <v>412</v>
      </c>
      <c r="AY51" s="950" t="s">
        <v>413</v>
      </c>
      <c r="AZ51" s="951" t="s">
        <v>414</v>
      </c>
      <c r="BA51" s="985" t="s">
        <v>401</v>
      </c>
      <c r="BB51" s="986"/>
      <c r="BC51" s="986" t="s">
        <v>143</v>
      </c>
      <c r="BD51" s="1042" t="s">
        <v>46</v>
      </c>
      <c r="BE51" s="1042" t="s">
        <v>46</v>
      </c>
      <c r="BF51" s="1042" t="s">
        <v>46</v>
      </c>
      <c r="BG51" s="1042" t="s">
        <v>46</v>
      </c>
      <c r="BH51" s="1042" t="s">
        <v>46</v>
      </c>
      <c r="BI51" s="986"/>
      <c r="BJ51" s="986"/>
      <c r="BK51" s="986"/>
      <c r="BL51" s="986"/>
      <c r="BM51" s="986"/>
      <c r="BN51" s="986"/>
      <c r="BO51" s="986"/>
      <c r="BP51" s="986"/>
      <c r="BQ51" s="986"/>
      <c r="BR51" s="986"/>
      <c r="BS51" s="986"/>
      <c r="BT51" s="986"/>
      <c r="BU51" s="986"/>
      <c r="BV51" s="986"/>
      <c r="BW51" s="987"/>
    </row>
    <row r="52" spans="2:75" ht="33.6">
      <c r="B52" s="988"/>
      <c r="C52" s="1002"/>
      <c r="D52" s="990" t="s">
        <v>415</v>
      </c>
      <c r="E52" s="991"/>
      <c r="F52" s="992"/>
      <c r="G52" s="993"/>
      <c r="H52" s="993"/>
      <c r="I52" s="994"/>
      <c r="J52" s="995"/>
      <c r="K52" s="992"/>
      <c r="L52" s="990"/>
      <c r="M52" s="990"/>
      <c r="N52" s="990"/>
      <c r="O52" s="995"/>
      <c r="P52" s="990"/>
      <c r="Q52" s="990"/>
      <c r="R52" s="990"/>
      <c r="S52" s="990"/>
      <c r="T52" s="995"/>
      <c r="U52" s="990"/>
      <c r="V52" s="990"/>
      <c r="W52" s="990"/>
      <c r="X52" s="990"/>
      <c r="Y52" s="996"/>
      <c r="Z52" s="997"/>
      <c r="AA52" s="991"/>
      <c r="AB52" s="950"/>
      <c r="AC52" s="949"/>
      <c r="AD52" s="993"/>
      <c r="AE52" s="998"/>
      <c r="AF52" s="999"/>
      <c r="AG52" s="950"/>
      <c r="AH52" s="990"/>
      <c r="AI52" s="990"/>
      <c r="AJ52" s="990"/>
      <c r="AK52" s="999"/>
      <c r="AL52" s="951"/>
      <c r="AM52" s="990"/>
      <c r="AN52" s="990"/>
      <c r="AO52" s="990"/>
      <c r="AP52" s="999"/>
      <c r="AQ52" s="990"/>
      <c r="AR52" s="990"/>
      <c r="AS52" s="990"/>
      <c r="AT52" s="990"/>
      <c r="AU52" s="1000"/>
      <c r="AV52" s="948"/>
      <c r="AW52" s="949" t="s">
        <v>46</v>
      </c>
      <c r="AX52" s="951" t="s">
        <v>416</v>
      </c>
      <c r="AY52" s="951" t="s">
        <v>417</v>
      </c>
      <c r="AZ52" s="951" t="s">
        <v>418</v>
      </c>
      <c r="BA52" s="985" t="s">
        <v>401</v>
      </c>
      <c r="BB52" s="986"/>
      <c r="BC52" s="986" t="s">
        <v>143</v>
      </c>
      <c r="BD52" s="1042" t="s">
        <v>46</v>
      </c>
      <c r="BE52" s="1042" t="s">
        <v>46</v>
      </c>
      <c r="BF52" s="1042" t="s">
        <v>46</v>
      </c>
      <c r="BG52" s="1042" t="s">
        <v>46</v>
      </c>
      <c r="BH52" s="1042" t="s">
        <v>46</v>
      </c>
      <c r="BI52" s="986"/>
      <c r="BJ52" s="986"/>
      <c r="BK52" s="986"/>
      <c r="BL52" s="986"/>
      <c r="BM52" s="986"/>
      <c r="BN52" s="986"/>
      <c r="BO52" s="986"/>
      <c r="BP52" s="986"/>
      <c r="BQ52" s="986"/>
      <c r="BR52" s="986"/>
      <c r="BS52" s="986"/>
      <c r="BT52" s="986"/>
      <c r="BU52" s="986"/>
      <c r="BV52" s="986"/>
      <c r="BW52" s="987"/>
    </row>
    <row r="53" spans="2:75" ht="33.6">
      <c r="B53" s="988"/>
      <c r="C53" s="1002"/>
      <c r="D53" s="990" t="s">
        <v>419</v>
      </c>
      <c r="E53" s="991"/>
      <c r="F53" s="992"/>
      <c r="G53" s="993"/>
      <c r="H53" s="993"/>
      <c r="I53" s="994"/>
      <c r="J53" s="995"/>
      <c r="K53" s="992"/>
      <c r="L53" s="990"/>
      <c r="M53" s="990"/>
      <c r="N53" s="990"/>
      <c r="O53" s="995"/>
      <c r="P53" s="990"/>
      <c r="Q53" s="990"/>
      <c r="R53" s="990"/>
      <c r="S53" s="990"/>
      <c r="T53" s="995"/>
      <c r="U53" s="990"/>
      <c r="V53" s="990"/>
      <c r="W53" s="990"/>
      <c r="X53" s="990"/>
      <c r="Y53" s="996"/>
      <c r="Z53" s="997"/>
      <c r="AA53" s="991"/>
      <c r="AB53" s="950"/>
      <c r="AC53" s="949"/>
      <c r="AD53" s="993"/>
      <c r="AE53" s="998"/>
      <c r="AF53" s="999"/>
      <c r="AG53" s="950"/>
      <c r="AH53" s="990"/>
      <c r="AI53" s="990"/>
      <c r="AJ53" s="990"/>
      <c r="AK53" s="999"/>
      <c r="AL53" s="951"/>
      <c r="AM53" s="990"/>
      <c r="AN53" s="990"/>
      <c r="AO53" s="990"/>
      <c r="AP53" s="999"/>
      <c r="AQ53" s="990"/>
      <c r="AR53" s="990"/>
      <c r="AS53" s="990"/>
      <c r="AT53" s="990"/>
      <c r="AU53" s="1000"/>
      <c r="AV53" s="948"/>
      <c r="AW53" s="949" t="s">
        <v>46</v>
      </c>
      <c r="AX53" s="950" t="s">
        <v>420</v>
      </c>
      <c r="AY53" s="951" t="s">
        <v>421</v>
      </c>
      <c r="AZ53" s="950" t="s">
        <v>46</v>
      </c>
      <c r="BA53" s="985" t="s">
        <v>401</v>
      </c>
      <c r="BB53" s="986"/>
      <c r="BC53" s="986" t="s">
        <v>143</v>
      </c>
      <c r="BD53" s="1042" t="s">
        <v>46</v>
      </c>
      <c r="BE53" s="1042" t="s">
        <v>46</v>
      </c>
      <c r="BF53" s="1042" t="s">
        <v>46</v>
      </c>
      <c r="BG53" s="1042" t="s">
        <v>46</v>
      </c>
      <c r="BH53" s="1042" t="s">
        <v>46</v>
      </c>
      <c r="BI53" s="986"/>
      <c r="BJ53" s="986"/>
      <c r="BK53" s="986"/>
      <c r="BL53" s="986"/>
      <c r="BM53" s="986"/>
      <c r="BN53" s="986"/>
      <c r="BO53" s="986"/>
      <c r="BP53" s="986"/>
      <c r="BQ53" s="986"/>
      <c r="BR53" s="986"/>
      <c r="BS53" s="986"/>
      <c r="BT53" s="986"/>
      <c r="BU53" s="986"/>
      <c r="BV53" s="986"/>
      <c r="BW53" s="987"/>
    </row>
    <row r="54" spans="2:75" ht="33.6">
      <c r="B54" s="988"/>
      <c r="C54" s="1001" t="s">
        <v>422</v>
      </c>
      <c r="D54" s="990" t="s">
        <v>423</v>
      </c>
      <c r="E54" s="991"/>
      <c r="F54" s="992"/>
      <c r="G54" s="993"/>
      <c r="H54" s="993"/>
      <c r="I54" s="994"/>
      <c r="J54" s="995"/>
      <c r="K54" s="992"/>
      <c r="L54" s="990"/>
      <c r="M54" s="990"/>
      <c r="N54" s="990"/>
      <c r="O54" s="995"/>
      <c r="P54" s="990"/>
      <c r="Q54" s="990"/>
      <c r="R54" s="990"/>
      <c r="S54" s="990"/>
      <c r="T54" s="995"/>
      <c r="U54" s="990"/>
      <c r="V54" s="990"/>
      <c r="W54" s="990"/>
      <c r="X54" s="990"/>
      <c r="Y54" s="996"/>
      <c r="Z54" s="997"/>
      <c r="AA54" s="991"/>
      <c r="AB54" s="950"/>
      <c r="AC54" s="949"/>
      <c r="AD54" s="993"/>
      <c r="AE54" s="998"/>
      <c r="AF54" s="999"/>
      <c r="AG54" s="950"/>
      <c r="AH54" s="990"/>
      <c r="AI54" s="990"/>
      <c r="AJ54" s="990"/>
      <c r="AK54" s="999"/>
      <c r="AL54" s="951"/>
      <c r="AM54" s="990"/>
      <c r="AN54" s="990"/>
      <c r="AO54" s="990"/>
      <c r="AP54" s="999"/>
      <c r="AQ54" s="990"/>
      <c r="AR54" s="990"/>
      <c r="AS54" s="990"/>
      <c r="AT54" s="990"/>
      <c r="AU54" s="1000"/>
      <c r="AV54" s="948"/>
      <c r="AW54" s="949" t="s">
        <v>46</v>
      </c>
      <c r="AX54" s="950" t="s">
        <v>424</v>
      </c>
      <c r="AY54" s="951" t="s">
        <v>425</v>
      </c>
      <c r="AZ54" s="951" t="s">
        <v>426</v>
      </c>
      <c r="BA54" s="985" t="s">
        <v>401</v>
      </c>
      <c r="BB54" s="986"/>
      <c r="BC54" s="986" t="s">
        <v>143</v>
      </c>
      <c r="BD54" s="1042" t="s">
        <v>46</v>
      </c>
      <c r="BE54" s="1042" t="s">
        <v>46</v>
      </c>
      <c r="BF54" s="1042" t="s">
        <v>46</v>
      </c>
      <c r="BG54" s="1042" t="s">
        <v>46</v>
      </c>
      <c r="BH54" s="1042" t="s">
        <v>46</v>
      </c>
      <c r="BI54" s="986"/>
      <c r="BJ54" s="986"/>
      <c r="BK54" s="986"/>
      <c r="BL54" s="986"/>
      <c r="BM54" s="986"/>
      <c r="BN54" s="986"/>
      <c r="BO54" s="986"/>
      <c r="BP54" s="986"/>
      <c r="BQ54" s="986"/>
      <c r="BR54" s="986"/>
      <c r="BS54" s="986"/>
      <c r="BT54" s="986"/>
      <c r="BU54" s="986"/>
      <c r="BV54" s="986"/>
      <c r="BW54" s="987"/>
    </row>
    <row r="55" spans="2:75" ht="33.6">
      <c r="B55" s="988"/>
      <c r="C55" s="1002"/>
      <c r="D55" s="990" t="s">
        <v>427</v>
      </c>
      <c r="E55" s="991"/>
      <c r="F55" s="992"/>
      <c r="G55" s="993"/>
      <c r="H55" s="993"/>
      <c r="I55" s="994"/>
      <c r="J55" s="995"/>
      <c r="K55" s="992"/>
      <c r="L55" s="990"/>
      <c r="M55" s="990"/>
      <c r="N55" s="990"/>
      <c r="O55" s="995"/>
      <c r="P55" s="990"/>
      <c r="Q55" s="990"/>
      <c r="R55" s="990"/>
      <c r="S55" s="990"/>
      <c r="T55" s="995"/>
      <c r="U55" s="990"/>
      <c r="V55" s="990"/>
      <c r="W55" s="990"/>
      <c r="X55" s="990"/>
      <c r="Y55" s="996"/>
      <c r="Z55" s="997"/>
      <c r="AA55" s="991"/>
      <c r="AB55" s="950"/>
      <c r="AC55" s="949"/>
      <c r="AD55" s="993"/>
      <c r="AE55" s="998"/>
      <c r="AF55" s="999"/>
      <c r="AG55" s="950"/>
      <c r="AH55" s="990"/>
      <c r="AI55" s="990"/>
      <c r="AJ55" s="990"/>
      <c r="AK55" s="999"/>
      <c r="AL55" s="951"/>
      <c r="AM55" s="990"/>
      <c r="AN55" s="990"/>
      <c r="AO55" s="990"/>
      <c r="AP55" s="999"/>
      <c r="AQ55" s="990"/>
      <c r="AR55" s="990"/>
      <c r="AS55" s="990"/>
      <c r="AT55" s="990"/>
      <c r="AU55" s="1000"/>
      <c r="AV55" s="948"/>
      <c r="AW55" s="949" t="s">
        <v>46</v>
      </c>
      <c r="AX55" s="950" t="s">
        <v>428</v>
      </c>
      <c r="AY55" s="951" t="s">
        <v>429</v>
      </c>
      <c r="AZ55" s="951" t="s">
        <v>430</v>
      </c>
      <c r="BA55" s="985" t="s">
        <v>401</v>
      </c>
      <c r="BB55" s="986"/>
      <c r="BC55" s="986" t="s">
        <v>143</v>
      </c>
      <c r="BD55" s="1042" t="s">
        <v>46</v>
      </c>
      <c r="BE55" s="1042" t="s">
        <v>46</v>
      </c>
      <c r="BF55" s="1042" t="s">
        <v>46</v>
      </c>
      <c r="BG55" s="1042" t="s">
        <v>46</v>
      </c>
      <c r="BH55" s="1042" t="s">
        <v>46</v>
      </c>
      <c r="BI55" s="986"/>
      <c r="BJ55" s="986"/>
      <c r="BK55" s="986"/>
      <c r="BL55" s="986"/>
      <c r="BM55" s="986"/>
      <c r="BN55" s="986"/>
      <c r="BO55" s="986"/>
      <c r="BP55" s="986"/>
      <c r="BQ55" s="986"/>
      <c r="BR55" s="986"/>
      <c r="BS55" s="986"/>
      <c r="BT55" s="986"/>
      <c r="BU55" s="986"/>
      <c r="BV55" s="986"/>
      <c r="BW55" s="987"/>
    </row>
    <row r="56" spans="2:75" ht="16.899999999999999">
      <c r="B56" s="988"/>
      <c r="C56" s="1003" t="s">
        <v>431</v>
      </c>
      <c r="D56" s="1003"/>
      <c r="E56" s="1004"/>
      <c r="F56" s="1005"/>
      <c r="G56" s="1006"/>
      <c r="H56" s="1006"/>
      <c r="I56" s="1007"/>
      <c r="J56" s="1008"/>
      <c r="K56" s="1005"/>
      <c r="L56" s="1003"/>
      <c r="M56" s="1003"/>
      <c r="N56" s="1003"/>
      <c r="O56" s="1008"/>
      <c r="P56" s="1003"/>
      <c r="Q56" s="1003"/>
      <c r="R56" s="1003"/>
      <c r="S56" s="1003"/>
      <c r="T56" s="1008"/>
      <c r="U56" s="1003"/>
      <c r="V56" s="1003"/>
      <c r="W56" s="1003"/>
      <c r="X56" s="1003"/>
      <c r="Y56" s="1009"/>
      <c r="Z56" s="1010"/>
      <c r="AA56" s="1004"/>
      <c r="AB56" s="954"/>
      <c r="AC56" s="953"/>
      <c r="AD56" s="1006"/>
      <c r="AE56" s="1011"/>
      <c r="AF56" s="1012"/>
      <c r="AG56" s="954"/>
      <c r="AH56" s="1003"/>
      <c r="AI56" s="1003"/>
      <c r="AJ56" s="1003"/>
      <c r="AK56" s="1012"/>
      <c r="AL56" s="955"/>
      <c r="AM56" s="1003"/>
      <c r="AN56" s="1003"/>
      <c r="AO56" s="1003"/>
      <c r="AP56" s="1012"/>
      <c r="AQ56" s="1003"/>
      <c r="AR56" s="1003"/>
      <c r="AS56" s="1003"/>
      <c r="AT56" s="1003"/>
      <c r="AU56" s="1013"/>
      <c r="AV56" s="952"/>
      <c r="AW56" s="953"/>
      <c r="AX56" s="954"/>
      <c r="AY56" s="954"/>
      <c r="AZ56" s="955"/>
      <c r="BA56" s="1014"/>
      <c r="BB56" s="1015"/>
      <c r="BC56" s="1015"/>
      <c r="BD56" s="1015"/>
      <c r="BE56" s="1015"/>
      <c r="BF56" s="1015"/>
      <c r="BG56" s="1015"/>
      <c r="BH56" s="1015"/>
      <c r="BI56" s="1015"/>
      <c r="BJ56" s="1015"/>
      <c r="BK56" s="1015"/>
      <c r="BL56" s="1015"/>
      <c r="BM56" s="1015"/>
      <c r="BN56" s="1015"/>
      <c r="BO56" s="1015"/>
      <c r="BP56" s="1015"/>
      <c r="BQ56" s="1015"/>
      <c r="BR56" s="1015"/>
      <c r="BS56" s="1015"/>
      <c r="BT56" s="1015"/>
      <c r="BU56" s="1015"/>
      <c r="BV56" s="1015"/>
      <c r="BW56" s="1016"/>
    </row>
    <row r="57" spans="2:75" ht="16.899999999999999">
      <c r="B57" s="988"/>
      <c r="C57" s="1003" t="s">
        <v>432</v>
      </c>
      <c r="D57" s="1003"/>
      <c r="E57" s="1004"/>
      <c r="F57" s="1005"/>
      <c r="G57" s="1006"/>
      <c r="H57" s="1006"/>
      <c r="I57" s="1007"/>
      <c r="J57" s="1008"/>
      <c r="K57" s="1005"/>
      <c r="L57" s="1003"/>
      <c r="M57" s="1003"/>
      <c r="N57" s="1003"/>
      <c r="O57" s="1008"/>
      <c r="P57" s="1003"/>
      <c r="Q57" s="1003"/>
      <c r="R57" s="1003"/>
      <c r="S57" s="1003"/>
      <c r="T57" s="1008"/>
      <c r="U57" s="1003"/>
      <c r="V57" s="1003"/>
      <c r="W57" s="1003"/>
      <c r="X57" s="1003"/>
      <c r="Y57" s="1009"/>
      <c r="Z57" s="1010"/>
      <c r="AA57" s="1004"/>
      <c r="AB57" s="954"/>
      <c r="AC57" s="953"/>
      <c r="AD57" s="1006"/>
      <c r="AE57" s="1011"/>
      <c r="AF57" s="1012"/>
      <c r="AG57" s="954"/>
      <c r="AH57" s="1003"/>
      <c r="AI57" s="1003"/>
      <c r="AJ57" s="1003"/>
      <c r="AK57" s="1012"/>
      <c r="AL57" s="955"/>
      <c r="AM57" s="1003"/>
      <c r="AN57" s="1003"/>
      <c r="AO57" s="1003"/>
      <c r="AP57" s="1012"/>
      <c r="AQ57" s="1003"/>
      <c r="AR57" s="1003"/>
      <c r="AS57" s="1003"/>
      <c r="AT57" s="1003"/>
      <c r="AU57" s="1013"/>
      <c r="AV57" s="952"/>
      <c r="AW57" s="953"/>
      <c r="AX57" s="954"/>
      <c r="AY57" s="954"/>
      <c r="AZ57" s="955"/>
      <c r="BA57" s="1014"/>
      <c r="BB57" s="1015"/>
      <c r="BC57" s="1015"/>
      <c r="BD57" s="1015"/>
      <c r="BE57" s="1015"/>
      <c r="BF57" s="1015"/>
      <c r="BG57" s="1015"/>
      <c r="BH57" s="1015"/>
      <c r="BI57" s="1015"/>
      <c r="BJ57" s="1015"/>
      <c r="BK57" s="1015"/>
      <c r="BL57" s="1015"/>
      <c r="BM57" s="1015"/>
      <c r="BN57" s="1015"/>
      <c r="BO57" s="1015"/>
      <c r="BP57" s="1015"/>
      <c r="BQ57" s="1015"/>
      <c r="BR57" s="1015"/>
      <c r="BS57" s="1015"/>
      <c r="BT57" s="1015"/>
      <c r="BU57" s="1015"/>
      <c r="BV57" s="1015"/>
      <c r="BW57" s="1016"/>
    </row>
    <row r="58" spans="2:75" ht="16.899999999999999">
      <c r="B58" s="1017"/>
      <c r="C58" s="1018" t="s">
        <v>433</v>
      </c>
      <c r="D58" s="1018"/>
      <c r="E58" s="1019"/>
      <c r="F58" s="1020"/>
      <c r="G58" s="1021"/>
      <c r="H58" s="1021"/>
      <c r="I58" s="1022"/>
      <c r="J58" s="1023"/>
      <c r="K58" s="1020"/>
      <c r="L58" s="1018"/>
      <c r="M58" s="1018"/>
      <c r="N58" s="1018"/>
      <c r="O58" s="1023"/>
      <c r="P58" s="1018"/>
      <c r="Q58" s="1018"/>
      <c r="R58" s="1018"/>
      <c r="S58" s="1018"/>
      <c r="T58" s="1023"/>
      <c r="U58" s="1018"/>
      <c r="V58" s="1018"/>
      <c r="W58" s="1018"/>
      <c r="X58" s="1018"/>
      <c r="Y58" s="1024"/>
      <c r="Z58" s="1025"/>
      <c r="AA58" s="1019"/>
      <c r="AB58" s="958"/>
      <c r="AC58" s="957"/>
      <c r="AD58" s="1021"/>
      <c r="AE58" s="1026"/>
      <c r="AF58" s="1027"/>
      <c r="AG58" s="958"/>
      <c r="AH58" s="1018"/>
      <c r="AI58" s="1018"/>
      <c r="AJ58" s="1018"/>
      <c r="AK58" s="1027"/>
      <c r="AL58" s="959"/>
      <c r="AM58" s="1018"/>
      <c r="AN58" s="1018"/>
      <c r="AO58" s="1018"/>
      <c r="AP58" s="1027"/>
      <c r="AQ58" s="1018"/>
      <c r="AR58" s="1018"/>
      <c r="AS58" s="1018"/>
      <c r="AT58" s="1018"/>
      <c r="AU58" s="1028"/>
      <c r="AV58" s="956"/>
      <c r="AW58" s="957"/>
      <c r="AX58" s="958"/>
      <c r="AY58" s="958"/>
      <c r="AZ58" s="959"/>
      <c r="BA58" s="1029"/>
      <c r="BB58" s="1030"/>
      <c r="BC58" s="1030"/>
      <c r="BD58" s="1030"/>
      <c r="BE58" s="1030"/>
      <c r="BF58" s="1030"/>
      <c r="BG58" s="1030"/>
      <c r="BH58" s="1030"/>
      <c r="BI58" s="1030"/>
      <c r="BJ58" s="1030"/>
      <c r="BK58" s="1030"/>
      <c r="BL58" s="1030"/>
      <c r="BM58" s="1030"/>
      <c r="BN58" s="1030"/>
      <c r="BO58" s="1030"/>
      <c r="BP58" s="1030"/>
      <c r="BQ58" s="1030"/>
      <c r="BR58" s="1030"/>
      <c r="BS58" s="1030"/>
      <c r="BT58" s="1030"/>
      <c r="BU58" s="1030"/>
      <c r="BV58" s="1030"/>
      <c r="BW58" s="1031"/>
    </row>
    <row r="59" spans="2:75" ht="117.6">
      <c r="B59" s="539" t="s">
        <v>434</v>
      </c>
      <c r="C59" s="330" t="s">
        <v>435</v>
      </c>
      <c r="D59" s="540" t="s">
        <v>436</v>
      </c>
      <c r="E59" s="627" t="s">
        <v>46</v>
      </c>
      <c r="F59" s="628" t="s">
        <v>46</v>
      </c>
      <c r="G59" s="629" t="s">
        <v>46</v>
      </c>
      <c r="H59" s="629" t="s">
        <v>46</v>
      </c>
      <c r="I59" s="630" t="s">
        <v>46</v>
      </c>
      <c r="J59" s="344" t="s">
        <v>46</v>
      </c>
      <c r="K59" s="342" t="s">
        <v>46</v>
      </c>
      <c r="L59" s="340" t="s">
        <v>46</v>
      </c>
      <c r="M59" s="340" t="s">
        <v>46</v>
      </c>
      <c r="N59" s="340" t="s">
        <v>46</v>
      </c>
      <c r="O59" s="344" t="s">
        <v>46</v>
      </c>
      <c r="P59" s="340" t="s">
        <v>46</v>
      </c>
      <c r="Q59" s="340" t="s">
        <v>46</v>
      </c>
      <c r="R59" s="340" t="s">
        <v>46</v>
      </c>
      <c r="S59" s="340" t="s">
        <v>46</v>
      </c>
      <c r="T59" s="344" t="s">
        <v>46</v>
      </c>
      <c r="U59" s="340" t="s">
        <v>46</v>
      </c>
      <c r="V59" s="340" t="s">
        <v>46</v>
      </c>
      <c r="W59" s="340" t="s">
        <v>46</v>
      </c>
      <c r="X59" s="340" t="s">
        <v>46</v>
      </c>
      <c r="Y59" s="345" t="s">
        <v>46</v>
      </c>
      <c r="Z59" s="879" t="s">
        <v>437</v>
      </c>
      <c r="AA59" s="860"/>
      <c r="AB59" s="751"/>
      <c r="AC59" s="750"/>
      <c r="AD59" s="861"/>
      <c r="AE59" s="862"/>
      <c r="AF59" s="863"/>
      <c r="AG59" s="751"/>
      <c r="AH59" s="864"/>
      <c r="AI59" s="864"/>
      <c r="AJ59" s="864"/>
      <c r="AK59" s="863"/>
      <c r="AL59" s="752"/>
      <c r="AM59" s="864"/>
      <c r="AN59" s="864"/>
      <c r="AO59" s="864"/>
      <c r="AP59" s="863"/>
      <c r="AQ59" s="864"/>
      <c r="AR59" s="864"/>
      <c r="AS59" s="864"/>
      <c r="AT59" s="864"/>
      <c r="AU59" s="352"/>
      <c r="AV59" s="927"/>
      <c r="AW59" s="858" t="s">
        <v>438</v>
      </c>
      <c r="AX59" s="928" t="s">
        <v>439</v>
      </c>
      <c r="AY59" s="928" t="s">
        <v>440</v>
      </c>
      <c r="AZ59" s="929" t="s">
        <v>384</v>
      </c>
      <c r="BA59" s="753" t="s">
        <v>46</v>
      </c>
      <c r="BB59" s="355" t="s">
        <v>46</v>
      </c>
      <c r="BC59" s="355" t="s">
        <v>46</v>
      </c>
      <c r="BD59" s="355" t="s">
        <v>46</v>
      </c>
      <c r="BE59" s="355" t="s">
        <v>46</v>
      </c>
      <c r="BF59" s="355" t="s">
        <v>46</v>
      </c>
      <c r="BG59" s="355" t="s">
        <v>46</v>
      </c>
      <c r="BH59" s="355" t="s">
        <v>46</v>
      </c>
      <c r="BI59" s="355" t="s">
        <v>46</v>
      </c>
      <c r="BJ59" s="355" t="s">
        <v>46</v>
      </c>
      <c r="BK59" s="355" t="s">
        <v>46</v>
      </c>
      <c r="BL59" s="355" t="s">
        <v>46</v>
      </c>
      <c r="BM59" s="355" t="s">
        <v>46</v>
      </c>
      <c r="BN59" s="355" t="s">
        <v>46</v>
      </c>
      <c r="BO59" s="355" t="s">
        <v>46</v>
      </c>
      <c r="BP59" s="355" t="s">
        <v>46</v>
      </c>
      <c r="BQ59" s="355" t="s">
        <v>46</v>
      </c>
      <c r="BR59" s="355" t="s">
        <v>46</v>
      </c>
      <c r="BS59" s="355" t="s">
        <v>46</v>
      </c>
      <c r="BT59" s="355" t="s">
        <v>46</v>
      </c>
      <c r="BU59" s="355" t="s">
        <v>46</v>
      </c>
      <c r="BV59" s="355" t="s">
        <v>46</v>
      </c>
      <c r="BW59" s="796" t="s">
        <v>46</v>
      </c>
    </row>
    <row r="60" spans="2:75" ht="104.25" customHeight="1">
      <c r="B60" s="544"/>
      <c r="C60" s="550" t="s">
        <v>406</v>
      </c>
      <c r="D60" s="545" t="s">
        <v>407</v>
      </c>
      <c r="E60" s="551" t="s">
        <v>441</v>
      </c>
      <c r="F60" s="940" t="s">
        <v>442</v>
      </c>
      <c r="G60" s="553" t="s">
        <v>443</v>
      </c>
      <c r="H60" s="626" t="s">
        <v>125</v>
      </c>
      <c r="I60" s="797" t="s">
        <v>444</v>
      </c>
      <c r="J60" s="361" t="s">
        <v>46</v>
      </c>
      <c r="K60" s="359" t="s">
        <v>46</v>
      </c>
      <c r="L60" s="357" t="s">
        <v>46</v>
      </c>
      <c r="M60" s="357" t="s">
        <v>46</v>
      </c>
      <c r="N60" s="357" t="s">
        <v>46</v>
      </c>
      <c r="O60" s="361" t="s">
        <v>46</v>
      </c>
      <c r="P60" s="357" t="s">
        <v>46</v>
      </c>
      <c r="Q60" s="357" t="s">
        <v>46</v>
      </c>
      <c r="R60" s="357" t="s">
        <v>46</v>
      </c>
      <c r="S60" s="357" t="s">
        <v>46</v>
      </c>
      <c r="T60" s="882" t="s">
        <v>445</v>
      </c>
      <c r="U60" s="883" t="s">
        <v>446</v>
      </c>
      <c r="V60" s="884" t="s">
        <v>447</v>
      </c>
      <c r="W60" s="884" t="s">
        <v>448</v>
      </c>
      <c r="X60" s="884" t="s">
        <v>449</v>
      </c>
      <c r="Y60" s="885" t="s">
        <v>127</v>
      </c>
      <c r="Z60" s="880" t="s">
        <v>450</v>
      </c>
      <c r="AA60" s="865"/>
      <c r="AB60" s="866"/>
      <c r="AC60" s="754"/>
      <c r="AD60" s="867"/>
      <c r="AE60" s="868"/>
      <c r="AF60" s="869"/>
      <c r="AG60" s="866"/>
      <c r="AH60" s="870"/>
      <c r="AI60" s="870"/>
      <c r="AJ60" s="870"/>
      <c r="AK60" s="869"/>
      <c r="AL60" s="755"/>
      <c r="AM60" s="870"/>
      <c r="AN60" s="870"/>
      <c r="AO60" s="870"/>
      <c r="AP60" s="869"/>
      <c r="AQ60" s="870"/>
      <c r="AR60" s="870"/>
      <c r="AS60" s="870"/>
      <c r="AT60" s="870"/>
      <c r="AU60" s="369"/>
      <c r="AV60" s="930" t="s">
        <v>451</v>
      </c>
      <c r="AW60" s="931" t="s">
        <v>452</v>
      </c>
      <c r="AX60" s="932" t="s">
        <v>453</v>
      </c>
      <c r="AY60" s="932" t="s">
        <v>454</v>
      </c>
      <c r="AZ60" s="933" t="s">
        <v>455</v>
      </c>
      <c r="BA60" s="1174" t="s">
        <v>456</v>
      </c>
      <c r="BB60" s="1175" t="s">
        <v>457</v>
      </c>
      <c r="BC60" s="1175" t="s">
        <v>458</v>
      </c>
      <c r="BD60" s="890" t="s">
        <v>459</v>
      </c>
      <c r="BE60" s="890" t="s">
        <v>459</v>
      </c>
      <c r="BF60" s="890" t="s">
        <v>459</v>
      </c>
      <c r="BG60" s="890" t="s">
        <v>459</v>
      </c>
      <c r="BH60" s="890" t="s">
        <v>459</v>
      </c>
      <c r="BI60" s="891" t="s">
        <v>460</v>
      </c>
      <c r="BJ60" s="891" t="s">
        <v>461</v>
      </c>
      <c r="BK60" s="891" t="s">
        <v>462</v>
      </c>
      <c r="BL60" s="891" t="s">
        <v>463</v>
      </c>
      <c r="BM60" s="891" t="s">
        <v>464</v>
      </c>
      <c r="BN60" s="891" t="s">
        <v>465</v>
      </c>
      <c r="BO60" s="891" t="s">
        <v>466</v>
      </c>
      <c r="BP60" s="891" t="s">
        <v>467</v>
      </c>
      <c r="BQ60" s="891" t="s">
        <v>463</v>
      </c>
      <c r="BR60" s="891" t="s">
        <v>468</v>
      </c>
      <c r="BS60" s="891" t="s">
        <v>469</v>
      </c>
      <c r="BT60" s="891" t="s">
        <v>470</v>
      </c>
      <c r="BU60" s="891" t="s">
        <v>471</v>
      </c>
      <c r="BV60" s="891" t="s">
        <v>463</v>
      </c>
      <c r="BW60" s="892" t="s">
        <v>468</v>
      </c>
    </row>
    <row r="61" spans="2:75" ht="336">
      <c r="B61" s="544"/>
      <c r="C61" s="554" t="s">
        <v>330</v>
      </c>
      <c r="D61" s="554"/>
      <c r="E61" s="1176" t="s">
        <v>472</v>
      </c>
      <c r="F61" s="1177" t="s">
        <v>473</v>
      </c>
      <c r="G61" s="1178" t="s">
        <v>474</v>
      </c>
      <c r="H61" s="631" t="s">
        <v>125</v>
      </c>
      <c r="I61" s="1179" t="s">
        <v>475</v>
      </c>
      <c r="J61" s="378" t="s">
        <v>46</v>
      </c>
      <c r="K61" s="374" t="s">
        <v>46</v>
      </c>
      <c r="L61" s="375" t="s">
        <v>46</v>
      </c>
      <c r="M61" s="375" t="s">
        <v>46</v>
      </c>
      <c r="N61" s="375" t="s">
        <v>46</v>
      </c>
      <c r="O61" s="378" t="s">
        <v>46</v>
      </c>
      <c r="P61" s="375" t="s">
        <v>46</v>
      </c>
      <c r="Q61" s="375" t="s">
        <v>46</v>
      </c>
      <c r="R61" s="375" t="s">
        <v>46</v>
      </c>
      <c r="S61" s="375" t="s">
        <v>46</v>
      </c>
      <c r="T61" s="886" t="s">
        <v>476</v>
      </c>
      <c r="U61" s="887" t="s">
        <v>477</v>
      </c>
      <c r="V61" s="887" t="s">
        <v>478</v>
      </c>
      <c r="W61" s="887" t="s">
        <v>448</v>
      </c>
      <c r="X61" s="887" t="s">
        <v>479</v>
      </c>
      <c r="Y61" s="888" t="s">
        <v>44</v>
      </c>
      <c r="Z61" s="881" t="s">
        <v>480</v>
      </c>
      <c r="AA61" s="871"/>
      <c r="AB61" s="872"/>
      <c r="AC61" s="873"/>
      <c r="AD61" s="874"/>
      <c r="AE61" s="875"/>
      <c r="AF61" s="876"/>
      <c r="AG61" s="872"/>
      <c r="AH61" s="877"/>
      <c r="AI61" s="877"/>
      <c r="AJ61" s="877"/>
      <c r="AK61" s="876"/>
      <c r="AL61" s="878"/>
      <c r="AM61" s="877"/>
      <c r="AN61" s="877"/>
      <c r="AO61" s="877"/>
      <c r="AP61" s="876"/>
      <c r="AQ61" s="877"/>
      <c r="AR61" s="877"/>
      <c r="AS61" s="877"/>
      <c r="AT61" s="877"/>
      <c r="AU61" s="386"/>
      <c r="AV61" s="934" t="s">
        <v>481</v>
      </c>
      <c r="AW61" s="931" t="s">
        <v>452</v>
      </c>
      <c r="AX61" s="932" t="s">
        <v>453</v>
      </c>
      <c r="AY61" s="932" t="s">
        <v>454</v>
      </c>
      <c r="AZ61" s="933" t="s">
        <v>455</v>
      </c>
      <c r="BA61" s="1174" t="s">
        <v>482</v>
      </c>
      <c r="BB61" s="1175" t="s">
        <v>482</v>
      </c>
      <c r="BC61" s="1175" t="s">
        <v>483</v>
      </c>
      <c r="BD61" s="890" t="s">
        <v>459</v>
      </c>
      <c r="BE61" s="890" t="s">
        <v>459</v>
      </c>
      <c r="BF61" s="890" t="s">
        <v>459</v>
      </c>
      <c r="BG61" s="890" t="s">
        <v>459</v>
      </c>
      <c r="BH61" s="890" t="s">
        <v>459</v>
      </c>
      <c r="BI61" s="891" t="s">
        <v>460</v>
      </c>
      <c r="BJ61" s="891" t="s">
        <v>461</v>
      </c>
      <c r="BK61" s="891" t="s">
        <v>462</v>
      </c>
      <c r="BL61" s="891" t="s">
        <v>463</v>
      </c>
      <c r="BM61" s="891" t="s">
        <v>464</v>
      </c>
      <c r="BN61" s="891" t="s">
        <v>465</v>
      </c>
      <c r="BO61" s="891" t="s">
        <v>466</v>
      </c>
      <c r="BP61" s="891" t="s">
        <v>467</v>
      </c>
      <c r="BQ61" s="891" t="s">
        <v>463</v>
      </c>
      <c r="BR61" s="891" t="s">
        <v>468</v>
      </c>
      <c r="BS61" s="891" t="s">
        <v>469</v>
      </c>
      <c r="BT61" s="891" t="s">
        <v>470</v>
      </c>
      <c r="BU61" s="891" t="s">
        <v>471</v>
      </c>
      <c r="BV61" s="891" t="s">
        <v>463</v>
      </c>
      <c r="BW61" s="892" t="s">
        <v>468</v>
      </c>
    </row>
    <row r="62" spans="2:75" ht="409.6">
      <c r="B62" s="539" t="s">
        <v>484</v>
      </c>
      <c r="C62" s="540" t="s">
        <v>485</v>
      </c>
      <c r="D62" s="540"/>
      <c r="E62" s="555" t="s">
        <v>486</v>
      </c>
      <c r="F62" s="556" t="s">
        <v>487</v>
      </c>
      <c r="G62" s="858" t="s">
        <v>488</v>
      </c>
      <c r="H62" s="858" t="s">
        <v>489</v>
      </c>
      <c r="I62" s="798" t="s">
        <v>490</v>
      </c>
      <c r="J62" s="344" t="s">
        <v>46</v>
      </c>
      <c r="K62" s="342" t="s">
        <v>46</v>
      </c>
      <c r="L62" s="340" t="s">
        <v>46</v>
      </c>
      <c r="M62" s="340" t="s">
        <v>46</v>
      </c>
      <c r="N62" s="340" t="s">
        <v>46</v>
      </c>
      <c r="O62" s="344" t="s">
        <v>46</v>
      </c>
      <c r="P62" s="340" t="s">
        <v>46</v>
      </c>
      <c r="Q62" s="340" t="s">
        <v>46</v>
      </c>
      <c r="R62" s="340" t="s">
        <v>46</v>
      </c>
      <c r="S62" s="340" t="s">
        <v>46</v>
      </c>
      <c r="T62" s="329" t="s">
        <v>491</v>
      </c>
      <c r="U62" s="330" t="s">
        <v>492</v>
      </c>
      <c r="V62" s="330" t="s">
        <v>493</v>
      </c>
      <c r="W62" s="330" t="s">
        <v>494</v>
      </c>
      <c r="X62" s="330" t="s">
        <v>495</v>
      </c>
      <c r="Y62" s="249" t="s">
        <v>127</v>
      </c>
      <c r="Z62" s="889" t="s">
        <v>496</v>
      </c>
      <c r="AA62" s="860"/>
      <c r="AB62" s="751"/>
      <c r="AC62" s="750"/>
      <c r="AD62" s="861"/>
      <c r="AE62" s="862"/>
      <c r="AF62" s="863"/>
      <c r="AG62" s="751"/>
      <c r="AH62" s="864"/>
      <c r="AI62" s="864"/>
      <c r="AJ62" s="864"/>
      <c r="AK62" s="863"/>
      <c r="AL62" s="752"/>
      <c r="AM62" s="864"/>
      <c r="AN62" s="864"/>
      <c r="AO62" s="864"/>
      <c r="AP62" s="863"/>
      <c r="AQ62" s="864"/>
      <c r="AR62" s="864"/>
      <c r="AS62" s="864"/>
      <c r="AT62" s="864"/>
      <c r="AU62" s="352"/>
      <c r="AV62" s="555" t="s">
        <v>497</v>
      </c>
      <c r="AW62" s="858" t="s">
        <v>498</v>
      </c>
      <c r="AX62" s="928" t="s">
        <v>498</v>
      </c>
      <c r="AY62" s="928" t="s">
        <v>498</v>
      </c>
      <c r="AZ62" s="929" t="s">
        <v>499</v>
      </c>
      <c r="BA62" s="893" t="s">
        <v>500</v>
      </c>
      <c r="BB62" s="894" t="s">
        <v>501</v>
      </c>
      <c r="BC62" s="894" t="s">
        <v>500</v>
      </c>
      <c r="BD62" s="894" t="s">
        <v>502</v>
      </c>
      <c r="BE62" s="894" t="s">
        <v>502</v>
      </c>
      <c r="BF62" s="894" t="s">
        <v>502</v>
      </c>
      <c r="BG62" s="894" t="s">
        <v>502</v>
      </c>
      <c r="BH62" s="894" t="s">
        <v>502</v>
      </c>
      <c r="BI62" s="894" t="s">
        <v>502</v>
      </c>
      <c r="BJ62" s="894" t="s">
        <v>502</v>
      </c>
      <c r="BK62" s="894" t="s">
        <v>502</v>
      </c>
      <c r="BL62" s="894" t="s">
        <v>502</v>
      </c>
      <c r="BM62" s="894" t="s">
        <v>502</v>
      </c>
      <c r="BN62" s="894" t="s">
        <v>502</v>
      </c>
      <c r="BO62" s="894" t="s">
        <v>502</v>
      </c>
      <c r="BP62" s="894" t="s">
        <v>502</v>
      </c>
      <c r="BQ62" s="894" t="s">
        <v>502</v>
      </c>
      <c r="BR62" s="894" t="s">
        <v>502</v>
      </c>
      <c r="BS62" s="895" t="s">
        <v>503</v>
      </c>
      <c r="BT62" s="895" t="s">
        <v>503</v>
      </c>
      <c r="BU62" s="895" t="s">
        <v>503</v>
      </c>
      <c r="BV62" s="895" t="s">
        <v>503</v>
      </c>
      <c r="BW62" s="896" t="s">
        <v>504</v>
      </c>
    </row>
    <row r="63" spans="2:75" ht="386.45">
      <c r="B63" s="544"/>
      <c r="C63" s="545" t="s">
        <v>371</v>
      </c>
      <c r="D63" s="545"/>
      <c r="E63" s="551" t="s">
        <v>505</v>
      </c>
      <c r="F63" s="625" t="s">
        <v>506</v>
      </c>
      <c r="G63" s="552" t="s">
        <v>506</v>
      </c>
      <c r="H63" s="549" t="s">
        <v>506</v>
      </c>
      <c r="I63" s="564" t="s">
        <v>506</v>
      </c>
      <c r="J63" s="361" t="s">
        <v>46</v>
      </c>
      <c r="K63" s="359" t="s">
        <v>46</v>
      </c>
      <c r="L63" s="357" t="s">
        <v>46</v>
      </c>
      <c r="M63" s="357" t="s">
        <v>46</v>
      </c>
      <c r="N63" s="357" t="s">
        <v>46</v>
      </c>
      <c r="O63" s="361" t="s">
        <v>46</v>
      </c>
      <c r="P63" s="357" t="s">
        <v>46</v>
      </c>
      <c r="Q63" s="357" t="s">
        <v>46</v>
      </c>
      <c r="R63" s="357" t="s">
        <v>46</v>
      </c>
      <c r="S63" s="357" t="s">
        <v>46</v>
      </c>
      <c r="T63" s="361" t="s">
        <v>46</v>
      </c>
      <c r="U63" s="357" t="s">
        <v>46</v>
      </c>
      <c r="V63" s="357" t="s">
        <v>46</v>
      </c>
      <c r="W63" s="357" t="s">
        <v>46</v>
      </c>
      <c r="X63" s="357" t="s">
        <v>46</v>
      </c>
      <c r="Y63" s="362" t="s">
        <v>45</v>
      </c>
      <c r="Z63" s="889" t="s">
        <v>507</v>
      </c>
      <c r="AA63" s="865"/>
      <c r="AB63" s="866"/>
      <c r="AC63" s="754"/>
      <c r="AD63" s="867"/>
      <c r="AE63" s="868"/>
      <c r="AF63" s="869"/>
      <c r="AG63" s="866"/>
      <c r="AH63" s="870"/>
      <c r="AI63" s="870"/>
      <c r="AJ63" s="870"/>
      <c r="AK63" s="869"/>
      <c r="AL63" s="755"/>
      <c r="AM63" s="870"/>
      <c r="AN63" s="870"/>
      <c r="AO63" s="870"/>
      <c r="AP63" s="869"/>
      <c r="AQ63" s="870"/>
      <c r="AR63" s="870"/>
      <c r="AS63" s="870"/>
      <c r="AT63" s="870"/>
      <c r="AU63" s="369"/>
      <c r="AV63" s="551" t="s">
        <v>508</v>
      </c>
      <c r="AW63" s="553" t="s">
        <v>46</v>
      </c>
      <c r="AX63" s="265" t="s">
        <v>46</v>
      </c>
      <c r="AY63" s="265" t="s">
        <v>46</v>
      </c>
      <c r="AZ63" s="935" t="s">
        <v>46</v>
      </c>
      <c r="BA63" s="893" t="s">
        <v>46</v>
      </c>
      <c r="BB63" s="894" t="s">
        <v>46</v>
      </c>
      <c r="BC63" s="894" t="s">
        <v>46</v>
      </c>
      <c r="BD63" s="897" t="s">
        <v>46</v>
      </c>
      <c r="BE63" s="897" t="s">
        <v>46</v>
      </c>
      <c r="BF63" s="897" t="s">
        <v>46</v>
      </c>
      <c r="BG63" s="897" t="s">
        <v>46</v>
      </c>
      <c r="BH63" s="897" t="s">
        <v>46</v>
      </c>
      <c r="BI63" s="897" t="s">
        <v>46</v>
      </c>
      <c r="BJ63" s="897" t="s">
        <v>46</v>
      </c>
      <c r="BK63" s="897" t="s">
        <v>46</v>
      </c>
      <c r="BL63" s="897" t="s">
        <v>46</v>
      </c>
      <c r="BM63" s="897" t="s">
        <v>46</v>
      </c>
      <c r="BN63" s="897" t="s">
        <v>46</v>
      </c>
      <c r="BO63" s="897" t="s">
        <v>46</v>
      </c>
      <c r="BP63" s="897" t="s">
        <v>46</v>
      </c>
      <c r="BQ63" s="897" t="s">
        <v>46</v>
      </c>
      <c r="BR63" s="897" t="s">
        <v>46</v>
      </c>
      <c r="BS63" s="897" t="s">
        <v>46</v>
      </c>
      <c r="BT63" s="897" t="s">
        <v>46</v>
      </c>
      <c r="BU63" s="897" t="s">
        <v>46</v>
      </c>
      <c r="BV63" s="897" t="s">
        <v>46</v>
      </c>
      <c r="BW63" s="898" t="s">
        <v>46</v>
      </c>
    </row>
    <row r="64" spans="2:75" ht="180">
      <c r="B64" s="539" t="s">
        <v>509</v>
      </c>
      <c r="C64" s="540" t="s">
        <v>485</v>
      </c>
      <c r="D64" s="540"/>
      <c r="E64" s="555" t="s">
        <v>510</v>
      </c>
      <c r="F64" s="556" t="s">
        <v>487</v>
      </c>
      <c r="G64" s="858" t="s">
        <v>511</v>
      </c>
      <c r="H64" s="858" t="s">
        <v>512</v>
      </c>
      <c r="I64" s="859" t="s">
        <v>513</v>
      </c>
      <c r="J64" s="344" t="s">
        <v>46</v>
      </c>
      <c r="K64" s="342" t="s">
        <v>46</v>
      </c>
      <c r="L64" s="340" t="s">
        <v>46</v>
      </c>
      <c r="M64" s="340" t="s">
        <v>46</v>
      </c>
      <c r="N64" s="340" t="s">
        <v>46</v>
      </c>
      <c r="O64" s="344" t="s">
        <v>46</v>
      </c>
      <c r="P64" s="340" t="s">
        <v>46</v>
      </c>
      <c r="Q64" s="340" t="s">
        <v>46</v>
      </c>
      <c r="R64" s="340" t="s">
        <v>46</v>
      </c>
      <c r="S64" s="340" t="s">
        <v>46</v>
      </c>
      <c r="T64" s="344" t="s">
        <v>46</v>
      </c>
      <c r="U64" s="340" t="s">
        <v>46</v>
      </c>
      <c r="V64" s="340" t="s">
        <v>46</v>
      </c>
      <c r="W64" s="340" t="s">
        <v>46</v>
      </c>
      <c r="X64" s="340" t="s">
        <v>46</v>
      </c>
      <c r="Y64" s="362" t="s">
        <v>42</v>
      </c>
      <c r="Z64" s="712" t="s">
        <v>514</v>
      </c>
      <c r="AA64" s="341" t="s">
        <v>50</v>
      </c>
      <c r="AB64" s="347" t="s">
        <v>50</v>
      </c>
      <c r="AC64" s="348" t="s">
        <v>50</v>
      </c>
      <c r="AD64" s="343" t="s">
        <v>50</v>
      </c>
      <c r="AE64" s="349" t="s">
        <v>50</v>
      </c>
      <c r="AF64" s="350" t="s">
        <v>50</v>
      </c>
      <c r="AG64" s="347" t="s">
        <v>50</v>
      </c>
      <c r="AH64" s="340" t="s">
        <v>50</v>
      </c>
      <c r="AI64" s="340" t="s">
        <v>50</v>
      </c>
      <c r="AJ64" s="340" t="s">
        <v>50</v>
      </c>
      <c r="AK64" s="350" t="s">
        <v>50</v>
      </c>
      <c r="AL64" s="351" t="s">
        <v>50</v>
      </c>
      <c r="AM64" s="340" t="s">
        <v>50</v>
      </c>
      <c r="AN64" s="340" t="s">
        <v>50</v>
      </c>
      <c r="AO64" s="340" t="s">
        <v>50</v>
      </c>
      <c r="AP64" s="350" t="s">
        <v>50</v>
      </c>
      <c r="AQ64" s="340" t="s">
        <v>50</v>
      </c>
      <c r="AR64" s="340" t="s">
        <v>50</v>
      </c>
      <c r="AS64" s="340" t="s">
        <v>50</v>
      </c>
      <c r="AT64" s="340" t="s">
        <v>50</v>
      </c>
      <c r="AU64" s="352" t="s">
        <v>46</v>
      </c>
      <c r="AV64" s="927" t="s">
        <v>380</v>
      </c>
      <c r="AW64" s="858" t="s">
        <v>438</v>
      </c>
      <c r="AX64" s="928" t="s">
        <v>439</v>
      </c>
      <c r="AY64" s="928" t="s">
        <v>440</v>
      </c>
      <c r="AZ64" s="929" t="s">
        <v>384</v>
      </c>
      <c r="BA64" s="910" t="s">
        <v>500</v>
      </c>
      <c r="BB64" s="911"/>
      <c r="BC64" s="911" t="s">
        <v>143</v>
      </c>
      <c r="BD64" s="911"/>
      <c r="BE64" s="911"/>
      <c r="BF64" s="911"/>
      <c r="BG64" s="911"/>
      <c r="BH64" s="911"/>
      <c r="BI64" s="911"/>
      <c r="BJ64" s="911"/>
      <c r="BK64" s="911"/>
      <c r="BL64" s="911"/>
      <c r="BM64" s="911"/>
      <c r="BN64" s="911"/>
      <c r="BO64" s="911"/>
      <c r="BP64" s="911"/>
      <c r="BQ64" s="911"/>
      <c r="BR64" s="911"/>
      <c r="BS64" s="911"/>
      <c r="BT64" s="911"/>
      <c r="BU64" s="911"/>
      <c r="BV64" s="911"/>
      <c r="BW64" s="912"/>
    </row>
    <row r="65" spans="2:75" ht="84">
      <c r="B65" s="544"/>
      <c r="C65" s="899" t="s">
        <v>371</v>
      </c>
      <c r="D65" s="899"/>
      <c r="E65" s="551" t="s">
        <v>506</v>
      </c>
      <c r="F65" s="625" t="s">
        <v>506</v>
      </c>
      <c r="G65" s="552" t="s">
        <v>506</v>
      </c>
      <c r="H65" s="549" t="s">
        <v>506</v>
      </c>
      <c r="I65" s="564" t="s">
        <v>506</v>
      </c>
      <c r="J65" s="361" t="s">
        <v>46</v>
      </c>
      <c r="K65" s="359" t="s">
        <v>46</v>
      </c>
      <c r="L65" s="357" t="s">
        <v>46</v>
      </c>
      <c r="M65" s="357" t="s">
        <v>46</v>
      </c>
      <c r="N65" s="357" t="s">
        <v>46</v>
      </c>
      <c r="O65" s="361" t="s">
        <v>46</v>
      </c>
      <c r="P65" s="357" t="s">
        <v>46</v>
      </c>
      <c r="Q65" s="357" t="s">
        <v>46</v>
      </c>
      <c r="R65" s="357" t="s">
        <v>46</v>
      </c>
      <c r="S65" s="357" t="s">
        <v>46</v>
      </c>
      <c r="T65" s="361" t="s">
        <v>46</v>
      </c>
      <c r="U65" s="357" t="s">
        <v>46</v>
      </c>
      <c r="V65" s="357" t="s">
        <v>46</v>
      </c>
      <c r="W65" s="357" t="s">
        <v>46</v>
      </c>
      <c r="X65" s="357" t="s">
        <v>46</v>
      </c>
      <c r="Y65" s="362" t="s">
        <v>45</v>
      </c>
      <c r="Z65" s="739" t="s">
        <v>515</v>
      </c>
      <c r="AA65" s="900" t="s">
        <v>516</v>
      </c>
      <c r="AB65" s="901" t="s">
        <v>517</v>
      </c>
      <c r="AC65" s="902" t="s">
        <v>518</v>
      </c>
      <c r="AD65" s="903" t="s">
        <v>125</v>
      </c>
      <c r="AE65" s="904" t="s">
        <v>133</v>
      </c>
      <c r="AF65" s="905" t="s">
        <v>46</v>
      </c>
      <c r="AG65" s="901" t="s">
        <v>46</v>
      </c>
      <c r="AH65" s="906" t="s">
        <v>46</v>
      </c>
      <c r="AI65" s="906" t="s">
        <v>46</v>
      </c>
      <c r="AJ65" s="906" t="s">
        <v>46</v>
      </c>
      <c r="AK65" s="905" t="s">
        <v>46</v>
      </c>
      <c r="AL65" s="907" t="s">
        <v>46</v>
      </c>
      <c r="AM65" s="906" t="s">
        <v>46</v>
      </c>
      <c r="AN65" s="906" t="s">
        <v>46</v>
      </c>
      <c r="AO65" s="906" t="s">
        <v>46</v>
      </c>
      <c r="AP65" s="905" t="s">
        <v>519</v>
      </c>
      <c r="AQ65" s="906" t="s">
        <v>520</v>
      </c>
      <c r="AR65" s="906" t="s">
        <v>521</v>
      </c>
      <c r="AS65" s="906" t="s">
        <v>46</v>
      </c>
      <c r="AT65" s="906" t="s">
        <v>46</v>
      </c>
      <c r="AU65" s="908"/>
      <c r="AV65" s="936" t="s">
        <v>380</v>
      </c>
      <c r="AW65" s="937" t="s">
        <v>381</v>
      </c>
      <c r="AX65" s="909" t="s">
        <v>382</v>
      </c>
      <c r="AY65" s="909" t="s">
        <v>383</v>
      </c>
      <c r="AZ65" s="938" t="s">
        <v>384</v>
      </c>
      <c r="BA65" s="1046" t="s">
        <v>500</v>
      </c>
      <c r="BB65" s="368"/>
      <c r="BC65" s="368" t="s">
        <v>143</v>
      </c>
      <c r="BD65" s="368"/>
      <c r="BE65" s="368"/>
      <c r="BF65" s="368"/>
      <c r="BG65" s="368"/>
      <c r="BH65" s="368"/>
      <c r="BI65" s="368"/>
      <c r="BJ65" s="368"/>
      <c r="BK65" s="368"/>
      <c r="BL65" s="368"/>
      <c r="BM65" s="368"/>
      <c r="BN65" s="368"/>
      <c r="BO65" s="368"/>
      <c r="BP65" s="368"/>
      <c r="BQ65" s="368"/>
      <c r="BR65" s="368"/>
      <c r="BS65" s="368"/>
      <c r="BT65" s="368"/>
      <c r="BU65" s="368"/>
      <c r="BV65" s="368"/>
      <c r="BW65" s="368"/>
    </row>
    <row r="66" spans="2:75" ht="33.6">
      <c r="B66" s="539" t="s">
        <v>522</v>
      </c>
      <c r="C66" s="540" t="s">
        <v>407</v>
      </c>
      <c r="D66" s="540"/>
      <c r="E66" s="555"/>
      <c r="F66" s="556"/>
      <c r="G66" s="261"/>
      <c r="H66" s="557"/>
      <c r="I66" s="565"/>
      <c r="J66" s="344"/>
      <c r="K66" s="342"/>
      <c r="L66" s="340"/>
      <c r="M66" s="340"/>
      <c r="N66" s="340"/>
      <c r="O66" s="344"/>
      <c r="P66" s="340"/>
      <c r="Q66" s="340"/>
      <c r="R66" s="340"/>
      <c r="S66" s="340"/>
      <c r="T66" s="344"/>
      <c r="U66" s="340"/>
      <c r="V66" s="340"/>
      <c r="W66" s="340"/>
      <c r="X66" s="340"/>
      <c r="Y66" s="345"/>
      <c r="Z66" s="346"/>
      <c r="AA66" s="341"/>
      <c r="AB66" s="347"/>
      <c r="AC66" s="348"/>
      <c r="AD66" s="343"/>
      <c r="AE66" s="349"/>
      <c r="AF66" s="350"/>
      <c r="AG66" s="347"/>
      <c r="AH66" s="340"/>
      <c r="AI66" s="340"/>
      <c r="AJ66" s="340"/>
      <c r="AK66" s="350"/>
      <c r="AL66" s="351"/>
      <c r="AM66" s="340"/>
      <c r="AN66" s="340"/>
      <c r="AO66" s="340"/>
      <c r="AP66" s="350"/>
      <c r="AQ66" s="340"/>
      <c r="AR66" s="340"/>
      <c r="AS66" s="340"/>
      <c r="AT66" s="340"/>
      <c r="AU66" s="352"/>
      <c r="AV66" s="927"/>
      <c r="AW66" s="858" t="s">
        <v>438</v>
      </c>
      <c r="AX66" s="928" t="s">
        <v>523</v>
      </c>
      <c r="AY66" s="928" t="s">
        <v>524</v>
      </c>
      <c r="AZ66" s="929" t="s">
        <v>384</v>
      </c>
      <c r="BA66" s="354"/>
      <c r="BB66" s="355"/>
      <c r="BC66" s="355"/>
      <c r="BD66" s="355"/>
      <c r="BE66" s="355"/>
      <c r="BF66" s="355"/>
      <c r="BG66" s="355"/>
      <c r="BH66" s="355"/>
      <c r="BI66" s="355"/>
      <c r="BJ66" s="355"/>
      <c r="BK66" s="355"/>
      <c r="BL66" s="355"/>
      <c r="BM66" s="355"/>
      <c r="BN66" s="355"/>
      <c r="BO66" s="355"/>
      <c r="BP66" s="355"/>
      <c r="BQ66" s="355"/>
      <c r="BR66" s="355"/>
      <c r="BS66" s="355"/>
      <c r="BT66" s="355"/>
      <c r="BU66" s="355"/>
      <c r="BV66" s="355"/>
      <c r="BW66" s="356"/>
    </row>
    <row r="67" spans="2:75" ht="16.899999999999999">
      <c r="B67" s="544"/>
      <c r="C67" s="545" t="s">
        <v>525</v>
      </c>
      <c r="D67" s="545"/>
      <c r="E67" s="551"/>
      <c r="F67" s="552"/>
      <c r="G67" s="549"/>
      <c r="H67" s="549"/>
      <c r="I67" s="564"/>
      <c r="J67" s="361"/>
      <c r="K67" s="359"/>
      <c r="L67" s="357"/>
      <c r="M67" s="357"/>
      <c r="N67" s="357"/>
      <c r="O67" s="361"/>
      <c r="P67" s="357"/>
      <c r="Q67" s="357"/>
      <c r="R67" s="357"/>
      <c r="S67" s="357"/>
      <c r="T67" s="361"/>
      <c r="U67" s="357"/>
      <c r="V67" s="357"/>
      <c r="W67" s="357"/>
      <c r="X67" s="357"/>
      <c r="Y67" s="362"/>
      <c r="Z67" s="363"/>
      <c r="AA67" s="358"/>
      <c r="AB67" s="364"/>
      <c r="AC67" s="365"/>
      <c r="AD67" s="360"/>
      <c r="AE67" s="366"/>
      <c r="AF67" s="367"/>
      <c r="AG67" s="364"/>
      <c r="AH67" s="357"/>
      <c r="AI67" s="357"/>
      <c r="AJ67" s="357"/>
      <c r="AK67" s="367"/>
      <c r="AL67" s="368"/>
      <c r="AM67" s="357"/>
      <c r="AN67" s="357"/>
      <c r="AO67" s="357"/>
      <c r="AP67" s="367"/>
      <c r="AQ67" s="357"/>
      <c r="AR67" s="357"/>
      <c r="AS67" s="357"/>
      <c r="AT67" s="357"/>
      <c r="AU67" s="369"/>
      <c r="AV67" s="939"/>
      <c r="AW67" s="553"/>
      <c r="AX67" s="940"/>
      <c r="AY67" s="940"/>
      <c r="AZ67" s="935"/>
      <c r="BA67" s="371"/>
      <c r="BB67" s="372"/>
      <c r="BC67" s="372"/>
      <c r="BD67" s="372"/>
      <c r="BE67" s="372"/>
      <c r="BF67" s="372"/>
      <c r="BG67" s="372"/>
      <c r="BH67" s="372"/>
      <c r="BI67" s="372"/>
      <c r="BJ67" s="372"/>
      <c r="BK67" s="372"/>
      <c r="BL67" s="372"/>
      <c r="BM67" s="372"/>
      <c r="BN67" s="372"/>
      <c r="BO67" s="372"/>
      <c r="BP67" s="372"/>
      <c r="BQ67" s="372"/>
      <c r="BR67" s="372"/>
      <c r="BS67" s="372"/>
      <c r="BT67" s="372"/>
      <c r="BU67" s="372"/>
      <c r="BV67" s="372"/>
      <c r="BW67" s="373"/>
    </row>
    <row r="68" spans="2:75" ht="16.899999999999999">
      <c r="B68" s="544"/>
      <c r="C68" s="545" t="s">
        <v>526</v>
      </c>
      <c r="D68" s="545"/>
      <c r="E68" s="551"/>
      <c r="F68" s="552"/>
      <c r="G68" s="549"/>
      <c r="H68" s="549"/>
      <c r="I68" s="564"/>
      <c r="J68" s="361"/>
      <c r="K68" s="359"/>
      <c r="L68" s="357"/>
      <c r="M68" s="357"/>
      <c r="N68" s="357"/>
      <c r="O68" s="361"/>
      <c r="P68" s="357"/>
      <c r="Q68" s="357"/>
      <c r="R68" s="357"/>
      <c r="S68" s="357"/>
      <c r="T68" s="361"/>
      <c r="U68" s="357"/>
      <c r="V68" s="357"/>
      <c r="W68" s="357"/>
      <c r="X68" s="357"/>
      <c r="Y68" s="362"/>
      <c r="Z68" s="363"/>
      <c r="AA68" s="358"/>
      <c r="AB68" s="364"/>
      <c r="AC68" s="365"/>
      <c r="AD68" s="360"/>
      <c r="AE68" s="366"/>
      <c r="AF68" s="367"/>
      <c r="AG68" s="364"/>
      <c r="AH68" s="357"/>
      <c r="AI68" s="357"/>
      <c r="AJ68" s="357"/>
      <c r="AK68" s="367"/>
      <c r="AL68" s="368"/>
      <c r="AM68" s="357"/>
      <c r="AN68" s="357"/>
      <c r="AO68" s="357"/>
      <c r="AP68" s="367"/>
      <c r="AQ68" s="357"/>
      <c r="AR68" s="357"/>
      <c r="AS68" s="357"/>
      <c r="AT68" s="357"/>
      <c r="AU68" s="369"/>
      <c r="AV68" s="939"/>
      <c r="AW68" s="553"/>
      <c r="AX68" s="940"/>
      <c r="AY68" s="940"/>
      <c r="AZ68" s="935"/>
      <c r="BA68" s="371"/>
      <c r="BB68" s="372"/>
      <c r="BC68" s="372"/>
      <c r="BD68" s="372"/>
      <c r="BE68" s="372"/>
      <c r="BF68" s="372"/>
      <c r="BG68" s="372"/>
      <c r="BH68" s="372"/>
      <c r="BI68" s="372"/>
      <c r="BJ68" s="372"/>
      <c r="BK68" s="372"/>
      <c r="BL68" s="372"/>
      <c r="BM68" s="372"/>
      <c r="BN68" s="372"/>
      <c r="BO68" s="372"/>
      <c r="BP68" s="372"/>
      <c r="BQ68" s="372"/>
      <c r="BR68" s="372"/>
      <c r="BS68" s="372"/>
      <c r="BT68" s="372"/>
      <c r="BU68" s="372"/>
      <c r="BV68" s="372"/>
      <c r="BW68" s="373"/>
    </row>
    <row r="69" spans="2:75" ht="16.899999999999999">
      <c r="B69" s="558"/>
      <c r="C69" s="559" t="s">
        <v>330</v>
      </c>
      <c r="D69" s="559"/>
      <c r="E69" s="560"/>
      <c r="F69" s="561"/>
      <c r="G69" s="562"/>
      <c r="H69" s="562"/>
      <c r="I69" s="566"/>
      <c r="J69" s="396"/>
      <c r="K69" s="394"/>
      <c r="L69" s="392"/>
      <c r="M69" s="392"/>
      <c r="N69" s="392"/>
      <c r="O69" s="396"/>
      <c r="P69" s="392"/>
      <c r="Q69" s="392"/>
      <c r="R69" s="392"/>
      <c r="S69" s="392"/>
      <c r="T69" s="396"/>
      <c r="U69" s="392"/>
      <c r="V69" s="392"/>
      <c r="W69" s="392"/>
      <c r="X69" s="392"/>
      <c r="Y69" s="397"/>
      <c r="Z69" s="398"/>
      <c r="AA69" s="393"/>
      <c r="AB69" s="399"/>
      <c r="AC69" s="400"/>
      <c r="AD69" s="395"/>
      <c r="AE69" s="401"/>
      <c r="AF69" s="402"/>
      <c r="AG69" s="399"/>
      <c r="AH69" s="392"/>
      <c r="AI69" s="392"/>
      <c r="AJ69" s="392"/>
      <c r="AK69" s="402"/>
      <c r="AL69" s="403"/>
      <c r="AM69" s="392"/>
      <c r="AN69" s="392"/>
      <c r="AO69" s="392"/>
      <c r="AP69" s="402"/>
      <c r="AQ69" s="392"/>
      <c r="AR69" s="392"/>
      <c r="AS69" s="392"/>
      <c r="AT69" s="392"/>
      <c r="AU69" s="404"/>
      <c r="AV69" s="941"/>
      <c r="AW69" s="942"/>
      <c r="AX69" s="943"/>
      <c r="AY69" s="943"/>
      <c r="AZ69" s="944"/>
      <c r="BA69" s="406"/>
      <c r="BB69" s="407"/>
      <c r="BC69" s="407"/>
      <c r="BD69" s="407"/>
      <c r="BE69" s="407"/>
      <c r="BF69" s="407"/>
      <c r="BG69" s="407"/>
      <c r="BH69" s="407"/>
      <c r="BI69" s="407"/>
      <c r="BJ69" s="407"/>
      <c r="BK69" s="407"/>
      <c r="BL69" s="407"/>
      <c r="BM69" s="407"/>
      <c r="BN69" s="407"/>
      <c r="BO69" s="407"/>
      <c r="BP69" s="407"/>
      <c r="BQ69" s="407"/>
      <c r="BR69" s="407"/>
      <c r="BS69" s="407"/>
      <c r="BT69" s="407"/>
      <c r="BU69" s="407"/>
      <c r="BV69" s="407"/>
      <c r="BW69" s="408"/>
    </row>
    <row r="70" spans="2:75" ht="16.5" customHeight="1">
      <c r="E70" s="169"/>
      <c r="Y70" s="170"/>
      <c r="Z70" s="170"/>
      <c r="AA70" s="169"/>
      <c r="AB70" s="169"/>
      <c r="AC70" s="169"/>
      <c r="AE70" s="169"/>
      <c r="AF70" s="169"/>
      <c r="AG70" s="169"/>
      <c r="AK70" s="169"/>
      <c r="AL70" s="169"/>
      <c r="AP70" s="169"/>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row r="71" spans="2:75" ht="16.5" customHeight="1" thickBot="1">
      <c r="B71" s="409" t="s">
        <v>527</v>
      </c>
      <c r="E71" s="169"/>
      <c r="Y71" s="170"/>
      <c r="Z71" s="170"/>
      <c r="AA71" s="169"/>
      <c r="AB71" s="169"/>
      <c r="AC71" s="169"/>
      <c r="AE71" s="169"/>
      <c r="AF71" s="169"/>
      <c r="AG71" s="169"/>
      <c r="AK71" s="169"/>
      <c r="AL71" s="169"/>
      <c r="AP71" s="169"/>
      <c r="AU71" s="170"/>
      <c r="BA71" s="172"/>
      <c r="BB71" s="172"/>
      <c r="BC71" s="172"/>
      <c r="BD71" s="172"/>
      <c r="BE71" s="172"/>
      <c r="BF71" s="172"/>
      <c r="BG71" s="172"/>
      <c r="BH71" s="172"/>
      <c r="BI71" s="172"/>
      <c r="BJ71" s="172"/>
      <c r="BK71" s="172"/>
      <c r="BL71" s="172"/>
      <c r="BM71" s="172"/>
      <c r="BN71" s="172"/>
      <c r="BO71" s="172"/>
      <c r="BP71" s="172"/>
      <c r="BQ71" s="172"/>
      <c r="BR71" s="172"/>
      <c r="BS71" s="172"/>
      <c r="BT71" s="172"/>
      <c r="BU71" s="172"/>
      <c r="BV71" s="172"/>
    </row>
    <row r="72" spans="2:75" ht="16.5" customHeight="1">
      <c r="B72" s="410" t="s">
        <v>528</v>
      </c>
      <c r="C72" s="411"/>
      <c r="E72" s="169"/>
      <c r="Y72" s="170"/>
      <c r="Z72" s="170"/>
      <c r="AA72" s="169"/>
      <c r="AB72" s="169"/>
      <c r="AC72" s="169"/>
      <c r="AE72" s="169"/>
      <c r="AF72" s="169"/>
      <c r="AG72" s="169"/>
      <c r="AK72" s="169"/>
      <c r="AL72" s="169"/>
      <c r="AP72" s="169"/>
      <c r="AU72" s="170"/>
      <c r="BA72" s="172"/>
      <c r="BB72" s="172"/>
      <c r="BC72" s="172"/>
      <c r="BD72" s="172"/>
      <c r="BE72" s="172"/>
      <c r="BF72" s="172"/>
      <c r="BG72" s="172"/>
      <c r="BH72" s="172"/>
      <c r="BI72" s="172"/>
      <c r="BJ72" s="172"/>
      <c r="BK72" s="172"/>
      <c r="BL72" s="172"/>
      <c r="BM72" s="172"/>
      <c r="BN72" s="172"/>
      <c r="BO72" s="172"/>
      <c r="BP72" s="172"/>
      <c r="BQ72" s="172"/>
      <c r="BR72" s="172"/>
      <c r="BS72" s="172"/>
      <c r="BT72" s="172"/>
      <c r="BU72" s="172"/>
      <c r="BV72" s="172"/>
    </row>
    <row r="73" spans="2:75" ht="16.5" customHeight="1" thickBot="1">
      <c r="B73" s="710" t="s">
        <v>529</v>
      </c>
      <c r="C73" s="711"/>
      <c r="E73" s="169"/>
      <c r="Y73" s="170"/>
      <c r="Z73" s="170"/>
      <c r="AA73" s="171"/>
      <c r="AB73" s="171"/>
      <c r="AC73" s="171"/>
      <c r="AD73" s="170"/>
      <c r="AE73" s="171"/>
      <c r="AF73" s="171"/>
      <c r="AG73" s="171"/>
      <c r="AH73" s="170"/>
      <c r="AI73" s="170"/>
      <c r="AJ73" s="170"/>
      <c r="AK73" s="171"/>
      <c r="AL73" s="171"/>
      <c r="AM73" s="170"/>
      <c r="AN73" s="170"/>
      <c r="AO73" s="170"/>
      <c r="AP73" s="171"/>
      <c r="AQ73" s="170"/>
      <c r="AR73" s="170"/>
      <c r="AS73" s="170"/>
      <c r="AT73" s="170"/>
      <c r="AU73" s="170"/>
      <c r="BA73" s="172"/>
      <c r="BB73" s="172"/>
      <c r="BC73" s="172"/>
      <c r="BD73" s="172"/>
      <c r="BE73" s="172"/>
      <c r="BF73" s="172"/>
      <c r="BG73" s="172"/>
      <c r="BH73" s="172"/>
      <c r="BI73" s="172"/>
      <c r="BJ73" s="172"/>
      <c r="BK73" s="172"/>
      <c r="BL73" s="172"/>
      <c r="BM73" s="172"/>
      <c r="BN73" s="172"/>
      <c r="BO73" s="172"/>
      <c r="BP73" s="172"/>
      <c r="BQ73" s="172"/>
      <c r="BR73" s="172"/>
      <c r="BS73" s="172"/>
      <c r="BT73" s="172"/>
      <c r="BU73" s="172"/>
      <c r="BV73" s="172"/>
    </row>
  </sheetData>
  <mergeCells count="64">
    <mergeCell ref="BA9:BW9"/>
    <mergeCell ref="BA10:BB10"/>
    <mergeCell ref="BD10:BW10"/>
    <mergeCell ref="H11:I11"/>
    <mergeCell ref="M11:N11"/>
    <mergeCell ref="R11:S11"/>
    <mergeCell ref="W11:X11"/>
    <mergeCell ref="AD11:AE11"/>
    <mergeCell ref="E10:I10"/>
    <mergeCell ref="J10:N10"/>
    <mergeCell ref="O10:S10"/>
    <mergeCell ref="T10:X10"/>
    <mergeCell ref="Y10:Z10"/>
    <mergeCell ref="AA10:AE10"/>
    <mergeCell ref="BS11:BW11"/>
    <mergeCell ref="BU12:BV12"/>
    <mergeCell ref="BD11:BH11"/>
    <mergeCell ref="BI11:BM11"/>
    <mergeCell ref="BN11:BR11"/>
    <mergeCell ref="BD12:BE12"/>
    <mergeCell ref="BF12:BG12"/>
    <mergeCell ref="BI12:BJ12"/>
    <mergeCell ref="BK12:BL12"/>
    <mergeCell ref="BN12:BO12"/>
    <mergeCell ref="BP12:BQ12"/>
    <mergeCell ref="BA29:BA31"/>
    <mergeCell ref="BB29:BB31"/>
    <mergeCell ref="BC29:BC31"/>
    <mergeCell ref="BS12:BT12"/>
    <mergeCell ref="AA9:AU9"/>
    <mergeCell ref="AV9:AZ9"/>
    <mergeCell ref="AZ26:AZ27"/>
    <mergeCell ref="AV46:AV47"/>
    <mergeCell ref="AW46:AW47"/>
    <mergeCell ref="AY46:AY47"/>
    <mergeCell ref="AZ46:AZ47"/>
    <mergeCell ref="BA32:BA35"/>
    <mergeCell ref="BB32:BB35"/>
    <mergeCell ref="BC32:BC35"/>
    <mergeCell ref="B4:E4"/>
    <mergeCell ref="B5:E5"/>
    <mergeCell ref="AV23:AV25"/>
    <mergeCell ref="AA26:AA27"/>
    <mergeCell ref="AV26:AV28"/>
    <mergeCell ref="AI11:AJ11"/>
    <mergeCell ref="AN11:AO11"/>
    <mergeCell ref="AS11:AT11"/>
    <mergeCell ref="AF10:AJ10"/>
    <mergeCell ref="AK10:AO10"/>
    <mergeCell ref="AP10:AT10"/>
    <mergeCell ref="B9:D9"/>
    <mergeCell ref="E9:Z9"/>
    <mergeCell ref="BA39:BA40"/>
    <mergeCell ref="BB39:BB40"/>
    <mergeCell ref="BC39:BC40"/>
    <mergeCell ref="BA36:BA38"/>
    <mergeCell ref="BB36:BB38"/>
    <mergeCell ref="BC36:BC38"/>
    <mergeCell ref="BA46:BA47"/>
    <mergeCell ref="BB46:BB47"/>
    <mergeCell ref="BC46:BC47"/>
    <mergeCell ref="BA41:BA43"/>
    <mergeCell ref="BB41:BB43"/>
    <mergeCell ref="BC41:BC43"/>
  </mergeCells>
  <phoneticPr fontId="10"/>
  <dataValidations count="2">
    <dataValidation type="list" allowBlank="1" showErrorMessage="1" sqref="AU65:AU69 AU14:AU27 AU29:AU63" xr:uid="{01EFE99C-CE61-40F2-A8A5-48FD3357223C}">
      <formula1>"◎,〇,△,×"</formula1>
    </dataValidation>
    <dataValidation type="list" allowBlank="1" showErrorMessage="1" sqref="Y14:Y69 AU64 AU28" xr:uid="{4D169A88-842E-4C33-BF6A-CF7E58ECD931}">
      <formula1>"◎,〇,△,×,N/A"</formula1>
    </dataValidation>
  </dataValidations>
  <hyperlinks>
    <hyperlink ref="I62" r:id="rId1" display="mailto:yanyang_yao_za@toyotec-jp.com" xr:uid="{B88F020E-31DA-46F1-B69D-07FF0AA62C63}"/>
    <hyperlink ref="I64" r:id="rId2" display="mailto:yanyang_yao_za@toyotec-jp.com" xr:uid="{C30E21C6-49B6-4D56-99B8-5A06D8B99634}"/>
  </hyperlinks>
  <pageMargins left="0.7" right="0.7" top="0.75" bottom="0.75" header="0" footer="0"/>
  <pageSetup orientation="landscape"/>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288E-0828-4B64-804E-E6D3310BA2F3}">
  <dimension ref="A2:BW70"/>
  <sheetViews>
    <sheetView showGridLines="0" zoomScale="68" zoomScaleNormal="68" workbookViewId="0">
      <pane xSplit="4" ySplit="12" topLeftCell="X59" activePane="bottomRight" state="frozen"/>
      <selection pane="bottomRight" activeCell="AW57" sqref="AW57"/>
      <selection pane="bottomLeft" activeCell="A13" sqref="A13"/>
      <selection pane="topRight" activeCell="E1" sqref="E1"/>
    </sheetView>
  </sheetViews>
  <sheetFormatPr defaultColWidth="13.25" defaultRowHeight="15" customHeight="1" outlineLevelCol="1"/>
  <cols>
    <col min="1" max="1" width="8.25" style="168" customWidth="1"/>
    <col min="2" max="2" width="28.125" style="168" customWidth="1"/>
    <col min="3" max="3" width="30.5" style="168" customWidth="1"/>
    <col min="4" max="4" width="36.25" style="168" customWidth="1"/>
    <col min="5" max="5" width="39" style="168" customWidth="1"/>
    <col min="6" max="6" width="20.875" style="168" customWidth="1"/>
    <col min="7" max="7" width="61" style="168" customWidth="1"/>
    <col min="8" max="8" width="12.125" style="168" customWidth="1"/>
    <col min="9" max="9" width="19.75" style="168" customWidth="1"/>
    <col min="10" max="11" width="13.25" style="168" customWidth="1"/>
    <col min="12" max="12" width="19.5" style="168" customWidth="1"/>
    <col min="13" max="13" width="11.375" style="168" customWidth="1"/>
    <col min="14" max="14" width="12.375" style="168" customWidth="1"/>
    <col min="15" max="16" width="11.875" style="168" customWidth="1"/>
    <col min="17" max="17" width="19.5" style="168" customWidth="1"/>
    <col min="18" max="18" width="11.875" style="168" customWidth="1"/>
    <col min="19" max="21" width="12.375" style="168" customWidth="1"/>
    <col min="22" max="22" width="21.125" style="168" customWidth="1"/>
    <col min="23" max="23" width="12.375" style="168" customWidth="1"/>
    <col min="24" max="24" width="12.625" style="168" customWidth="1"/>
    <col min="25" max="25" width="7.125" style="168" customWidth="1"/>
    <col min="26" max="26" width="13.25" style="168" customWidth="1"/>
    <col min="27" max="27" width="26.125" style="168" customWidth="1" outlineLevel="1"/>
    <col min="28" max="28" width="15.375" style="168" customWidth="1" outlineLevel="1"/>
    <col min="29" max="29" width="18.375" style="168" customWidth="1" outlineLevel="1"/>
    <col min="30" max="30" width="7.125" style="168" customWidth="1" outlineLevel="1"/>
    <col min="31" max="31" width="15.375" style="168" customWidth="1" outlineLevel="1"/>
    <col min="32" max="32" width="23.875" style="168" customWidth="1" outlineLevel="1"/>
    <col min="33" max="33" width="15.375" style="168" customWidth="1" outlineLevel="1"/>
    <col min="34" max="34" width="18.375" style="168" customWidth="1" outlineLevel="1"/>
    <col min="35" max="35" width="7.125" style="168" customWidth="1" outlineLevel="1"/>
    <col min="36" max="36" width="15.375" style="168" customWidth="1" outlineLevel="1"/>
    <col min="37" max="37" width="23.875" style="168" customWidth="1" outlineLevel="1"/>
    <col min="38" max="38" width="15.375" style="168" customWidth="1" outlineLevel="1"/>
    <col min="39" max="39" width="18.375" style="168" customWidth="1" outlineLevel="1"/>
    <col min="40" max="40" width="7.125" style="168" customWidth="1" outlineLevel="1"/>
    <col min="41" max="41" width="15.375" style="168" customWidth="1" outlineLevel="1"/>
    <col min="42" max="42" width="23.875" style="168" customWidth="1" outlineLevel="1"/>
    <col min="43" max="43" width="15.375" style="168" customWidth="1" outlineLevel="1"/>
    <col min="44" max="44" width="18.375" style="168" customWidth="1" outlineLevel="1"/>
    <col min="45" max="45" width="7.125" style="168" customWidth="1" outlineLevel="1"/>
    <col min="46" max="46" width="15.375" style="168" customWidth="1" outlineLevel="1"/>
    <col min="47" max="47" width="7.125" style="168" customWidth="1" outlineLevel="1"/>
    <col min="48" max="48" width="13.25" style="168" customWidth="1"/>
    <col min="49" max="49" width="51.5" style="168" customWidth="1"/>
    <col min="50" max="50" width="48.125" style="168" customWidth="1"/>
    <col min="51" max="51" width="52.625" style="168" customWidth="1"/>
    <col min="52" max="52" width="48.75" style="168" customWidth="1"/>
    <col min="53" max="55" width="12.375" style="168" customWidth="1"/>
    <col min="56" max="59" width="18.75" style="168" customWidth="1"/>
    <col min="60" max="60" width="12.375" style="168" customWidth="1"/>
    <col min="61" max="64" width="16.875" style="168" customWidth="1"/>
    <col min="65" max="65" width="12.375" style="168" customWidth="1"/>
    <col min="66" max="69" width="18.75" style="168" customWidth="1"/>
    <col min="70" max="70" width="19.25" style="168" customWidth="1"/>
    <col min="71" max="74" width="20.625" style="168" customWidth="1"/>
    <col min="75" max="75" width="20.875" style="168" customWidth="1"/>
    <col min="76" max="76" width="21.5" style="168" customWidth="1"/>
    <col min="77" max="80" width="20.125" style="168" customWidth="1"/>
    <col min="81" max="16384" width="13.25" style="168"/>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055" t="s">
        <v>77</v>
      </c>
      <c r="C4" s="1055"/>
      <c r="D4" s="1055"/>
      <c r="E4" s="1055"/>
      <c r="F4" s="174"/>
      <c r="G4" s="174"/>
      <c r="H4" s="174"/>
      <c r="I4" s="174"/>
      <c r="J4" s="174"/>
      <c r="K4" s="174"/>
      <c r="L4" s="174"/>
      <c r="M4" s="174"/>
      <c r="N4" s="174"/>
      <c r="O4" s="174"/>
      <c r="P4" s="174"/>
      <c r="Q4" s="174"/>
      <c r="R4" s="174"/>
      <c r="S4" s="174"/>
      <c r="T4" s="174"/>
      <c r="U4" s="174"/>
      <c r="V4" s="174"/>
      <c r="W4" s="174"/>
      <c r="X4" s="174"/>
      <c r="Y4" s="414" t="s">
        <v>530</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055" t="s">
        <v>79</v>
      </c>
      <c r="C5" s="1055"/>
      <c r="D5" s="1055"/>
      <c r="E5" s="1055"/>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4"/>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c r="B8" s="1061" t="s">
        <v>37</v>
      </c>
      <c r="C8" s="1160"/>
      <c r="D8" s="1161"/>
      <c r="E8" s="1062" t="s">
        <v>80</v>
      </c>
      <c r="F8" s="1160"/>
      <c r="G8" s="1160"/>
      <c r="H8" s="1160"/>
      <c r="I8" s="1160"/>
      <c r="J8" s="1160"/>
      <c r="K8" s="1160"/>
      <c r="L8" s="1160"/>
      <c r="M8" s="1160"/>
      <c r="N8" s="1160"/>
      <c r="O8" s="1160"/>
      <c r="P8" s="1160"/>
      <c r="Q8" s="1160"/>
      <c r="R8" s="1160"/>
      <c r="S8" s="1160"/>
      <c r="T8" s="1160"/>
      <c r="U8" s="1160"/>
      <c r="V8" s="1160"/>
      <c r="W8" s="1160"/>
      <c r="X8" s="1160"/>
      <c r="Y8" s="1160"/>
      <c r="Z8" s="1161"/>
      <c r="AA8" s="1062" t="s">
        <v>531</v>
      </c>
      <c r="AB8" s="1160"/>
      <c r="AC8" s="1160"/>
      <c r="AD8" s="1160"/>
      <c r="AE8" s="1160"/>
      <c r="AF8" s="1160"/>
      <c r="AG8" s="1160"/>
      <c r="AH8" s="1160"/>
      <c r="AI8" s="1160"/>
      <c r="AJ8" s="1160"/>
      <c r="AK8" s="1160"/>
      <c r="AL8" s="1160"/>
      <c r="AM8" s="1160"/>
      <c r="AN8" s="1160"/>
      <c r="AO8" s="1160"/>
      <c r="AP8" s="1160"/>
      <c r="AQ8" s="1160"/>
      <c r="AR8" s="1160"/>
      <c r="AS8" s="1160"/>
      <c r="AT8" s="1160"/>
      <c r="AU8" s="1160"/>
      <c r="AV8" s="1063" t="s">
        <v>82</v>
      </c>
      <c r="AW8" s="1160"/>
      <c r="AX8" s="1160"/>
      <c r="AY8" s="1160"/>
      <c r="AZ8" s="1161"/>
      <c r="BA8" s="1070" t="s">
        <v>83</v>
      </c>
      <c r="BB8" s="1162"/>
      <c r="BC8" s="1162"/>
      <c r="BD8" s="1162"/>
      <c r="BE8" s="1162"/>
      <c r="BF8" s="1162"/>
      <c r="BG8" s="1162"/>
      <c r="BH8" s="1162"/>
      <c r="BI8" s="1162"/>
      <c r="BJ8" s="1162"/>
      <c r="BK8" s="1162"/>
      <c r="BL8" s="1162"/>
      <c r="BM8" s="1162"/>
      <c r="BN8" s="1162"/>
      <c r="BO8" s="1162"/>
      <c r="BP8" s="1162"/>
      <c r="BQ8" s="1162"/>
      <c r="BR8" s="1162"/>
      <c r="BS8" s="1162"/>
      <c r="BT8" s="1162"/>
      <c r="BU8" s="1162"/>
      <c r="BV8" s="1162"/>
      <c r="BW8" s="1163"/>
    </row>
    <row r="9" spans="1:75" ht="16.5" customHeight="1">
      <c r="B9" s="184" t="s">
        <v>41</v>
      </c>
      <c r="C9" s="176" t="s">
        <v>84</v>
      </c>
      <c r="D9" s="177" t="s">
        <v>85</v>
      </c>
      <c r="E9" s="1060" t="s">
        <v>11</v>
      </c>
      <c r="F9" s="1164"/>
      <c r="G9" s="1164"/>
      <c r="H9" s="1164"/>
      <c r="I9" s="1164"/>
      <c r="J9" s="1060" t="s">
        <v>16</v>
      </c>
      <c r="K9" s="1164"/>
      <c r="L9" s="1164"/>
      <c r="M9" s="1164"/>
      <c r="N9" s="1165"/>
      <c r="O9" s="1060" t="s">
        <v>21</v>
      </c>
      <c r="P9" s="1164"/>
      <c r="Q9" s="1164"/>
      <c r="R9" s="1164"/>
      <c r="S9" s="1164"/>
      <c r="T9" s="1060" t="s">
        <v>23</v>
      </c>
      <c r="U9" s="1164"/>
      <c r="V9" s="1164"/>
      <c r="W9" s="1164"/>
      <c r="X9" s="1164"/>
      <c r="Y9" s="1072" t="s">
        <v>86</v>
      </c>
      <c r="Z9" s="1165"/>
      <c r="AA9" s="1060" t="s">
        <v>11</v>
      </c>
      <c r="AB9" s="1164"/>
      <c r="AC9" s="1164"/>
      <c r="AD9" s="1164"/>
      <c r="AE9" s="1164"/>
      <c r="AF9" s="1060" t="s">
        <v>16</v>
      </c>
      <c r="AG9" s="1164"/>
      <c r="AH9" s="1164"/>
      <c r="AI9" s="1164"/>
      <c r="AJ9" s="1164"/>
      <c r="AK9" s="1060" t="s">
        <v>21</v>
      </c>
      <c r="AL9" s="1164"/>
      <c r="AM9" s="1164"/>
      <c r="AN9" s="1164"/>
      <c r="AO9" s="1164"/>
      <c r="AP9" s="1060" t="s">
        <v>23</v>
      </c>
      <c r="AQ9" s="1164"/>
      <c r="AR9" s="1164"/>
      <c r="AS9" s="1164"/>
      <c r="AT9" s="1164"/>
      <c r="AU9" s="178" t="s">
        <v>86</v>
      </c>
      <c r="AV9" s="176" t="s">
        <v>87</v>
      </c>
      <c r="AW9" s="179" t="s">
        <v>88</v>
      </c>
      <c r="AX9" s="180" t="s">
        <v>89</v>
      </c>
      <c r="AY9" s="181" t="s">
        <v>90</v>
      </c>
      <c r="AZ9" s="182" t="s">
        <v>91</v>
      </c>
      <c r="BA9" s="1071" t="s">
        <v>92</v>
      </c>
      <c r="BB9" s="1165"/>
      <c r="BC9" s="176" t="s">
        <v>93</v>
      </c>
      <c r="BD9" s="1067" t="s">
        <v>94</v>
      </c>
      <c r="BE9" s="1164"/>
      <c r="BF9" s="1164"/>
      <c r="BG9" s="1164"/>
      <c r="BH9" s="1164"/>
      <c r="BI9" s="1164"/>
      <c r="BJ9" s="1164"/>
      <c r="BK9" s="1164"/>
      <c r="BL9" s="1164"/>
      <c r="BM9" s="1164"/>
      <c r="BN9" s="1164"/>
      <c r="BO9" s="1164"/>
      <c r="BP9" s="1164"/>
      <c r="BQ9" s="1164"/>
      <c r="BR9" s="1164"/>
      <c r="BS9" s="1164"/>
      <c r="BT9" s="1164"/>
      <c r="BU9" s="1164"/>
      <c r="BV9" s="1164"/>
      <c r="BW9" s="1166"/>
    </row>
    <row r="10" spans="1:75" ht="16.5" customHeight="1">
      <c r="B10" s="184" t="s">
        <v>50</v>
      </c>
      <c r="C10" s="185" t="s">
        <v>50</v>
      </c>
      <c r="D10" s="177" t="s">
        <v>50</v>
      </c>
      <c r="E10" s="186" t="s">
        <v>7</v>
      </c>
      <c r="F10" s="187" t="s">
        <v>95</v>
      </c>
      <c r="G10" s="187" t="s">
        <v>96</v>
      </c>
      <c r="H10" s="1059" t="s">
        <v>97</v>
      </c>
      <c r="I10" s="1164"/>
      <c r="J10" s="189" t="s">
        <v>7</v>
      </c>
      <c r="K10" s="187" t="s">
        <v>95</v>
      </c>
      <c r="L10" s="187" t="s">
        <v>96</v>
      </c>
      <c r="M10" s="1059" t="s">
        <v>97</v>
      </c>
      <c r="N10" s="1164"/>
      <c r="O10" s="189" t="s">
        <v>7</v>
      </c>
      <c r="P10" s="187" t="s">
        <v>95</v>
      </c>
      <c r="Q10" s="187" t="s">
        <v>96</v>
      </c>
      <c r="R10" s="1059" t="s">
        <v>97</v>
      </c>
      <c r="S10" s="1164"/>
      <c r="T10" s="189" t="s">
        <v>7</v>
      </c>
      <c r="U10" s="187" t="s">
        <v>95</v>
      </c>
      <c r="V10" s="187" t="s">
        <v>96</v>
      </c>
      <c r="W10" s="1059" t="s">
        <v>97</v>
      </c>
      <c r="X10" s="1164"/>
      <c r="Y10" s="190" t="s">
        <v>98</v>
      </c>
      <c r="Z10" s="191" t="s">
        <v>99</v>
      </c>
      <c r="AA10" s="186" t="s">
        <v>7</v>
      </c>
      <c r="AB10" s="192" t="s">
        <v>95</v>
      </c>
      <c r="AC10" s="192" t="s">
        <v>96</v>
      </c>
      <c r="AD10" s="1059" t="s">
        <v>97</v>
      </c>
      <c r="AE10" s="1164"/>
      <c r="AF10" s="186" t="s">
        <v>7</v>
      </c>
      <c r="AG10" s="192" t="s">
        <v>95</v>
      </c>
      <c r="AH10" s="187" t="s">
        <v>96</v>
      </c>
      <c r="AI10" s="1059" t="s">
        <v>97</v>
      </c>
      <c r="AJ10" s="1164"/>
      <c r="AK10" s="186" t="s">
        <v>7</v>
      </c>
      <c r="AL10" s="192" t="s">
        <v>95</v>
      </c>
      <c r="AM10" s="187" t="s">
        <v>96</v>
      </c>
      <c r="AN10" s="1059" t="s">
        <v>97</v>
      </c>
      <c r="AO10" s="1164"/>
      <c r="AP10" s="186" t="s">
        <v>7</v>
      </c>
      <c r="AQ10" s="187" t="s">
        <v>95</v>
      </c>
      <c r="AR10" s="187" t="s">
        <v>96</v>
      </c>
      <c r="AS10" s="1059" t="s">
        <v>97</v>
      </c>
      <c r="AT10" s="1164"/>
      <c r="AU10" s="178" t="s">
        <v>50</v>
      </c>
      <c r="AV10" s="176" t="s">
        <v>100</v>
      </c>
      <c r="AW10" s="179" t="s">
        <v>101</v>
      </c>
      <c r="AX10" s="180" t="s">
        <v>102</v>
      </c>
      <c r="AY10" s="181" t="s">
        <v>103</v>
      </c>
      <c r="AZ10" s="416" t="s">
        <v>104</v>
      </c>
      <c r="BA10" s="193" t="s">
        <v>105</v>
      </c>
      <c r="BB10" s="176" t="s">
        <v>106</v>
      </c>
      <c r="BC10" s="176" t="s">
        <v>107</v>
      </c>
      <c r="BD10" s="1067" t="s">
        <v>108</v>
      </c>
      <c r="BE10" s="1164"/>
      <c r="BF10" s="1164"/>
      <c r="BG10" s="1164"/>
      <c r="BH10" s="1165"/>
      <c r="BI10" s="1067" t="s">
        <v>109</v>
      </c>
      <c r="BJ10" s="1164"/>
      <c r="BK10" s="1164"/>
      <c r="BL10" s="1164"/>
      <c r="BM10" s="1165"/>
      <c r="BN10" s="1067" t="s">
        <v>110</v>
      </c>
      <c r="BO10" s="1164"/>
      <c r="BP10" s="1164"/>
      <c r="BQ10" s="1164"/>
      <c r="BR10" s="1165"/>
      <c r="BS10" s="1067" t="s">
        <v>111</v>
      </c>
      <c r="BT10" s="1164"/>
      <c r="BU10" s="1164"/>
      <c r="BV10" s="1164"/>
      <c r="BW10" s="1166"/>
    </row>
    <row r="11" spans="1:75" ht="16.5" customHeight="1">
      <c r="B11" s="194" t="s">
        <v>50</v>
      </c>
      <c r="C11" s="185" t="s">
        <v>50</v>
      </c>
      <c r="D11" s="183" t="s">
        <v>50</v>
      </c>
      <c r="E11" s="186"/>
      <c r="F11" s="187" t="s">
        <v>50</v>
      </c>
      <c r="G11" s="187" t="s">
        <v>50</v>
      </c>
      <c r="H11" s="187" t="s">
        <v>112</v>
      </c>
      <c r="I11" s="188" t="s">
        <v>113</v>
      </c>
      <c r="J11" s="189" t="s">
        <v>50</v>
      </c>
      <c r="K11" s="187" t="s">
        <v>50</v>
      </c>
      <c r="L11" s="187" t="s">
        <v>50</v>
      </c>
      <c r="M11" s="187" t="s">
        <v>112</v>
      </c>
      <c r="N11" s="188" t="s">
        <v>113</v>
      </c>
      <c r="O11" s="189" t="s">
        <v>50</v>
      </c>
      <c r="P11" s="187" t="s">
        <v>50</v>
      </c>
      <c r="Q11" s="187" t="s">
        <v>50</v>
      </c>
      <c r="R11" s="187" t="s">
        <v>112</v>
      </c>
      <c r="S11" s="188" t="s">
        <v>113</v>
      </c>
      <c r="T11" s="189" t="s">
        <v>50</v>
      </c>
      <c r="U11" s="187" t="s">
        <v>50</v>
      </c>
      <c r="V11" s="187" t="s">
        <v>50</v>
      </c>
      <c r="W11" s="187" t="s">
        <v>112</v>
      </c>
      <c r="X11" s="188" t="s">
        <v>113</v>
      </c>
      <c r="Y11" s="195" t="s">
        <v>50</v>
      </c>
      <c r="Z11" s="191"/>
      <c r="AA11" s="186"/>
      <c r="AB11" s="192" t="s">
        <v>50</v>
      </c>
      <c r="AC11" s="192" t="s">
        <v>50</v>
      </c>
      <c r="AD11" s="187" t="s">
        <v>112</v>
      </c>
      <c r="AE11" s="196" t="s">
        <v>113</v>
      </c>
      <c r="AF11" s="186" t="s">
        <v>50</v>
      </c>
      <c r="AG11" s="192" t="s">
        <v>50</v>
      </c>
      <c r="AH11" s="187" t="s">
        <v>50</v>
      </c>
      <c r="AI11" s="187" t="s">
        <v>112</v>
      </c>
      <c r="AJ11" s="188" t="s">
        <v>113</v>
      </c>
      <c r="AK11" s="186" t="s">
        <v>50</v>
      </c>
      <c r="AL11" s="192" t="s">
        <v>50</v>
      </c>
      <c r="AM11" s="187" t="s">
        <v>50</v>
      </c>
      <c r="AN11" s="187" t="s">
        <v>112</v>
      </c>
      <c r="AO11" s="188" t="s">
        <v>113</v>
      </c>
      <c r="AP11" s="186" t="s">
        <v>50</v>
      </c>
      <c r="AQ11" s="187" t="s">
        <v>50</v>
      </c>
      <c r="AR11" s="187" t="s">
        <v>50</v>
      </c>
      <c r="AS11" s="187" t="s">
        <v>112</v>
      </c>
      <c r="AT11" s="188" t="s">
        <v>113</v>
      </c>
      <c r="AU11" s="178" t="s">
        <v>50</v>
      </c>
      <c r="AV11" s="176" t="s">
        <v>50</v>
      </c>
      <c r="AW11" s="179" t="s">
        <v>50</v>
      </c>
      <c r="AX11" s="180" t="s">
        <v>50</v>
      </c>
      <c r="AY11" s="181" t="s">
        <v>50</v>
      </c>
      <c r="AZ11" s="182" t="s">
        <v>50</v>
      </c>
      <c r="BA11" s="193" t="s">
        <v>50</v>
      </c>
      <c r="BB11" s="176" t="s">
        <v>50</v>
      </c>
      <c r="BC11" s="176" t="s">
        <v>50</v>
      </c>
      <c r="BD11" s="1067" t="s">
        <v>114</v>
      </c>
      <c r="BE11" s="1165"/>
      <c r="BF11" s="1067" t="s">
        <v>115</v>
      </c>
      <c r="BG11" s="1165"/>
      <c r="BH11" s="176" t="s">
        <v>116</v>
      </c>
      <c r="BI11" s="1067" t="s">
        <v>114</v>
      </c>
      <c r="BJ11" s="1165"/>
      <c r="BK11" s="1067" t="s">
        <v>115</v>
      </c>
      <c r="BL11" s="1165"/>
      <c r="BM11" s="176" t="s">
        <v>116</v>
      </c>
      <c r="BN11" s="1067" t="s">
        <v>114</v>
      </c>
      <c r="BO11" s="1165"/>
      <c r="BP11" s="1067" t="s">
        <v>115</v>
      </c>
      <c r="BQ11" s="1165"/>
      <c r="BR11" s="176" t="s">
        <v>116</v>
      </c>
      <c r="BS11" s="1067" t="s">
        <v>114</v>
      </c>
      <c r="BT11" s="1165"/>
      <c r="BU11" s="1067" t="s">
        <v>115</v>
      </c>
      <c r="BV11" s="1165"/>
      <c r="BW11" s="197" t="s">
        <v>116</v>
      </c>
    </row>
    <row r="12" spans="1:75" ht="16.5" customHeight="1">
      <c r="B12" s="198" t="s">
        <v>50</v>
      </c>
      <c r="C12" s="199" t="s">
        <v>50</v>
      </c>
      <c r="D12" s="200" t="s">
        <v>50</v>
      </c>
      <c r="E12" s="201"/>
      <c r="F12" s="202" t="s">
        <v>50</v>
      </c>
      <c r="G12" s="202" t="s">
        <v>50</v>
      </c>
      <c r="H12" s="202" t="s">
        <v>50</v>
      </c>
      <c r="I12" s="203" t="s">
        <v>50</v>
      </c>
      <c r="J12" s="204" t="s">
        <v>50</v>
      </c>
      <c r="K12" s="202" t="s">
        <v>50</v>
      </c>
      <c r="L12" s="202" t="s">
        <v>50</v>
      </c>
      <c r="M12" s="202" t="s">
        <v>50</v>
      </c>
      <c r="N12" s="203" t="s">
        <v>50</v>
      </c>
      <c r="O12" s="204" t="s">
        <v>50</v>
      </c>
      <c r="P12" s="202" t="s">
        <v>50</v>
      </c>
      <c r="Q12" s="202" t="s">
        <v>50</v>
      </c>
      <c r="R12" s="202" t="s">
        <v>50</v>
      </c>
      <c r="S12" s="203" t="s">
        <v>50</v>
      </c>
      <c r="T12" s="204" t="s">
        <v>50</v>
      </c>
      <c r="U12" s="202" t="s">
        <v>50</v>
      </c>
      <c r="V12" s="202" t="s">
        <v>50</v>
      </c>
      <c r="W12" s="202" t="s">
        <v>50</v>
      </c>
      <c r="X12" s="203" t="s">
        <v>50</v>
      </c>
      <c r="Y12" s="205" t="s">
        <v>50</v>
      </c>
      <c r="Z12" s="206"/>
      <c r="AA12" s="201"/>
      <c r="AB12" s="207" t="s">
        <v>50</v>
      </c>
      <c r="AC12" s="207" t="s">
        <v>50</v>
      </c>
      <c r="AD12" s="202" t="s">
        <v>50</v>
      </c>
      <c r="AE12" s="208" t="s">
        <v>50</v>
      </c>
      <c r="AF12" s="201" t="s">
        <v>50</v>
      </c>
      <c r="AG12" s="207" t="s">
        <v>50</v>
      </c>
      <c r="AH12" s="202" t="s">
        <v>50</v>
      </c>
      <c r="AI12" s="202" t="s">
        <v>50</v>
      </c>
      <c r="AJ12" s="203" t="s">
        <v>50</v>
      </c>
      <c r="AK12" s="201" t="s">
        <v>50</v>
      </c>
      <c r="AL12" s="207" t="s">
        <v>50</v>
      </c>
      <c r="AM12" s="202" t="s">
        <v>50</v>
      </c>
      <c r="AN12" s="202" t="s">
        <v>50</v>
      </c>
      <c r="AO12" s="203" t="s">
        <v>50</v>
      </c>
      <c r="AP12" s="201" t="s">
        <v>50</v>
      </c>
      <c r="AQ12" s="202" t="s">
        <v>50</v>
      </c>
      <c r="AR12" s="202" t="s">
        <v>50</v>
      </c>
      <c r="AS12" s="202" t="s">
        <v>50</v>
      </c>
      <c r="AT12" s="203" t="s">
        <v>50</v>
      </c>
      <c r="AU12" s="209" t="s">
        <v>50</v>
      </c>
      <c r="AV12" s="185" t="s">
        <v>50</v>
      </c>
      <c r="AW12" s="210" t="s">
        <v>50</v>
      </c>
      <c r="AX12" s="211" t="s">
        <v>50</v>
      </c>
      <c r="AY12" s="212" t="s">
        <v>50</v>
      </c>
      <c r="AZ12" s="213" t="s">
        <v>50</v>
      </c>
      <c r="BA12" s="214" t="s">
        <v>50</v>
      </c>
      <c r="BB12" s="199" t="s">
        <v>50</v>
      </c>
      <c r="BC12" s="199" t="s">
        <v>50</v>
      </c>
      <c r="BD12" s="199" t="s">
        <v>117</v>
      </c>
      <c r="BE12" s="199" t="s">
        <v>118</v>
      </c>
      <c r="BF12" s="199" t="s">
        <v>117</v>
      </c>
      <c r="BG12" s="199" t="s">
        <v>118</v>
      </c>
      <c r="BH12" s="199" t="s">
        <v>50</v>
      </c>
      <c r="BI12" s="199" t="s">
        <v>117</v>
      </c>
      <c r="BJ12" s="199" t="s">
        <v>118</v>
      </c>
      <c r="BK12" s="199" t="s">
        <v>117</v>
      </c>
      <c r="BL12" s="199" t="s">
        <v>118</v>
      </c>
      <c r="BM12" s="199" t="s">
        <v>50</v>
      </c>
      <c r="BN12" s="199" t="s">
        <v>117</v>
      </c>
      <c r="BO12" s="199" t="s">
        <v>118</v>
      </c>
      <c r="BP12" s="199" t="s">
        <v>117</v>
      </c>
      <c r="BQ12" s="199" t="s">
        <v>118</v>
      </c>
      <c r="BR12" s="199" t="s">
        <v>50</v>
      </c>
      <c r="BS12" s="199" t="s">
        <v>117</v>
      </c>
      <c r="BT12" s="199" t="s">
        <v>118</v>
      </c>
      <c r="BU12" s="199" t="s">
        <v>117</v>
      </c>
      <c r="BV12" s="199" t="s">
        <v>118</v>
      </c>
      <c r="BW12" s="215" t="s">
        <v>50</v>
      </c>
    </row>
    <row r="13" spans="1:75" ht="84">
      <c r="B13" s="417" t="s">
        <v>119</v>
      </c>
      <c r="C13" s="216" t="s">
        <v>532</v>
      </c>
      <c r="D13" s="217" t="s">
        <v>121</v>
      </c>
      <c r="E13" s="224" t="s">
        <v>122</v>
      </c>
      <c r="F13" s="218" t="s">
        <v>123</v>
      </c>
      <c r="G13" s="225" t="s">
        <v>124</v>
      </c>
      <c r="H13" s="219" t="s">
        <v>125</v>
      </c>
      <c r="I13" s="217" t="s">
        <v>133</v>
      </c>
      <c r="J13" s="220" t="s">
        <v>46</v>
      </c>
      <c r="K13" s="218" t="s">
        <v>46</v>
      </c>
      <c r="L13" s="218" t="s">
        <v>46</v>
      </c>
      <c r="M13" s="218" t="s">
        <v>46</v>
      </c>
      <c r="N13" s="221" t="s">
        <v>46</v>
      </c>
      <c r="O13" s="220" t="s">
        <v>46</v>
      </c>
      <c r="P13" s="218" t="s">
        <v>46</v>
      </c>
      <c r="Q13" s="218" t="s">
        <v>46</v>
      </c>
      <c r="R13" s="218" t="s">
        <v>46</v>
      </c>
      <c r="S13" s="221" t="s">
        <v>46</v>
      </c>
      <c r="T13" s="222" t="s">
        <v>46</v>
      </c>
      <c r="U13" s="218" t="s">
        <v>46</v>
      </c>
      <c r="V13" s="221" t="s">
        <v>46</v>
      </c>
      <c r="W13" s="221" t="s">
        <v>46</v>
      </c>
      <c r="X13" s="221" t="s">
        <v>46</v>
      </c>
      <c r="Y13" s="296" t="s">
        <v>127</v>
      </c>
      <c r="Z13" s="527" t="s">
        <v>128</v>
      </c>
      <c r="AA13" s="224" t="s">
        <v>533</v>
      </c>
      <c r="AB13" s="225" t="s">
        <v>123</v>
      </c>
      <c r="AC13" s="226" t="s">
        <v>534</v>
      </c>
      <c r="AD13" s="219" t="s">
        <v>125</v>
      </c>
      <c r="AE13" s="227" t="s">
        <v>133</v>
      </c>
      <c r="AF13" s="224" t="s">
        <v>535</v>
      </c>
      <c r="AG13" s="225" t="s">
        <v>123</v>
      </c>
      <c r="AH13" s="218" t="s">
        <v>46</v>
      </c>
      <c r="AI13" s="218" t="s">
        <v>46</v>
      </c>
      <c r="AJ13" s="221" t="s">
        <v>46</v>
      </c>
      <c r="AK13" s="224" t="s">
        <v>536</v>
      </c>
      <c r="AL13" s="225" t="s">
        <v>123</v>
      </c>
      <c r="AM13" s="218" t="s">
        <v>46</v>
      </c>
      <c r="AN13" s="218" t="s">
        <v>46</v>
      </c>
      <c r="AO13" s="221" t="s">
        <v>46</v>
      </c>
      <c r="AP13" s="228" t="s">
        <v>537</v>
      </c>
      <c r="AQ13" s="218" t="s">
        <v>160</v>
      </c>
      <c r="AR13" s="221" t="s">
        <v>46</v>
      </c>
      <c r="AS13" s="221" t="s">
        <v>46</v>
      </c>
      <c r="AT13" s="221" t="s">
        <v>46</v>
      </c>
      <c r="AU13" s="229"/>
      <c r="AV13" s="418" t="s">
        <v>139</v>
      </c>
      <c r="AW13" s="419" t="s">
        <v>140</v>
      </c>
      <c r="AX13" s="419" t="s">
        <v>141</v>
      </c>
      <c r="AY13" s="232" t="s">
        <v>46</v>
      </c>
      <c r="AZ13" s="232" t="s">
        <v>46</v>
      </c>
      <c r="BA13" s="230" t="s">
        <v>538</v>
      </c>
      <c r="BB13" s="231"/>
      <c r="BC13" s="231" t="s">
        <v>458</v>
      </c>
      <c r="BD13" s="232" t="s">
        <v>144</v>
      </c>
      <c r="BE13" s="232" t="s">
        <v>144</v>
      </c>
      <c r="BF13" s="232" t="s">
        <v>145</v>
      </c>
      <c r="BG13" s="232" t="s">
        <v>146</v>
      </c>
      <c r="BH13" s="233" t="s">
        <v>148</v>
      </c>
      <c r="BI13" s="223"/>
      <c r="BJ13" s="223"/>
      <c r="BK13" s="223"/>
      <c r="BL13" s="223"/>
      <c r="BM13" s="223"/>
      <c r="BN13" s="223"/>
      <c r="BO13" s="223"/>
      <c r="BP13" s="223"/>
      <c r="BQ13" s="223"/>
      <c r="BR13" s="223"/>
      <c r="BS13" s="223"/>
      <c r="BT13" s="223"/>
      <c r="BU13" s="223"/>
      <c r="BV13" s="223"/>
      <c r="BW13" s="234"/>
    </row>
    <row r="14" spans="1:75" ht="201.6">
      <c r="B14" s="235"/>
      <c r="C14" s="216"/>
      <c r="D14" s="236" t="s">
        <v>149</v>
      </c>
      <c r="E14" s="224" t="s">
        <v>150</v>
      </c>
      <c r="F14" s="237" t="s">
        <v>123</v>
      </c>
      <c r="G14" s="242" t="s">
        <v>152</v>
      </c>
      <c r="H14" s="238" t="s">
        <v>125</v>
      </c>
      <c r="I14" s="236" t="s">
        <v>133</v>
      </c>
      <c r="J14" s="239" t="s">
        <v>46</v>
      </c>
      <c r="K14" s="237" t="s">
        <v>46</v>
      </c>
      <c r="L14" s="237" t="s">
        <v>46</v>
      </c>
      <c r="M14" s="237" t="s">
        <v>46</v>
      </c>
      <c r="N14" s="240" t="s">
        <v>46</v>
      </c>
      <c r="O14" s="239" t="s">
        <v>46</v>
      </c>
      <c r="P14" s="237" t="s">
        <v>46</v>
      </c>
      <c r="Q14" s="237" t="s">
        <v>46</v>
      </c>
      <c r="R14" s="237" t="s">
        <v>46</v>
      </c>
      <c r="S14" s="240" t="s">
        <v>46</v>
      </c>
      <c r="T14" s="241" t="s">
        <v>46</v>
      </c>
      <c r="U14" s="237" t="s">
        <v>46</v>
      </c>
      <c r="V14" s="240" t="s">
        <v>46</v>
      </c>
      <c r="W14" s="240" t="s">
        <v>46</v>
      </c>
      <c r="X14" s="240" t="s">
        <v>46</v>
      </c>
      <c r="Y14" s="296" t="s">
        <v>127</v>
      </c>
      <c r="Z14" s="527" t="s">
        <v>128</v>
      </c>
      <c r="AA14" s="224" t="s">
        <v>533</v>
      </c>
      <c r="AB14" s="242" t="s">
        <v>123</v>
      </c>
      <c r="AC14" s="243" t="s">
        <v>539</v>
      </c>
      <c r="AD14" s="238" t="s">
        <v>125</v>
      </c>
      <c r="AE14" s="244" t="s">
        <v>133</v>
      </c>
      <c r="AF14" s="245" t="s">
        <v>535</v>
      </c>
      <c r="AG14" s="225" t="s">
        <v>123</v>
      </c>
      <c r="AH14" s="218" t="s">
        <v>46</v>
      </c>
      <c r="AI14" s="237" t="s">
        <v>46</v>
      </c>
      <c r="AJ14" s="240" t="s">
        <v>46</v>
      </c>
      <c r="AK14" s="245" t="s">
        <v>536</v>
      </c>
      <c r="AL14" s="242" t="s">
        <v>123</v>
      </c>
      <c r="AM14" s="237" t="s">
        <v>46</v>
      </c>
      <c r="AN14" s="237" t="s">
        <v>46</v>
      </c>
      <c r="AO14" s="240" t="s">
        <v>46</v>
      </c>
      <c r="AP14" s="228" t="s">
        <v>537</v>
      </c>
      <c r="AQ14" s="237" t="s">
        <v>46</v>
      </c>
      <c r="AR14" s="240" t="s">
        <v>46</v>
      </c>
      <c r="AS14" s="240" t="s">
        <v>46</v>
      </c>
      <c r="AT14" s="240" t="s">
        <v>46</v>
      </c>
      <c r="AU14" s="246"/>
      <c r="AV14" s="257" t="s">
        <v>139</v>
      </c>
      <c r="AW14" s="419" t="s">
        <v>157</v>
      </c>
      <c r="AX14" s="419" t="s">
        <v>158</v>
      </c>
      <c r="AY14" s="232" t="s">
        <v>159</v>
      </c>
      <c r="AZ14" s="242" t="s">
        <v>160</v>
      </c>
      <c r="BA14" s="230" t="s">
        <v>538</v>
      </c>
      <c r="BB14" s="231"/>
      <c r="BC14" s="231" t="s">
        <v>458</v>
      </c>
      <c r="BD14" s="233"/>
      <c r="BE14" s="233"/>
      <c r="BF14" s="233"/>
      <c r="BG14" s="233"/>
      <c r="BH14" s="233" t="s">
        <v>372</v>
      </c>
      <c r="BI14" s="223"/>
      <c r="BJ14" s="223"/>
      <c r="BK14" s="223"/>
      <c r="BL14" s="223"/>
      <c r="BM14" s="223"/>
      <c r="BN14" s="223"/>
      <c r="BO14" s="223"/>
      <c r="BP14" s="223"/>
      <c r="BQ14" s="223"/>
      <c r="BR14" s="223"/>
      <c r="BS14" s="223"/>
      <c r="BT14" s="223"/>
      <c r="BU14" s="223"/>
      <c r="BV14" s="223"/>
      <c r="BW14" s="247"/>
    </row>
    <row r="15" spans="1:75" ht="336">
      <c r="B15" s="235"/>
      <c r="C15" s="216"/>
      <c r="D15" s="248" t="s">
        <v>161</v>
      </c>
      <c r="E15" s="224" t="s">
        <v>150</v>
      </c>
      <c r="F15" s="237" t="s">
        <v>123</v>
      </c>
      <c r="G15" s="242" t="s">
        <v>162</v>
      </c>
      <c r="H15" s="238" t="s">
        <v>125</v>
      </c>
      <c r="I15" s="236" t="s">
        <v>133</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127</v>
      </c>
      <c r="Z15" s="527" t="s">
        <v>128</v>
      </c>
      <c r="AA15" s="224" t="s">
        <v>533</v>
      </c>
      <c r="AB15" s="242" t="s">
        <v>123</v>
      </c>
      <c r="AC15" s="243" t="s">
        <v>540</v>
      </c>
      <c r="AD15" s="238" t="s">
        <v>125</v>
      </c>
      <c r="AE15" s="244" t="s">
        <v>133</v>
      </c>
      <c r="AF15" s="245" t="s">
        <v>535</v>
      </c>
      <c r="AG15" s="225" t="s">
        <v>123</v>
      </c>
      <c r="AH15" s="218" t="s">
        <v>46</v>
      </c>
      <c r="AI15" s="237" t="s">
        <v>46</v>
      </c>
      <c r="AJ15" s="240" t="s">
        <v>46</v>
      </c>
      <c r="AK15" s="245" t="s">
        <v>536</v>
      </c>
      <c r="AL15" s="242" t="s">
        <v>123</v>
      </c>
      <c r="AM15" s="237" t="s">
        <v>46</v>
      </c>
      <c r="AN15" s="237" t="s">
        <v>46</v>
      </c>
      <c r="AO15" s="240" t="s">
        <v>46</v>
      </c>
      <c r="AP15" s="228" t="s">
        <v>537</v>
      </c>
      <c r="AQ15" s="237" t="s">
        <v>46</v>
      </c>
      <c r="AR15" s="240" t="s">
        <v>46</v>
      </c>
      <c r="AS15" s="240" t="s">
        <v>46</v>
      </c>
      <c r="AT15" s="240" t="s">
        <v>46</v>
      </c>
      <c r="AU15" s="246"/>
      <c r="AV15" s="257" t="s">
        <v>139</v>
      </c>
      <c r="AW15" s="419" t="s">
        <v>168</v>
      </c>
      <c r="AX15" s="419" t="s">
        <v>46</v>
      </c>
      <c r="AY15" s="232" t="s">
        <v>46</v>
      </c>
      <c r="AZ15" s="242" t="s">
        <v>169</v>
      </c>
      <c r="BA15" s="230" t="s">
        <v>538</v>
      </c>
      <c r="BB15" s="231"/>
      <c r="BC15" s="231" t="s">
        <v>458</v>
      </c>
      <c r="BD15" s="233"/>
      <c r="BE15" s="233"/>
      <c r="BF15" s="233"/>
      <c r="BG15" s="233"/>
      <c r="BH15" s="233"/>
      <c r="BI15" s="223"/>
      <c r="BJ15" s="223"/>
      <c r="BK15" s="223"/>
      <c r="BL15" s="223"/>
      <c r="BM15" s="223"/>
      <c r="BN15" s="223"/>
      <c r="BO15" s="223"/>
      <c r="BP15" s="223"/>
      <c r="BQ15" s="223"/>
      <c r="BR15" s="223"/>
      <c r="BS15" s="223"/>
      <c r="BT15" s="223"/>
      <c r="BU15" s="223"/>
      <c r="BV15" s="223"/>
      <c r="BW15" s="247"/>
    </row>
    <row r="16" spans="1:75" ht="100.9">
      <c r="B16" s="235"/>
      <c r="C16" s="218"/>
      <c r="D16" s="236" t="s">
        <v>170</v>
      </c>
      <c r="E16" s="224" t="s">
        <v>150</v>
      </c>
      <c r="F16" s="237" t="s">
        <v>123</v>
      </c>
      <c r="G16" s="242" t="s">
        <v>541</v>
      </c>
      <c r="H16" s="238" t="s">
        <v>125</v>
      </c>
      <c r="I16" s="236" t="s">
        <v>133</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127</v>
      </c>
      <c r="Z16" s="527" t="s">
        <v>128</v>
      </c>
      <c r="AA16" s="224" t="s">
        <v>533</v>
      </c>
      <c r="AB16" s="242" t="s">
        <v>123</v>
      </c>
      <c r="AC16" s="243" t="s">
        <v>542</v>
      </c>
      <c r="AD16" s="238" t="s">
        <v>125</v>
      </c>
      <c r="AE16" s="244" t="s">
        <v>133</v>
      </c>
      <c r="AF16" s="245" t="s">
        <v>543</v>
      </c>
      <c r="AG16" s="225" t="s">
        <v>123</v>
      </c>
      <c r="AH16" s="218" t="s">
        <v>46</v>
      </c>
      <c r="AI16" s="237" t="s">
        <v>46</v>
      </c>
      <c r="AJ16" s="240" t="s">
        <v>46</v>
      </c>
      <c r="AK16" s="245" t="s">
        <v>536</v>
      </c>
      <c r="AL16" s="242" t="s">
        <v>123</v>
      </c>
      <c r="AM16" s="237" t="s">
        <v>46</v>
      </c>
      <c r="AN16" s="237" t="s">
        <v>46</v>
      </c>
      <c r="AO16" s="240" t="s">
        <v>46</v>
      </c>
      <c r="AP16" s="228" t="s">
        <v>537</v>
      </c>
      <c r="AQ16" s="237" t="s">
        <v>46</v>
      </c>
      <c r="AR16" s="240" t="s">
        <v>46</v>
      </c>
      <c r="AS16" s="240" t="s">
        <v>46</v>
      </c>
      <c r="AT16" s="240" t="s">
        <v>46</v>
      </c>
      <c r="AU16" s="246"/>
      <c r="AV16" s="251" t="s">
        <v>139</v>
      </c>
      <c r="AW16" s="420" t="s">
        <v>46</v>
      </c>
      <c r="AX16" s="420" t="s">
        <v>46</v>
      </c>
      <c r="AY16" s="421" t="s">
        <v>177</v>
      </c>
      <c r="AZ16" s="421" t="s">
        <v>178</v>
      </c>
      <c r="BA16" s="230" t="s">
        <v>538</v>
      </c>
      <c r="BB16" s="231"/>
      <c r="BC16" s="231" t="s">
        <v>458</v>
      </c>
      <c r="BD16" s="233"/>
      <c r="BE16" s="233"/>
      <c r="BF16" s="233"/>
      <c r="BG16" s="233"/>
      <c r="BH16" s="233"/>
      <c r="BI16" s="223"/>
      <c r="BJ16" s="223"/>
      <c r="BK16" s="223"/>
      <c r="BL16" s="223"/>
      <c r="BM16" s="223"/>
      <c r="BN16" s="223"/>
      <c r="BO16" s="223"/>
      <c r="BP16" s="223"/>
      <c r="BQ16" s="223"/>
      <c r="BR16" s="223"/>
      <c r="BS16" s="223"/>
      <c r="BT16" s="223"/>
      <c r="BU16" s="223"/>
      <c r="BV16" s="223"/>
      <c r="BW16" s="247"/>
    </row>
    <row r="17" spans="2:75" ht="67.150000000000006">
      <c r="B17" s="235"/>
      <c r="C17" s="254" t="s">
        <v>544</v>
      </c>
      <c r="D17" s="221" t="s">
        <v>121</v>
      </c>
      <c r="E17" s="245" t="s">
        <v>180</v>
      </c>
      <c r="F17" s="237" t="s">
        <v>50</v>
      </c>
      <c r="G17" s="238" t="s">
        <v>50</v>
      </c>
      <c r="H17" s="238" t="s">
        <v>50</v>
      </c>
      <c r="I17" s="236" t="s">
        <v>50</v>
      </c>
      <c r="J17" s="239" t="s">
        <v>50</v>
      </c>
      <c r="K17" s="238" t="s">
        <v>50</v>
      </c>
      <c r="L17" s="238" t="s">
        <v>50</v>
      </c>
      <c r="M17" s="238" t="s">
        <v>50</v>
      </c>
      <c r="N17" s="236" t="s">
        <v>50</v>
      </c>
      <c r="O17" s="239" t="s">
        <v>50</v>
      </c>
      <c r="P17" s="238" t="s">
        <v>50</v>
      </c>
      <c r="Q17" s="238" t="s">
        <v>50</v>
      </c>
      <c r="R17" s="238" t="s">
        <v>50</v>
      </c>
      <c r="S17" s="236" t="s">
        <v>50</v>
      </c>
      <c r="T17" s="239" t="s">
        <v>50</v>
      </c>
      <c r="U17" s="238" t="s">
        <v>50</v>
      </c>
      <c r="V17" s="238" t="s">
        <v>50</v>
      </c>
      <c r="W17" s="238" t="s">
        <v>50</v>
      </c>
      <c r="X17" s="236" t="s">
        <v>50</v>
      </c>
      <c r="Y17" s="249" t="s">
        <v>44</v>
      </c>
      <c r="Z17" s="528" t="s">
        <v>181</v>
      </c>
      <c r="AA17" s="245" t="s">
        <v>545</v>
      </c>
      <c r="AB17" s="242" t="s">
        <v>546</v>
      </c>
      <c r="AC17" s="243" t="s">
        <v>547</v>
      </c>
      <c r="AD17" s="238"/>
      <c r="AE17" s="244"/>
      <c r="AF17" s="245" t="s">
        <v>548</v>
      </c>
      <c r="AG17" s="243" t="s">
        <v>546</v>
      </c>
      <c r="AH17" s="238" t="s">
        <v>46</v>
      </c>
      <c r="AI17" s="238" t="s">
        <v>46</v>
      </c>
      <c r="AJ17" s="238" t="s">
        <v>46</v>
      </c>
      <c r="AK17" s="245" t="s">
        <v>549</v>
      </c>
      <c r="AL17" s="243" t="s">
        <v>546</v>
      </c>
      <c r="AM17" s="238" t="s">
        <v>46</v>
      </c>
      <c r="AN17" s="238" t="s">
        <v>46</v>
      </c>
      <c r="AO17" s="238" t="s">
        <v>46</v>
      </c>
      <c r="AP17" s="245" t="s">
        <v>550</v>
      </c>
      <c r="AQ17" s="238" t="s">
        <v>46</v>
      </c>
      <c r="AR17" s="240" t="s">
        <v>46</v>
      </c>
      <c r="AS17" s="240" t="s">
        <v>46</v>
      </c>
      <c r="AT17" s="240" t="s">
        <v>46</v>
      </c>
      <c r="AU17" s="246"/>
      <c r="AV17" s="277" t="s">
        <v>139</v>
      </c>
      <c r="AW17" s="310"/>
      <c r="AX17" s="310"/>
      <c r="AY17" s="278"/>
      <c r="AZ17" s="278"/>
      <c r="BA17" s="230" t="s">
        <v>538</v>
      </c>
      <c r="BB17" s="231"/>
      <c r="BC17" s="231" t="s">
        <v>458</v>
      </c>
      <c r="BD17" s="233"/>
      <c r="BE17" s="233"/>
      <c r="BF17" s="233"/>
      <c r="BG17" s="233"/>
      <c r="BH17" s="233"/>
      <c r="BI17" s="223"/>
      <c r="BJ17" s="223"/>
      <c r="BK17" s="223"/>
      <c r="BL17" s="223"/>
      <c r="BM17" s="223"/>
      <c r="BN17" s="223"/>
      <c r="BO17" s="223"/>
      <c r="BP17" s="223"/>
      <c r="BQ17" s="223"/>
      <c r="BR17" s="223"/>
      <c r="BS17" s="223"/>
      <c r="BT17" s="223"/>
      <c r="BU17" s="223"/>
      <c r="BV17" s="223"/>
      <c r="BW17" s="247"/>
    </row>
    <row r="18" spans="2:75" ht="84">
      <c r="B18" s="235"/>
      <c r="C18" s="216"/>
      <c r="D18" s="221" t="s">
        <v>149</v>
      </c>
      <c r="E18" s="245" t="s">
        <v>180</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181</v>
      </c>
      <c r="AA18" s="245" t="s">
        <v>551</v>
      </c>
      <c r="AB18" s="242" t="s">
        <v>546</v>
      </c>
      <c r="AC18" s="243" t="s">
        <v>552</v>
      </c>
      <c r="AD18" s="238"/>
      <c r="AE18" s="244"/>
      <c r="AF18" s="245" t="s">
        <v>548</v>
      </c>
      <c r="AG18" s="243" t="s">
        <v>546</v>
      </c>
      <c r="AH18" s="238" t="s">
        <v>46</v>
      </c>
      <c r="AI18" s="238" t="s">
        <v>46</v>
      </c>
      <c r="AJ18" s="238" t="s">
        <v>46</v>
      </c>
      <c r="AK18" s="245" t="s">
        <v>549</v>
      </c>
      <c r="AL18" s="243" t="s">
        <v>546</v>
      </c>
      <c r="AM18" s="238" t="s">
        <v>46</v>
      </c>
      <c r="AN18" s="238" t="s">
        <v>46</v>
      </c>
      <c r="AO18" s="238" t="s">
        <v>46</v>
      </c>
      <c r="AP18" s="245" t="s">
        <v>550</v>
      </c>
      <c r="AQ18" s="238" t="s">
        <v>46</v>
      </c>
      <c r="AR18" s="240" t="s">
        <v>46</v>
      </c>
      <c r="AS18" s="240" t="s">
        <v>46</v>
      </c>
      <c r="AT18" s="240" t="s">
        <v>46</v>
      </c>
      <c r="AU18" s="246"/>
      <c r="AV18" s="251"/>
      <c r="AW18" s="420"/>
      <c r="AX18" s="420"/>
      <c r="AY18" s="421"/>
      <c r="AZ18" s="421"/>
      <c r="BA18" s="230" t="s">
        <v>538</v>
      </c>
      <c r="BB18" s="231"/>
      <c r="BC18" s="231" t="s">
        <v>458</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84">
      <c r="B19" s="235"/>
      <c r="C19" s="216"/>
      <c r="D19" s="252" t="s">
        <v>161</v>
      </c>
      <c r="E19" s="245" t="s">
        <v>180</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181</v>
      </c>
      <c r="AA19" s="245" t="s">
        <v>551</v>
      </c>
      <c r="AB19" s="242" t="s">
        <v>546</v>
      </c>
      <c r="AC19" s="243" t="s">
        <v>553</v>
      </c>
      <c r="AD19" s="238"/>
      <c r="AE19" s="244"/>
      <c r="AF19" s="245" t="s">
        <v>548</v>
      </c>
      <c r="AG19" s="243" t="s">
        <v>546</v>
      </c>
      <c r="AH19" s="238" t="s">
        <v>46</v>
      </c>
      <c r="AI19" s="238" t="s">
        <v>46</v>
      </c>
      <c r="AJ19" s="238" t="s">
        <v>46</v>
      </c>
      <c r="AK19" s="245" t="s">
        <v>549</v>
      </c>
      <c r="AL19" s="243" t="s">
        <v>546</v>
      </c>
      <c r="AM19" s="238" t="s">
        <v>46</v>
      </c>
      <c r="AN19" s="238" t="s">
        <v>46</v>
      </c>
      <c r="AO19" s="238" t="s">
        <v>46</v>
      </c>
      <c r="AP19" s="245" t="s">
        <v>550</v>
      </c>
      <c r="AQ19" s="238" t="s">
        <v>46</v>
      </c>
      <c r="AR19" s="240" t="s">
        <v>46</v>
      </c>
      <c r="AS19" s="240" t="s">
        <v>46</v>
      </c>
      <c r="AT19" s="240" t="s">
        <v>46</v>
      </c>
      <c r="AU19" s="246"/>
      <c r="AV19" s="251"/>
      <c r="AW19" s="420"/>
      <c r="AX19" s="420"/>
      <c r="AY19" s="421"/>
      <c r="AZ19" s="421"/>
      <c r="BA19" s="230" t="s">
        <v>538</v>
      </c>
      <c r="BB19" s="231"/>
      <c r="BC19" s="231" t="s">
        <v>458</v>
      </c>
      <c r="BD19" s="223"/>
      <c r="BE19" s="223"/>
      <c r="BF19" s="223"/>
      <c r="BG19" s="223"/>
      <c r="BH19" s="223"/>
      <c r="BI19" s="223"/>
      <c r="BJ19" s="223"/>
      <c r="BK19" s="223"/>
      <c r="BL19" s="223"/>
      <c r="BM19" s="223"/>
      <c r="BN19" s="223"/>
      <c r="BO19" s="223"/>
      <c r="BP19" s="223"/>
      <c r="BQ19" s="223"/>
      <c r="BR19" s="223"/>
      <c r="BS19" s="253"/>
      <c r="BT19" s="223"/>
      <c r="BU19" s="223"/>
      <c r="BV19" s="223"/>
      <c r="BW19" s="247"/>
    </row>
    <row r="20" spans="2:75" ht="67.150000000000006">
      <c r="B20" s="235"/>
      <c r="C20" s="254"/>
      <c r="D20" s="240" t="s">
        <v>170</v>
      </c>
      <c r="E20" s="245" t="s">
        <v>180</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181</v>
      </c>
      <c r="AA20" s="245" t="s">
        <v>554</v>
      </c>
      <c r="AB20" s="242" t="s">
        <v>546</v>
      </c>
      <c r="AC20" s="243" t="s">
        <v>555</v>
      </c>
      <c r="AD20" s="238"/>
      <c r="AE20" s="244"/>
      <c r="AF20" s="245" t="s">
        <v>548</v>
      </c>
      <c r="AG20" s="243" t="s">
        <v>546</v>
      </c>
      <c r="AH20" s="238" t="s">
        <v>46</v>
      </c>
      <c r="AI20" s="238" t="s">
        <v>46</v>
      </c>
      <c r="AJ20" s="238" t="s">
        <v>46</v>
      </c>
      <c r="AK20" s="245" t="s">
        <v>549</v>
      </c>
      <c r="AL20" s="243" t="s">
        <v>546</v>
      </c>
      <c r="AM20" s="238" t="s">
        <v>46</v>
      </c>
      <c r="AN20" s="238" t="s">
        <v>46</v>
      </c>
      <c r="AO20" s="238" t="s">
        <v>46</v>
      </c>
      <c r="AP20" s="245" t="s">
        <v>550</v>
      </c>
      <c r="AQ20" s="238" t="s">
        <v>46</v>
      </c>
      <c r="AR20" s="240" t="s">
        <v>46</v>
      </c>
      <c r="AS20" s="240" t="s">
        <v>46</v>
      </c>
      <c r="AT20" s="240" t="s">
        <v>46</v>
      </c>
      <c r="AU20" s="246"/>
      <c r="AV20" s="251"/>
      <c r="AW20" s="420"/>
      <c r="AX20" s="420"/>
      <c r="AY20" s="421"/>
      <c r="AZ20" s="421"/>
      <c r="BA20" s="230" t="s">
        <v>538</v>
      </c>
      <c r="BB20" s="231"/>
      <c r="BC20" s="231" t="s">
        <v>458</v>
      </c>
      <c r="BD20" s="223"/>
      <c r="BE20" s="223"/>
      <c r="BF20" s="223"/>
      <c r="BG20" s="223"/>
      <c r="BH20" s="223"/>
      <c r="BI20" s="223"/>
      <c r="BJ20" s="223"/>
      <c r="BK20" s="223"/>
      <c r="BL20" s="223"/>
      <c r="BM20" s="223"/>
      <c r="BN20" s="223"/>
      <c r="BO20" s="223"/>
      <c r="BP20" s="223"/>
      <c r="BQ20" s="223"/>
      <c r="BR20" s="223"/>
      <c r="BS20" s="255"/>
      <c r="BT20" s="256"/>
      <c r="BU20" s="223"/>
      <c r="BV20" s="223"/>
      <c r="BW20" s="247"/>
    </row>
    <row r="21" spans="2:75" ht="67.150000000000006">
      <c r="B21" s="235"/>
      <c r="C21" s="218"/>
      <c r="D21" s="221" t="s">
        <v>556</v>
      </c>
      <c r="E21" s="245" t="s">
        <v>180</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181</v>
      </c>
      <c r="AA21" s="245" t="s">
        <v>554</v>
      </c>
      <c r="AB21" s="242" t="s">
        <v>546</v>
      </c>
      <c r="AC21" s="243" t="s">
        <v>557</v>
      </c>
      <c r="AD21" s="238"/>
      <c r="AE21" s="244"/>
      <c r="AF21" s="245" t="s">
        <v>548</v>
      </c>
      <c r="AG21" s="243" t="s">
        <v>546</v>
      </c>
      <c r="AH21" s="238" t="s">
        <v>46</v>
      </c>
      <c r="AI21" s="238" t="s">
        <v>46</v>
      </c>
      <c r="AJ21" s="238" t="s">
        <v>46</v>
      </c>
      <c r="AK21" s="245" t="s">
        <v>549</v>
      </c>
      <c r="AL21" s="243" t="s">
        <v>546</v>
      </c>
      <c r="AM21" s="238" t="s">
        <v>46</v>
      </c>
      <c r="AN21" s="238" t="s">
        <v>46</v>
      </c>
      <c r="AO21" s="238" t="s">
        <v>46</v>
      </c>
      <c r="AP21" s="245" t="s">
        <v>550</v>
      </c>
      <c r="AQ21" s="238" t="s">
        <v>46</v>
      </c>
      <c r="AR21" s="240" t="s">
        <v>46</v>
      </c>
      <c r="AS21" s="240" t="s">
        <v>46</v>
      </c>
      <c r="AT21" s="240" t="s">
        <v>46</v>
      </c>
      <c r="AU21" s="246"/>
      <c r="AV21" s="257"/>
      <c r="AW21" s="419"/>
      <c r="AX21" s="419"/>
      <c r="AY21" s="232"/>
      <c r="AZ21" s="232"/>
      <c r="BA21" s="230" t="s">
        <v>538</v>
      </c>
      <c r="BB21" s="231"/>
      <c r="BC21" s="231" t="s">
        <v>458</v>
      </c>
      <c r="BD21" s="223"/>
      <c r="BE21" s="223"/>
      <c r="BF21" s="223"/>
      <c r="BG21" s="223"/>
      <c r="BH21" s="223"/>
      <c r="BI21" s="223"/>
      <c r="BJ21" s="223"/>
      <c r="BK21" s="223"/>
      <c r="BL21" s="223"/>
      <c r="BM21" s="223"/>
      <c r="BN21" s="223"/>
      <c r="BO21" s="223"/>
      <c r="BP21" s="223"/>
      <c r="BQ21" s="223"/>
      <c r="BR21" s="223"/>
      <c r="BS21" s="223"/>
      <c r="BT21" s="223"/>
      <c r="BU21" s="223"/>
      <c r="BV21" s="223"/>
      <c r="BW21" s="247"/>
    </row>
    <row r="22" spans="2:75" ht="409.6" customHeight="1">
      <c r="B22" s="235"/>
      <c r="C22" s="258" t="s">
        <v>170</v>
      </c>
      <c r="D22" s="259" t="s">
        <v>232</v>
      </c>
      <c r="E22" s="245" t="s">
        <v>180</v>
      </c>
      <c r="F22" s="260" t="s">
        <v>50</v>
      </c>
      <c r="G22" s="261" t="s">
        <v>50</v>
      </c>
      <c r="H22" s="261" t="s">
        <v>50</v>
      </c>
      <c r="I22" s="262" t="s">
        <v>50</v>
      </c>
      <c r="J22" s="263" t="s">
        <v>50</v>
      </c>
      <c r="K22" s="261" t="s">
        <v>50</v>
      </c>
      <c r="L22" s="261" t="s">
        <v>50</v>
      </c>
      <c r="M22" s="261" t="s">
        <v>50</v>
      </c>
      <c r="N22" s="262" t="s">
        <v>50</v>
      </c>
      <c r="O22" s="263" t="s">
        <v>50</v>
      </c>
      <c r="P22" s="261" t="s">
        <v>50</v>
      </c>
      <c r="Q22" s="261" t="s">
        <v>50</v>
      </c>
      <c r="R22" s="261" t="s">
        <v>50</v>
      </c>
      <c r="S22" s="262" t="s">
        <v>50</v>
      </c>
      <c r="T22" s="263" t="s">
        <v>50</v>
      </c>
      <c r="U22" s="261" t="s">
        <v>50</v>
      </c>
      <c r="V22" s="261" t="s">
        <v>50</v>
      </c>
      <c r="W22" s="261" t="s">
        <v>50</v>
      </c>
      <c r="X22" s="262" t="s">
        <v>50</v>
      </c>
      <c r="Y22" s="249" t="s">
        <v>44</v>
      </c>
      <c r="Z22" s="528" t="s">
        <v>181</v>
      </c>
      <c r="AA22" s="264" t="s">
        <v>558</v>
      </c>
      <c r="AB22" s="265" t="s">
        <v>559</v>
      </c>
      <c r="AC22" s="243" t="s">
        <v>560</v>
      </c>
      <c r="AD22" s="261"/>
      <c r="AE22" s="266"/>
      <c r="AF22" s="264" t="s">
        <v>561</v>
      </c>
      <c r="AG22" s="243" t="s">
        <v>559</v>
      </c>
      <c r="AH22" s="238" t="s">
        <v>46</v>
      </c>
      <c r="AI22" s="238" t="s">
        <v>46</v>
      </c>
      <c r="AJ22" s="238" t="s">
        <v>46</v>
      </c>
      <c r="AK22" s="264" t="s">
        <v>562</v>
      </c>
      <c r="AL22" s="243" t="s">
        <v>559</v>
      </c>
      <c r="AM22" s="238" t="s">
        <v>46</v>
      </c>
      <c r="AN22" s="238" t="s">
        <v>46</v>
      </c>
      <c r="AO22" s="238" t="s">
        <v>46</v>
      </c>
      <c r="AP22" s="264" t="s">
        <v>563</v>
      </c>
      <c r="AQ22" s="238" t="s">
        <v>46</v>
      </c>
      <c r="AR22" s="240" t="s">
        <v>46</v>
      </c>
      <c r="AS22" s="240" t="s">
        <v>46</v>
      </c>
      <c r="AT22" s="240" t="s">
        <v>46</v>
      </c>
      <c r="AU22" s="267"/>
      <c r="AV22" s="1056" t="s">
        <v>239</v>
      </c>
      <c r="AW22" s="268" t="s">
        <v>46</v>
      </c>
      <c r="AX22" s="269" t="s">
        <v>46</v>
      </c>
      <c r="AY22" s="270" t="s">
        <v>46</v>
      </c>
      <c r="AZ22" s="271" t="s">
        <v>240</v>
      </c>
      <c r="BA22" s="230" t="s">
        <v>538</v>
      </c>
      <c r="BB22" s="231"/>
      <c r="BC22" s="231" t="s">
        <v>458</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4"/>
      <c r="D23" s="240" t="s">
        <v>241</v>
      </c>
      <c r="E23" s="245" t="s">
        <v>180</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181</v>
      </c>
      <c r="AA23" s="264" t="s">
        <v>558</v>
      </c>
      <c r="AB23" s="242" t="s">
        <v>564</v>
      </c>
      <c r="AC23" s="243" t="s">
        <v>565</v>
      </c>
      <c r="AD23" s="238"/>
      <c r="AE23" s="244"/>
      <c r="AF23" s="264" t="s">
        <v>561</v>
      </c>
      <c r="AG23" s="243" t="s">
        <v>564</v>
      </c>
      <c r="AH23" s="238" t="s">
        <v>46</v>
      </c>
      <c r="AI23" s="238" t="s">
        <v>46</v>
      </c>
      <c r="AJ23" s="238" t="s">
        <v>46</v>
      </c>
      <c r="AK23" s="264" t="s">
        <v>562</v>
      </c>
      <c r="AL23" s="243" t="s">
        <v>564</v>
      </c>
      <c r="AM23" s="238" t="s">
        <v>46</v>
      </c>
      <c r="AN23" s="238" t="s">
        <v>46</v>
      </c>
      <c r="AO23" s="238" t="s">
        <v>46</v>
      </c>
      <c r="AP23" s="264" t="s">
        <v>563</v>
      </c>
      <c r="AQ23" s="238" t="s">
        <v>46</v>
      </c>
      <c r="AR23" s="240" t="s">
        <v>46</v>
      </c>
      <c r="AS23" s="240" t="s">
        <v>46</v>
      </c>
      <c r="AT23" s="240" t="s">
        <v>46</v>
      </c>
      <c r="AU23" s="246"/>
      <c r="AV23" s="1167"/>
      <c r="AW23" s="484" t="s">
        <v>248</v>
      </c>
      <c r="AX23" s="269" t="s">
        <v>46</v>
      </c>
      <c r="AY23" s="270" t="s">
        <v>46</v>
      </c>
      <c r="AZ23" s="485" t="s">
        <v>249</v>
      </c>
      <c r="BA23" s="230" t="s">
        <v>538</v>
      </c>
      <c r="BB23" s="231"/>
      <c r="BC23" s="231" t="s">
        <v>458</v>
      </c>
      <c r="BD23" s="223"/>
      <c r="BE23" s="223"/>
      <c r="BF23" s="223"/>
      <c r="BG23" s="223"/>
      <c r="BH23" s="223"/>
      <c r="BI23" s="223"/>
      <c r="BJ23" s="223"/>
      <c r="BK23" s="223"/>
      <c r="BL23" s="223"/>
      <c r="BM23" s="223"/>
      <c r="BN23" s="223"/>
      <c r="BO23" s="223"/>
      <c r="BP23" s="223"/>
      <c r="BQ23" s="223"/>
      <c r="BR23" s="223"/>
      <c r="BS23" s="223"/>
      <c r="BT23" s="223"/>
      <c r="BU23" s="223"/>
      <c r="BV23" s="223"/>
      <c r="BW23" s="247"/>
    </row>
    <row r="24" spans="2:75" ht="409.6" customHeight="1">
      <c r="B24" s="235"/>
      <c r="C24" s="216"/>
      <c r="D24" s="221" t="s">
        <v>250</v>
      </c>
      <c r="E24" s="245" t="s">
        <v>180</v>
      </c>
      <c r="F24" s="258" t="s">
        <v>50</v>
      </c>
      <c r="G24" s="272" t="s">
        <v>50</v>
      </c>
      <c r="H24" s="272" t="s">
        <v>50</v>
      </c>
      <c r="I24" s="248" t="s">
        <v>50</v>
      </c>
      <c r="J24" s="273" t="s">
        <v>50</v>
      </c>
      <c r="K24" s="272" t="s">
        <v>50</v>
      </c>
      <c r="L24" s="272" t="s">
        <v>50</v>
      </c>
      <c r="M24" s="272" t="s">
        <v>50</v>
      </c>
      <c r="N24" s="248" t="s">
        <v>50</v>
      </c>
      <c r="O24" s="273" t="s">
        <v>50</v>
      </c>
      <c r="P24" s="272" t="s">
        <v>50</v>
      </c>
      <c r="Q24" s="272" t="s">
        <v>50</v>
      </c>
      <c r="R24" s="272" t="s">
        <v>50</v>
      </c>
      <c r="S24" s="248" t="s">
        <v>50</v>
      </c>
      <c r="T24" s="273" t="s">
        <v>50</v>
      </c>
      <c r="U24" s="272" t="s">
        <v>50</v>
      </c>
      <c r="V24" s="272" t="s">
        <v>50</v>
      </c>
      <c r="W24" s="272" t="s">
        <v>50</v>
      </c>
      <c r="X24" s="248" t="s">
        <v>50</v>
      </c>
      <c r="Y24" s="249" t="s">
        <v>44</v>
      </c>
      <c r="Z24" s="528" t="s">
        <v>181</v>
      </c>
      <c r="AA24" s="264" t="s">
        <v>558</v>
      </c>
      <c r="AB24" s="270" t="s">
        <v>566</v>
      </c>
      <c r="AC24" s="269" t="s">
        <v>567</v>
      </c>
      <c r="AD24" s="272"/>
      <c r="AE24" s="274"/>
      <c r="AF24" s="264" t="s">
        <v>561</v>
      </c>
      <c r="AG24" s="243" t="s">
        <v>566</v>
      </c>
      <c r="AH24" s="238" t="s">
        <v>46</v>
      </c>
      <c r="AI24" s="238" t="s">
        <v>46</v>
      </c>
      <c r="AJ24" s="238" t="s">
        <v>46</v>
      </c>
      <c r="AK24" s="264" t="s">
        <v>562</v>
      </c>
      <c r="AL24" s="243" t="s">
        <v>566</v>
      </c>
      <c r="AM24" s="238" t="s">
        <v>46</v>
      </c>
      <c r="AN24" s="238" t="s">
        <v>46</v>
      </c>
      <c r="AO24" s="238" t="s">
        <v>46</v>
      </c>
      <c r="AP24" s="264" t="s">
        <v>563</v>
      </c>
      <c r="AQ24" s="238" t="s">
        <v>46</v>
      </c>
      <c r="AR24" s="240" t="s">
        <v>46</v>
      </c>
      <c r="AS24" s="240" t="s">
        <v>46</v>
      </c>
      <c r="AT24" s="240" t="s">
        <v>46</v>
      </c>
      <c r="AU24" s="275"/>
      <c r="AV24" s="1167"/>
      <c r="AW24" s="268" t="s">
        <v>46</v>
      </c>
      <c r="AX24" s="269" t="s">
        <v>257</v>
      </c>
      <c r="AY24" s="290" t="s">
        <v>258</v>
      </c>
      <c r="AZ24" s="290" t="s">
        <v>259</v>
      </c>
      <c r="BA24" s="230" t="s">
        <v>538</v>
      </c>
      <c r="BB24" s="231"/>
      <c r="BC24" s="231" t="s">
        <v>458</v>
      </c>
      <c r="BD24" s="223"/>
      <c r="BE24" s="223"/>
      <c r="BF24" s="223"/>
      <c r="BG24" s="223"/>
      <c r="BH24" s="223"/>
      <c r="BI24" s="223"/>
      <c r="BJ24" s="223"/>
      <c r="BK24" s="223"/>
      <c r="BL24" s="223"/>
      <c r="BM24" s="223"/>
      <c r="BN24" s="223"/>
      <c r="BO24" s="223"/>
      <c r="BP24" s="223"/>
      <c r="BQ24" s="223"/>
      <c r="BR24" s="223"/>
      <c r="BS24" s="223"/>
      <c r="BT24" s="223"/>
      <c r="BU24" s="223"/>
      <c r="BV24" s="223"/>
      <c r="BW24" s="247"/>
    </row>
    <row r="25" spans="2:75" ht="409.6" customHeight="1">
      <c r="B25" s="235"/>
      <c r="C25" s="258" t="s">
        <v>260</v>
      </c>
      <c r="D25" s="252" t="s">
        <v>261</v>
      </c>
      <c r="E25" s="276" t="s">
        <v>150</v>
      </c>
      <c r="F25" s="237" t="s">
        <v>262</v>
      </c>
      <c r="G25" s="238" t="s">
        <v>263</v>
      </c>
      <c r="H25" s="238" t="s">
        <v>264</v>
      </c>
      <c r="I25" s="236" t="s">
        <v>46</v>
      </c>
      <c r="J25" s="239" t="s">
        <v>46</v>
      </c>
      <c r="K25" s="237" t="s">
        <v>46</v>
      </c>
      <c r="L25" s="237" t="s">
        <v>46</v>
      </c>
      <c r="M25" s="237" t="s">
        <v>46</v>
      </c>
      <c r="N25" s="240" t="s">
        <v>46</v>
      </c>
      <c r="O25" s="239" t="s">
        <v>46</v>
      </c>
      <c r="P25" s="237" t="s">
        <v>46</v>
      </c>
      <c r="Q25" s="237" t="s">
        <v>46</v>
      </c>
      <c r="R25" s="237" t="s">
        <v>46</v>
      </c>
      <c r="S25" s="240" t="s">
        <v>46</v>
      </c>
      <c r="T25" s="239" t="s">
        <v>46</v>
      </c>
      <c r="U25" s="237" t="s">
        <v>46</v>
      </c>
      <c r="V25" s="237" t="s">
        <v>46</v>
      </c>
      <c r="W25" s="237" t="s">
        <v>46</v>
      </c>
      <c r="X25" s="240" t="s">
        <v>46</v>
      </c>
      <c r="Y25" s="249" t="s">
        <v>127</v>
      </c>
      <c r="Z25" s="527" t="s">
        <v>128</v>
      </c>
      <c r="AA25" s="1057" t="s">
        <v>568</v>
      </c>
      <c r="AB25" s="242" t="s">
        <v>262</v>
      </c>
      <c r="AC25" s="243" t="s">
        <v>263</v>
      </c>
      <c r="AD25" s="238" t="s">
        <v>264</v>
      </c>
      <c r="AE25" s="244" t="s">
        <v>46</v>
      </c>
      <c r="AF25" s="245" t="s">
        <v>569</v>
      </c>
      <c r="AG25" s="242" t="s">
        <v>262</v>
      </c>
      <c r="AH25" s="237" t="s">
        <v>46</v>
      </c>
      <c r="AI25" s="237" t="s">
        <v>46</v>
      </c>
      <c r="AJ25" s="240" t="s">
        <v>46</v>
      </c>
      <c r="AK25" s="245" t="s">
        <v>570</v>
      </c>
      <c r="AL25" s="242" t="s">
        <v>262</v>
      </c>
      <c r="AM25" s="237" t="s">
        <v>46</v>
      </c>
      <c r="AN25" s="237" t="s">
        <v>46</v>
      </c>
      <c r="AO25" s="240" t="s">
        <v>46</v>
      </c>
      <c r="AP25" s="245" t="s">
        <v>571</v>
      </c>
      <c r="AQ25" s="237" t="s">
        <v>46</v>
      </c>
      <c r="AR25" s="237" t="s">
        <v>46</v>
      </c>
      <c r="AS25" s="237" t="s">
        <v>46</v>
      </c>
      <c r="AT25" s="240" t="s">
        <v>46</v>
      </c>
      <c r="AU25" s="246"/>
      <c r="AV25" s="1058" t="s">
        <v>275</v>
      </c>
      <c r="AW25" s="269" t="s">
        <v>46</v>
      </c>
      <c r="AX25" s="270" t="s">
        <v>46</v>
      </c>
      <c r="AY25" s="270" t="s">
        <v>46</v>
      </c>
      <c r="AZ25" s="1064" t="s">
        <v>276</v>
      </c>
      <c r="BA25" s="230" t="s">
        <v>538</v>
      </c>
      <c r="BB25" s="231"/>
      <c r="BC25" s="231" t="s">
        <v>458</v>
      </c>
      <c r="BD25" s="223"/>
      <c r="BE25" s="223"/>
      <c r="BF25" s="223"/>
      <c r="BG25" s="223"/>
      <c r="BH25" s="223"/>
      <c r="BI25" s="223"/>
      <c r="BJ25" s="223"/>
      <c r="BK25" s="223"/>
      <c r="BL25" s="223"/>
      <c r="BM25" s="223"/>
      <c r="BN25" s="223"/>
      <c r="BO25" s="223"/>
      <c r="BP25" s="223"/>
      <c r="BQ25" s="223"/>
      <c r="BR25" s="223"/>
      <c r="BS25" s="223"/>
      <c r="BT25" s="223"/>
      <c r="BU25" s="223"/>
      <c r="BV25" s="223"/>
      <c r="BW25" s="247"/>
    </row>
    <row r="26" spans="2:75" ht="409.6" customHeight="1">
      <c r="B26" s="235"/>
      <c r="C26" s="216"/>
      <c r="D26" s="221"/>
      <c r="E26" s="276" t="s">
        <v>150</v>
      </c>
      <c r="F26" s="237" t="s">
        <v>277</v>
      </c>
      <c r="G26" s="238" t="s">
        <v>50</v>
      </c>
      <c r="H26" s="238" t="s">
        <v>50</v>
      </c>
      <c r="I26" s="236" t="s">
        <v>50</v>
      </c>
      <c r="J26" s="239" t="s">
        <v>50</v>
      </c>
      <c r="K26" s="238" t="s">
        <v>50</v>
      </c>
      <c r="L26" s="238" t="s">
        <v>50</v>
      </c>
      <c r="M26" s="238" t="s">
        <v>50</v>
      </c>
      <c r="N26" s="236" t="s">
        <v>50</v>
      </c>
      <c r="O26" s="239" t="s">
        <v>50</v>
      </c>
      <c r="P26" s="238" t="s">
        <v>50</v>
      </c>
      <c r="Q26" s="238" t="s">
        <v>50</v>
      </c>
      <c r="R26" s="238" t="s">
        <v>50</v>
      </c>
      <c r="S26" s="236" t="s">
        <v>50</v>
      </c>
      <c r="T26" s="239" t="s">
        <v>50</v>
      </c>
      <c r="U26" s="238" t="s">
        <v>50</v>
      </c>
      <c r="V26" s="238" t="s">
        <v>50</v>
      </c>
      <c r="W26" s="238" t="s">
        <v>50</v>
      </c>
      <c r="X26" s="236" t="s">
        <v>50</v>
      </c>
      <c r="Y26" s="249" t="s">
        <v>45</v>
      </c>
      <c r="Z26" s="527" t="s">
        <v>278</v>
      </c>
      <c r="AA26" s="1168"/>
      <c r="AB26" s="242" t="s">
        <v>572</v>
      </c>
      <c r="AC26" s="243" t="s">
        <v>573</v>
      </c>
      <c r="AD26" s="238"/>
      <c r="AE26" s="244"/>
      <c r="AF26" s="245" t="s">
        <v>569</v>
      </c>
      <c r="AG26" s="243" t="s">
        <v>572</v>
      </c>
      <c r="AH26" s="238" t="s">
        <v>46</v>
      </c>
      <c r="AI26" s="238" t="s">
        <v>46</v>
      </c>
      <c r="AJ26" s="236" t="s">
        <v>46</v>
      </c>
      <c r="AK26" s="245" t="s">
        <v>570</v>
      </c>
      <c r="AL26" s="242" t="s">
        <v>572</v>
      </c>
      <c r="AM26" s="237" t="s">
        <v>46</v>
      </c>
      <c r="AN26" s="237" t="s">
        <v>46</v>
      </c>
      <c r="AO26" s="240" t="s">
        <v>46</v>
      </c>
      <c r="AP26" s="245" t="s">
        <v>571</v>
      </c>
      <c r="AQ26" s="237" t="s">
        <v>46</v>
      </c>
      <c r="AR26" s="237" t="s">
        <v>46</v>
      </c>
      <c r="AS26" s="237" t="s">
        <v>46</v>
      </c>
      <c r="AT26" s="240" t="s">
        <v>46</v>
      </c>
      <c r="AU26" s="246"/>
      <c r="AV26" s="1167"/>
      <c r="AW26" s="226"/>
      <c r="AX26" s="225"/>
      <c r="AY26" s="225"/>
      <c r="AZ26" s="1169"/>
      <c r="BA26" s="230" t="s">
        <v>538</v>
      </c>
      <c r="BB26" s="231"/>
      <c r="BC26" s="231" t="s">
        <v>458</v>
      </c>
      <c r="BD26" s="223"/>
      <c r="BE26" s="223"/>
      <c r="BF26" s="223"/>
      <c r="BG26" s="223"/>
      <c r="BH26" s="223"/>
      <c r="BI26" s="223"/>
      <c r="BJ26" s="223"/>
      <c r="BK26" s="223"/>
      <c r="BL26" s="223"/>
      <c r="BM26" s="223"/>
      <c r="BN26" s="223"/>
      <c r="BO26" s="223"/>
      <c r="BP26" s="223"/>
      <c r="BQ26" s="223"/>
      <c r="BR26" s="223"/>
      <c r="BS26" s="223"/>
      <c r="BT26" s="223"/>
      <c r="BU26" s="223"/>
      <c r="BV26" s="223"/>
      <c r="BW26" s="247"/>
    </row>
    <row r="27" spans="2:75" ht="409.6" customHeight="1">
      <c r="B27" s="235"/>
      <c r="C27" s="216"/>
      <c r="D27" s="252" t="s">
        <v>284</v>
      </c>
      <c r="E27" s="279" t="s">
        <v>285</v>
      </c>
      <c r="F27" s="280" t="s">
        <v>50</v>
      </c>
      <c r="G27" s="281" t="s">
        <v>50</v>
      </c>
      <c r="H27" s="281" t="s">
        <v>50</v>
      </c>
      <c r="I27" s="282" t="s">
        <v>50</v>
      </c>
      <c r="J27" s="283" t="s">
        <v>50</v>
      </c>
      <c r="K27" s="281" t="s">
        <v>50</v>
      </c>
      <c r="L27" s="281" t="s">
        <v>50</v>
      </c>
      <c r="M27" s="281" t="s">
        <v>50</v>
      </c>
      <c r="N27" s="282" t="s">
        <v>50</v>
      </c>
      <c r="O27" s="283" t="s">
        <v>50</v>
      </c>
      <c r="P27" s="281" t="s">
        <v>50</v>
      </c>
      <c r="Q27" s="281" t="s">
        <v>50</v>
      </c>
      <c r="R27" s="281" t="s">
        <v>50</v>
      </c>
      <c r="S27" s="282" t="s">
        <v>50</v>
      </c>
      <c r="T27" s="283" t="s">
        <v>50</v>
      </c>
      <c r="U27" s="281" t="s">
        <v>50</v>
      </c>
      <c r="V27" s="281" t="s">
        <v>50</v>
      </c>
      <c r="W27" s="281" t="s">
        <v>50</v>
      </c>
      <c r="X27" s="282" t="s">
        <v>50</v>
      </c>
      <c r="Y27" s="284" t="s">
        <v>44</v>
      </c>
      <c r="Z27" s="529" t="s">
        <v>181</v>
      </c>
      <c r="AA27" s="279" t="s">
        <v>568</v>
      </c>
      <c r="AB27" s="286" t="s">
        <v>574</v>
      </c>
      <c r="AC27" s="287" t="s">
        <v>575</v>
      </c>
      <c r="AD27" s="281"/>
      <c r="AE27" s="288"/>
      <c r="AF27" s="279" t="s">
        <v>569</v>
      </c>
      <c r="AG27" s="287" t="s">
        <v>574</v>
      </c>
      <c r="AH27" s="281" t="s">
        <v>46</v>
      </c>
      <c r="AI27" s="281" t="s">
        <v>46</v>
      </c>
      <c r="AJ27" s="282" t="s">
        <v>46</v>
      </c>
      <c r="AK27" s="279" t="s">
        <v>576</v>
      </c>
      <c r="AL27" s="287" t="s">
        <v>574</v>
      </c>
      <c r="AM27" s="281" t="s">
        <v>46</v>
      </c>
      <c r="AN27" s="281" t="s">
        <v>46</v>
      </c>
      <c r="AO27" s="282" t="s">
        <v>46</v>
      </c>
      <c r="AP27" s="279" t="s">
        <v>50</v>
      </c>
      <c r="AQ27" s="281" t="s">
        <v>50</v>
      </c>
      <c r="AR27" s="281" t="s">
        <v>50</v>
      </c>
      <c r="AS27" s="281" t="s">
        <v>50</v>
      </c>
      <c r="AT27" s="282" t="s">
        <v>50</v>
      </c>
      <c r="AU27" s="289"/>
      <c r="AV27" s="1170"/>
      <c r="AW27" s="269" t="s">
        <v>46</v>
      </c>
      <c r="AX27" s="270" t="s">
        <v>46</v>
      </c>
      <c r="AY27" s="270" t="s">
        <v>288</v>
      </c>
      <c r="AZ27" s="290" t="s">
        <v>289</v>
      </c>
      <c r="BA27" s="291" t="s">
        <v>538</v>
      </c>
      <c r="BB27" s="292"/>
      <c r="BC27" s="292" t="s">
        <v>458</v>
      </c>
      <c r="BD27" s="293"/>
      <c r="BE27" s="293"/>
      <c r="BF27" s="293"/>
      <c r="BG27" s="293"/>
      <c r="BH27" s="293"/>
      <c r="BI27" s="293"/>
      <c r="BJ27" s="293"/>
      <c r="BK27" s="293"/>
      <c r="BL27" s="293"/>
      <c r="BM27" s="293"/>
      <c r="BN27" s="293"/>
      <c r="BO27" s="293"/>
      <c r="BP27" s="293"/>
      <c r="BQ27" s="293"/>
      <c r="BR27" s="293"/>
      <c r="BS27" s="293"/>
      <c r="BT27" s="293"/>
      <c r="BU27" s="293"/>
      <c r="BV27" s="293"/>
      <c r="BW27" s="294"/>
    </row>
    <row r="28" spans="2:75" ht="134.44999999999999">
      <c r="B28" s="317" t="s">
        <v>290</v>
      </c>
      <c r="C28" s="295" t="s">
        <v>291</v>
      </c>
      <c r="D28" s="318" t="s">
        <v>577</v>
      </c>
      <c r="E28" s="224" t="s">
        <v>150</v>
      </c>
      <c r="F28" s="218" t="s">
        <v>293</v>
      </c>
      <c r="G28" s="225" t="s">
        <v>294</v>
      </c>
      <c r="H28" s="219" t="s">
        <v>125</v>
      </c>
      <c r="I28" s="217" t="s">
        <v>295</v>
      </c>
      <c r="J28" s="222" t="s">
        <v>46</v>
      </c>
      <c r="K28" s="218" t="s">
        <v>46</v>
      </c>
      <c r="L28" s="221" t="s">
        <v>46</v>
      </c>
      <c r="M28" s="221" t="s">
        <v>46</v>
      </c>
      <c r="N28" s="221" t="s">
        <v>46</v>
      </c>
      <c r="O28" s="222" t="s">
        <v>46</v>
      </c>
      <c r="P28" s="221" t="s">
        <v>46</v>
      </c>
      <c r="Q28" s="221" t="s">
        <v>46</v>
      </c>
      <c r="R28" s="221" t="s">
        <v>46</v>
      </c>
      <c r="S28" s="221" t="s">
        <v>46</v>
      </c>
      <c r="T28" s="222" t="s">
        <v>46</v>
      </c>
      <c r="U28" s="221" t="s">
        <v>46</v>
      </c>
      <c r="V28" s="221" t="s">
        <v>46</v>
      </c>
      <c r="W28" s="221" t="s">
        <v>46</v>
      </c>
      <c r="X28" s="221" t="s">
        <v>46</v>
      </c>
      <c r="Y28" s="296" t="s">
        <v>127</v>
      </c>
      <c r="Z28" s="527" t="s">
        <v>304</v>
      </c>
      <c r="AA28" s="224" t="s">
        <v>578</v>
      </c>
      <c r="AB28" s="225" t="s">
        <v>579</v>
      </c>
      <c r="AC28" s="226" t="s">
        <v>580</v>
      </c>
      <c r="AD28" s="219" t="s">
        <v>125</v>
      </c>
      <c r="AE28" s="227" t="s">
        <v>295</v>
      </c>
      <c r="AF28" s="228" t="s">
        <v>581</v>
      </c>
      <c r="AG28" s="225" t="s">
        <v>579</v>
      </c>
      <c r="AH28" s="221" t="s">
        <v>46</v>
      </c>
      <c r="AI28" s="221" t="s">
        <v>46</v>
      </c>
      <c r="AJ28" s="221" t="s">
        <v>46</v>
      </c>
      <c r="AK28" s="228" t="s">
        <v>582</v>
      </c>
      <c r="AL28" s="297" t="s">
        <v>579</v>
      </c>
      <c r="AM28" s="221" t="s">
        <v>46</v>
      </c>
      <c r="AN28" s="221" t="s">
        <v>46</v>
      </c>
      <c r="AO28" s="221" t="s">
        <v>46</v>
      </c>
      <c r="AP28" s="228" t="s">
        <v>583</v>
      </c>
      <c r="AQ28" s="221" t="s">
        <v>46</v>
      </c>
      <c r="AR28" s="221" t="s">
        <v>46</v>
      </c>
      <c r="AS28" s="221" t="s">
        <v>46</v>
      </c>
      <c r="AT28" s="221" t="s">
        <v>46</v>
      </c>
      <c r="AU28" s="229"/>
      <c r="AV28" s="298" t="s">
        <v>298</v>
      </c>
      <c r="AW28" s="299" t="s">
        <v>46</v>
      </c>
      <c r="AX28" s="299" t="s">
        <v>299</v>
      </c>
      <c r="AY28" s="299" t="s">
        <v>300</v>
      </c>
      <c r="AZ28" s="300" t="s">
        <v>46</v>
      </c>
      <c r="BA28" s="301" t="s">
        <v>301</v>
      </c>
      <c r="BB28" s="302"/>
      <c r="BC28" s="302" t="s">
        <v>458</v>
      </c>
      <c r="BD28" s="302"/>
      <c r="BE28" s="302"/>
      <c r="BF28" s="302"/>
      <c r="BG28" s="302"/>
      <c r="BH28" s="302"/>
      <c r="BI28" s="302"/>
      <c r="BJ28" s="302"/>
      <c r="BK28" s="302"/>
      <c r="BL28" s="302"/>
      <c r="BM28" s="302"/>
      <c r="BN28" s="302"/>
      <c r="BO28" s="302"/>
      <c r="BP28" s="302"/>
      <c r="BQ28" s="302"/>
      <c r="BR28" s="302"/>
      <c r="BS28" s="302"/>
      <c r="BT28" s="302"/>
      <c r="BU28" s="302"/>
      <c r="BV28" s="302"/>
      <c r="BW28" s="303"/>
    </row>
    <row r="29" spans="2:75" ht="134.44999999999999">
      <c r="B29" s="417"/>
      <c r="C29" s="254"/>
      <c r="D29" s="221" t="s">
        <v>584</v>
      </c>
      <c r="E29" s="224" t="s">
        <v>150</v>
      </c>
      <c r="F29" s="218" t="s">
        <v>293</v>
      </c>
      <c r="G29" s="225" t="s">
        <v>294</v>
      </c>
      <c r="H29" s="219" t="s">
        <v>125</v>
      </c>
      <c r="I29" s="217" t="s">
        <v>295</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127</v>
      </c>
      <c r="Z29" s="527" t="s">
        <v>304</v>
      </c>
      <c r="AA29" s="224"/>
      <c r="AB29" s="225"/>
      <c r="AC29" s="226"/>
      <c r="AD29" s="219"/>
      <c r="AE29" s="227"/>
      <c r="AF29" s="228"/>
      <c r="AG29" s="225"/>
      <c r="AH29" s="221"/>
      <c r="AI29" s="221"/>
      <c r="AJ29" s="221"/>
      <c r="AK29" s="228"/>
      <c r="AL29" s="297"/>
      <c r="AM29" s="221"/>
      <c r="AN29" s="221"/>
      <c r="AO29" s="221"/>
      <c r="AP29" s="228"/>
      <c r="AQ29" s="221"/>
      <c r="AR29" s="221"/>
      <c r="AS29" s="221"/>
      <c r="AT29" s="221"/>
      <c r="AU29" s="229"/>
      <c r="AV29" s="298"/>
      <c r="AW29" s="268"/>
      <c r="AX29" s="304"/>
      <c r="AY29" s="304"/>
      <c r="AZ29" s="271"/>
      <c r="BA29" s="301"/>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3"/>
    </row>
    <row r="30" spans="2:75" ht="67.150000000000006">
      <c r="B30" s="417"/>
      <c r="C30" s="221"/>
      <c r="D30" s="221" t="s">
        <v>306</v>
      </c>
      <c r="E30" s="224" t="s">
        <v>150</v>
      </c>
      <c r="F30" s="218" t="s">
        <v>293</v>
      </c>
      <c r="G30" s="225" t="s">
        <v>307</v>
      </c>
      <c r="H30" s="219" t="s">
        <v>125</v>
      </c>
      <c r="I30" s="217" t="s">
        <v>295</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127</v>
      </c>
      <c r="Z30" s="527" t="s">
        <v>304</v>
      </c>
      <c r="AA30" s="224"/>
      <c r="AB30" s="225"/>
      <c r="AC30" s="226"/>
      <c r="AD30" s="219"/>
      <c r="AE30" s="227"/>
      <c r="AF30" s="228"/>
      <c r="AG30" s="225"/>
      <c r="AH30" s="221"/>
      <c r="AI30" s="221"/>
      <c r="AJ30" s="221"/>
      <c r="AK30" s="228"/>
      <c r="AL30" s="297"/>
      <c r="AM30" s="221"/>
      <c r="AN30" s="221"/>
      <c r="AO30" s="221"/>
      <c r="AP30" s="228"/>
      <c r="AQ30" s="221"/>
      <c r="AR30" s="221"/>
      <c r="AS30" s="221"/>
      <c r="AT30" s="221"/>
      <c r="AU30" s="229"/>
      <c r="AV30" s="298"/>
      <c r="AW30" s="268"/>
      <c r="AX30" s="304"/>
      <c r="AY30" s="304"/>
      <c r="AZ30" s="271"/>
      <c r="BA30" s="301"/>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3"/>
    </row>
    <row r="31" spans="2:75" ht="100.9">
      <c r="B31" s="235"/>
      <c r="C31" s="252" t="s">
        <v>309</v>
      </c>
      <c r="D31" s="240" t="s">
        <v>310</v>
      </c>
      <c r="E31" s="224" t="s">
        <v>150</v>
      </c>
      <c r="F31" s="237" t="s">
        <v>123</v>
      </c>
      <c r="G31" s="242" t="s">
        <v>311</v>
      </c>
      <c r="H31" s="238" t="s">
        <v>125</v>
      </c>
      <c r="I31" s="236" t="s">
        <v>133</v>
      </c>
      <c r="J31" s="241" t="s">
        <v>46</v>
      </c>
      <c r="K31" s="237" t="s">
        <v>46</v>
      </c>
      <c r="L31" s="240" t="s">
        <v>46</v>
      </c>
      <c r="M31" s="240" t="s">
        <v>46</v>
      </c>
      <c r="N31" s="240" t="s">
        <v>46</v>
      </c>
      <c r="O31" s="241" t="s">
        <v>46</v>
      </c>
      <c r="P31" s="240" t="s">
        <v>46</v>
      </c>
      <c r="Q31" s="240" t="s">
        <v>46</v>
      </c>
      <c r="R31" s="240" t="s">
        <v>46</v>
      </c>
      <c r="S31" s="240" t="s">
        <v>46</v>
      </c>
      <c r="T31" s="241" t="s">
        <v>46</v>
      </c>
      <c r="U31" s="240" t="s">
        <v>46</v>
      </c>
      <c r="V31" s="240" t="s">
        <v>46</v>
      </c>
      <c r="W31" s="240" t="s">
        <v>46</v>
      </c>
      <c r="X31" s="240" t="s">
        <v>46</v>
      </c>
      <c r="Y31" s="249" t="s">
        <v>42</v>
      </c>
      <c r="Z31" s="223" t="s">
        <v>312</v>
      </c>
      <c r="AA31" s="224" t="s">
        <v>585</v>
      </c>
      <c r="AB31" s="242" t="s">
        <v>586</v>
      </c>
      <c r="AC31" s="243" t="s">
        <v>587</v>
      </c>
      <c r="AD31" s="238" t="s">
        <v>125</v>
      </c>
      <c r="AE31" s="244" t="s">
        <v>133</v>
      </c>
      <c r="AF31" s="305" t="s">
        <v>581</v>
      </c>
      <c r="AG31" s="242" t="s">
        <v>586</v>
      </c>
      <c r="AH31" s="240" t="s">
        <v>46</v>
      </c>
      <c r="AI31" s="240" t="s">
        <v>46</v>
      </c>
      <c r="AJ31" s="240" t="s">
        <v>46</v>
      </c>
      <c r="AK31" s="228" t="s">
        <v>582</v>
      </c>
      <c r="AL31" s="306" t="s">
        <v>586</v>
      </c>
      <c r="AM31" s="240" t="s">
        <v>46</v>
      </c>
      <c r="AN31" s="240" t="s">
        <v>46</v>
      </c>
      <c r="AO31" s="240" t="s">
        <v>46</v>
      </c>
      <c r="AP31" s="305" t="s">
        <v>583</v>
      </c>
      <c r="AQ31" s="240" t="s">
        <v>46</v>
      </c>
      <c r="AR31" s="240" t="s">
        <v>46</v>
      </c>
      <c r="AS31" s="240" t="s">
        <v>46</v>
      </c>
      <c r="AT31" s="240" t="s">
        <v>46</v>
      </c>
      <c r="AU31" s="246"/>
      <c r="AV31" s="298"/>
      <c r="AW31" s="483" t="s">
        <v>46</v>
      </c>
      <c r="AX31" s="500" t="s">
        <v>46</v>
      </c>
      <c r="AY31" s="500" t="s">
        <v>316</v>
      </c>
      <c r="AZ31" s="501" t="s">
        <v>317</v>
      </c>
      <c r="BA31" s="307" t="s">
        <v>301</v>
      </c>
      <c r="BB31" s="308"/>
      <c r="BC31" s="308" t="s">
        <v>458</v>
      </c>
      <c r="BD31" s="308"/>
      <c r="BE31" s="308"/>
      <c r="BF31" s="308"/>
      <c r="BG31" s="308"/>
      <c r="BH31" s="308"/>
      <c r="BI31" s="308"/>
      <c r="BJ31" s="308"/>
      <c r="BK31" s="308"/>
      <c r="BL31" s="308"/>
      <c r="BM31" s="308"/>
      <c r="BN31" s="308"/>
      <c r="BO31" s="308"/>
      <c r="BP31" s="308"/>
      <c r="BQ31" s="308"/>
      <c r="BR31" s="308"/>
      <c r="BS31" s="308"/>
      <c r="BT31" s="308"/>
      <c r="BU31" s="308"/>
      <c r="BV31" s="308"/>
      <c r="BW31" s="309"/>
    </row>
    <row r="32" spans="2:75" ht="50.45">
      <c r="B32" s="235"/>
      <c r="C32" s="254"/>
      <c r="D32" s="252" t="s">
        <v>318</v>
      </c>
      <c r="E32" s="224" t="s">
        <v>150</v>
      </c>
      <c r="F32" s="237" t="s">
        <v>123</v>
      </c>
      <c r="G32" s="242" t="s">
        <v>319</v>
      </c>
      <c r="H32" s="238" t="s">
        <v>125</v>
      </c>
      <c r="I32" s="236" t="s">
        <v>133</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312</v>
      </c>
      <c r="AA32" s="224"/>
      <c r="AB32" s="242"/>
      <c r="AC32" s="243"/>
      <c r="AD32" s="238"/>
      <c r="AE32" s="244"/>
      <c r="AF32" s="305"/>
      <c r="AG32" s="242"/>
      <c r="AH32" s="240"/>
      <c r="AI32" s="240"/>
      <c r="AJ32" s="240"/>
      <c r="AK32" s="228"/>
      <c r="AL32" s="306"/>
      <c r="AM32" s="240"/>
      <c r="AN32" s="240"/>
      <c r="AO32" s="240"/>
      <c r="AP32" s="305"/>
      <c r="AQ32" s="240"/>
      <c r="AR32" s="240"/>
      <c r="AS32" s="240"/>
      <c r="AT32" s="240"/>
      <c r="AU32" s="246"/>
      <c r="AV32" s="298"/>
      <c r="AW32" s="268"/>
      <c r="AX32" s="304"/>
      <c r="AY32" s="304"/>
      <c r="AZ32" s="271"/>
      <c r="BA32" s="307" t="s">
        <v>301</v>
      </c>
      <c r="BB32" s="308"/>
      <c r="BC32" s="308" t="s">
        <v>458</v>
      </c>
      <c r="BD32" s="308"/>
      <c r="BE32" s="308"/>
      <c r="BF32" s="308"/>
      <c r="BG32" s="308"/>
      <c r="BH32" s="308"/>
      <c r="BI32" s="308"/>
      <c r="BJ32" s="308"/>
      <c r="BK32" s="308"/>
      <c r="BL32" s="308"/>
      <c r="BM32" s="308"/>
      <c r="BN32" s="308"/>
      <c r="BO32" s="308"/>
      <c r="BP32" s="308"/>
      <c r="BQ32" s="308"/>
      <c r="BR32" s="308"/>
      <c r="BS32" s="308"/>
      <c r="BT32" s="308"/>
      <c r="BU32" s="308"/>
      <c r="BV32" s="308"/>
      <c r="BW32" s="309"/>
    </row>
    <row r="33" spans="2:75" ht="50.45">
      <c r="B33" s="235"/>
      <c r="C33" s="254"/>
      <c r="D33" s="252" t="s">
        <v>322</v>
      </c>
      <c r="E33" s="224" t="s">
        <v>150</v>
      </c>
      <c r="F33" s="237" t="s">
        <v>123</v>
      </c>
      <c r="G33" s="242" t="s">
        <v>323</v>
      </c>
      <c r="H33" s="238" t="s">
        <v>125</v>
      </c>
      <c r="I33" s="236" t="s">
        <v>133</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312</v>
      </c>
      <c r="AA33" s="224"/>
      <c r="AB33" s="242"/>
      <c r="AC33" s="243"/>
      <c r="AD33" s="238"/>
      <c r="AE33" s="244"/>
      <c r="AF33" s="305"/>
      <c r="AG33" s="242"/>
      <c r="AH33" s="240"/>
      <c r="AI33" s="240"/>
      <c r="AJ33" s="240"/>
      <c r="AK33" s="228"/>
      <c r="AL33" s="306"/>
      <c r="AM33" s="240"/>
      <c r="AN33" s="240"/>
      <c r="AO33" s="240"/>
      <c r="AP33" s="305"/>
      <c r="AQ33" s="240"/>
      <c r="AR33" s="240"/>
      <c r="AS33" s="240"/>
      <c r="AT33" s="240"/>
      <c r="AU33" s="246"/>
      <c r="AV33" s="298"/>
      <c r="AW33" s="268"/>
      <c r="AX33" s="304"/>
      <c r="AY33" s="304"/>
      <c r="AZ33" s="271"/>
      <c r="BA33" s="307" t="s">
        <v>301</v>
      </c>
      <c r="BB33" s="308"/>
      <c r="BC33" s="308" t="s">
        <v>458</v>
      </c>
      <c r="BD33" s="308"/>
      <c r="BE33" s="308"/>
      <c r="BF33" s="308"/>
      <c r="BG33" s="308"/>
      <c r="BH33" s="308"/>
      <c r="BI33" s="308"/>
      <c r="BJ33" s="308"/>
      <c r="BK33" s="308"/>
      <c r="BL33" s="308"/>
      <c r="BM33" s="308"/>
      <c r="BN33" s="308"/>
      <c r="BO33" s="308"/>
      <c r="BP33" s="308"/>
      <c r="BQ33" s="308"/>
      <c r="BR33" s="308"/>
      <c r="BS33" s="308"/>
      <c r="BT33" s="308"/>
      <c r="BU33" s="308"/>
      <c r="BV33" s="308"/>
      <c r="BW33" s="309"/>
    </row>
    <row r="34" spans="2:75" ht="50.45">
      <c r="B34" s="235"/>
      <c r="C34" s="221"/>
      <c r="D34" s="252" t="s">
        <v>326</v>
      </c>
      <c r="E34" s="224" t="s">
        <v>150</v>
      </c>
      <c r="F34" s="237" t="s">
        <v>123</v>
      </c>
      <c r="G34" s="242" t="s">
        <v>327</v>
      </c>
      <c r="H34" s="238" t="s">
        <v>125</v>
      </c>
      <c r="I34" s="236" t="s">
        <v>133</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312</v>
      </c>
      <c r="AA34" s="224"/>
      <c r="AB34" s="242"/>
      <c r="AC34" s="243"/>
      <c r="AD34" s="238"/>
      <c r="AE34" s="244"/>
      <c r="AF34" s="305"/>
      <c r="AG34" s="242"/>
      <c r="AH34" s="240"/>
      <c r="AI34" s="240"/>
      <c r="AJ34" s="240"/>
      <c r="AK34" s="228"/>
      <c r="AL34" s="306"/>
      <c r="AM34" s="240"/>
      <c r="AN34" s="240"/>
      <c r="AO34" s="240"/>
      <c r="AP34" s="305"/>
      <c r="AQ34" s="240"/>
      <c r="AR34" s="240"/>
      <c r="AS34" s="240"/>
      <c r="AT34" s="240"/>
      <c r="AU34" s="246"/>
      <c r="AV34" s="298"/>
      <c r="AW34" s="268"/>
      <c r="AX34" s="304"/>
      <c r="AY34" s="304"/>
      <c r="AZ34" s="271"/>
      <c r="BA34" s="307" t="s">
        <v>301</v>
      </c>
      <c r="BB34" s="308"/>
      <c r="BC34" s="308" t="s">
        <v>458</v>
      </c>
      <c r="BD34" s="308"/>
      <c r="BE34" s="308"/>
      <c r="BF34" s="308"/>
      <c r="BG34" s="308"/>
      <c r="BH34" s="308"/>
      <c r="BI34" s="308"/>
      <c r="BJ34" s="308"/>
      <c r="BK34" s="308"/>
      <c r="BL34" s="308"/>
      <c r="BM34" s="308"/>
      <c r="BN34" s="308"/>
      <c r="BO34" s="308"/>
      <c r="BP34" s="308"/>
      <c r="BQ34" s="308"/>
      <c r="BR34" s="308"/>
      <c r="BS34" s="308"/>
      <c r="BT34" s="308"/>
      <c r="BU34" s="308"/>
      <c r="BV34" s="308"/>
      <c r="BW34" s="309"/>
    </row>
    <row r="35" spans="2:75" ht="100.9">
      <c r="B35" s="235"/>
      <c r="C35" s="252" t="s">
        <v>330</v>
      </c>
      <c r="D35" s="290" t="s">
        <v>331</v>
      </c>
      <c r="E35" s="224" t="s">
        <v>332</v>
      </c>
      <c r="F35" s="237" t="s">
        <v>151</v>
      </c>
      <c r="G35" s="242" t="s">
        <v>333</v>
      </c>
      <c r="H35" s="238" t="s">
        <v>125</v>
      </c>
      <c r="I35" s="236" t="s">
        <v>133</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312</v>
      </c>
      <c r="AA35" s="224" t="s">
        <v>588</v>
      </c>
      <c r="AB35" s="242" t="s">
        <v>589</v>
      </c>
      <c r="AC35" s="243" t="s">
        <v>590</v>
      </c>
      <c r="AD35" s="238" t="s">
        <v>125</v>
      </c>
      <c r="AE35" s="244" t="s">
        <v>133</v>
      </c>
      <c r="AF35" s="305" t="s">
        <v>581</v>
      </c>
      <c r="AG35" s="242" t="s">
        <v>589</v>
      </c>
      <c r="AH35" s="240" t="s">
        <v>46</v>
      </c>
      <c r="AI35" s="240" t="s">
        <v>46</v>
      </c>
      <c r="AJ35" s="240" t="s">
        <v>46</v>
      </c>
      <c r="AK35" s="228" t="s">
        <v>582</v>
      </c>
      <c r="AL35" s="306" t="s">
        <v>589</v>
      </c>
      <c r="AM35" s="240" t="s">
        <v>46</v>
      </c>
      <c r="AN35" s="240" t="s">
        <v>46</v>
      </c>
      <c r="AO35" s="240" t="s">
        <v>46</v>
      </c>
      <c r="AP35" s="305" t="s">
        <v>583</v>
      </c>
      <c r="AQ35" s="240" t="s">
        <v>46</v>
      </c>
      <c r="AR35" s="240" t="s">
        <v>46</v>
      </c>
      <c r="AS35" s="240" t="s">
        <v>46</v>
      </c>
      <c r="AT35" s="240" t="s">
        <v>46</v>
      </c>
      <c r="AU35" s="246"/>
      <c r="AV35" s="298"/>
      <c r="AW35" s="483" t="s">
        <v>46</v>
      </c>
      <c r="AX35" s="500" t="s">
        <v>336</v>
      </c>
      <c r="AY35" s="502" t="s">
        <v>46</v>
      </c>
      <c r="AZ35" s="503" t="s">
        <v>337</v>
      </c>
      <c r="BA35" s="307" t="s">
        <v>301</v>
      </c>
      <c r="BB35" s="308"/>
      <c r="BC35" s="308" t="s">
        <v>458</v>
      </c>
      <c r="BD35" s="308"/>
      <c r="BE35" s="308"/>
      <c r="BF35" s="308"/>
      <c r="BG35" s="308"/>
      <c r="BH35" s="308"/>
      <c r="BI35" s="308"/>
      <c r="BJ35" s="308"/>
      <c r="BK35" s="308"/>
      <c r="BL35" s="308"/>
      <c r="BM35" s="308"/>
      <c r="BN35" s="308"/>
      <c r="BO35" s="308"/>
      <c r="BP35" s="308"/>
      <c r="BQ35" s="308"/>
      <c r="BR35" s="308"/>
      <c r="BS35" s="308"/>
      <c r="BT35" s="308"/>
      <c r="BU35" s="308"/>
      <c r="BV35" s="308"/>
      <c r="BW35" s="309"/>
    </row>
    <row r="36" spans="2:75" ht="50.45">
      <c r="B36" s="235"/>
      <c r="C36" s="254"/>
      <c r="D36" s="290" t="s">
        <v>338</v>
      </c>
      <c r="E36" s="224" t="s">
        <v>150</v>
      </c>
      <c r="F36" s="237" t="s">
        <v>123</v>
      </c>
      <c r="G36" s="242" t="s">
        <v>339</v>
      </c>
      <c r="H36" s="238" t="s">
        <v>125</v>
      </c>
      <c r="I36" s="236" t="s">
        <v>133</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312</v>
      </c>
      <c r="AA36" s="224"/>
      <c r="AB36" s="242"/>
      <c r="AC36" s="243"/>
      <c r="AD36" s="238"/>
      <c r="AE36" s="244"/>
      <c r="AF36" s="305"/>
      <c r="AG36" s="242"/>
      <c r="AH36" s="240"/>
      <c r="AI36" s="240"/>
      <c r="AJ36" s="240"/>
      <c r="AK36" s="228"/>
      <c r="AL36" s="306"/>
      <c r="AM36" s="240"/>
      <c r="AN36" s="240"/>
      <c r="AO36" s="240"/>
      <c r="AP36" s="305"/>
      <c r="AQ36" s="240"/>
      <c r="AR36" s="240"/>
      <c r="AS36" s="240"/>
      <c r="AT36" s="240"/>
      <c r="AU36" s="246"/>
      <c r="AV36" s="298"/>
      <c r="AW36" s="268"/>
      <c r="AX36" s="271"/>
      <c r="AY36" s="304"/>
      <c r="AZ36" s="271"/>
      <c r="BA36" s="307" t="s">
        <v>301</v>
      </c>
      <c r="BB36" s="308"/>
      <c r="BC36" s="308" t="s">
        <v>458</v>
      </c>
      <c r="BD36" s="308"/>
      <c r="BE36" s="308"/>
      <c r="BF36" s="308"/>
      <c r="BG36" s="308"/>
      <c r="BH36" s="308"/>
      <c r="BI36" s="308"/>
      <c r="BJ36" s="308"/>
      <c r="BK36" s="308"/>
      <c r="BL36" s="308"/>
      <c r="BM36" s="308"/>
      <c r="BN36" s="308"/>
      <c r="BO36" s="308"/>
      <c r="BP36" s="308"/>
      <c r="BQ36" s="308"/>
      <c r="BR36" s="308"/>
      <c r="BS36" s="308"/>
      <c r="BT36" s="308"/>
      <c r="BU36" s="308"/>
      <c r="BV36" s="308"/>
      <c r="BW36" s="309"/>
    </row>
    <row r="37" spans="2:75" ht="50.45">
      <c r="B37" s="235"/>
      <c r="C37" s="221"/>
      <c r="D37" s="290" t="s">
        <v>342</v>
      </c>
      <c r="E37" s="224" t="s">
        <v>150</v>
      </c>
      <c r="F37" s="237" t="s">
        <v>123</v>
      </c>
      <c r="G37" s="242" t="s">
        <v>339</v>
      </c>
      <c r="H37" s="238" t="s">
        <v>125</v>
      </c>
      <c r="I37" s="236" t="s">
        <v>133</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312</v>
      </c>
      <c r="AA37" s="224"/>
      <c r="AB37" s="242"/>
      <c r="AC37" s="243"/>
      <c r="AD37" s="238"/>
      <c r="AE37" s="244"/>
      <c r="AF37" s="305"/>
      <c r="AG37" s="242"/>
      <c r="AH37" s="240"/>
      <c r="AI37" s="240"/>
      <c r="AJ37" s="240"/>
      <c r="AK37" s="228"/>
      <c r="AL37" s="306"/>
      <c r="AM37" s="240"/>
      <c r="AN37" s="240"/>
      <c r="AO37" s="240"/>
      <c r="AP37" s="305"/>
      <c r="AQ37" s="240"/>
      <c r="AR37" s="240"/>
      <c r="AS37" s="240"/>
      <c r="AT37" s="240"/>
      <c r="AU37" s="246"/>
      <c r="AV37" s="298"/>
      <c r="AW37" s="268"/>
      <c r="AX37" s="271"/>
      <c r="AY37" s="304"/>
      <c r="AZ37" s="271"/>
      <c r="BA37" s="307" t="s">
        <v>301</v>
      </c>
      <c r="BB37" s="308"/>
      <c r="BC37" s="308" t="s">
        <v>458</v>
      </c>
      <c r="BD37" s="308"/>
      <c r="BE37" s="308"/>
      <c r="BF37" s="308"/>
      <c r="BG37" s="308"/>
      <c r="BH37" s="308"/>
      <c r="BI37" s="308"/>
      <c r="BJ37" s="308"/>
      <c r="BK37" s="308"/>
      <c r="BL37" s="308"/>
      <c r="BM37" s="308"/>
      <c r="BN37" s="308"/>
      <c r="BO37" s="308"/>
      <c r="BP37" s="308"/>
      <c r="BQ37" s="308"/>
      <c r="BR37" s="308"/>
      <c r="BS37" s="308"/>
      <c r="BT37" s="308"/>
      <c r="BU37" s="308"/>
      <c r="BV37" s="308"/>
      <c r="BW37" s="309"/>
    </row>
    <row r="38" spans="2:75" ht="117.6">
      <c r="B38" s="235"/>
      <c r="C38" s="252" t="s">
        <v>345</v>
      </c>
      <c r="D38" s="240" t="s">
        <v>346</v>
      </c>
      <c r="E38" s="224" t="s">
        <v>150</v>
      </c>
      <c r="F38" s="237" t="s">
        <v>123</v>
      </c>
      <c r="G38" s="242" t="s">
        <v>347</v>
      </c>
      <c r="H38" s="238" t="s">
        <v>125</v>
      </c>
      <c r="I38" s="236" t="s">
        <v>133</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312</v>
      </c>
      <c r="AA38" s="224" t="s">
        <v>591</v>
      </c>
      <c r="AB38" s="242" t="s">
        <v>123</v>
      </c>
      <c r="AC38" s="243" t="s">
        <v>592</v>
      </c>
      <c r="AD38" s="238" t="s">
        <v>125</v>
      </c>
      <c r="AE38" s="244" t="s">
        <v>133</v>
      </c>
      <c r="AF38" s="305" t="s">
        <v>581</v>
      </c>
      <c r="AG38" s="242" t="s">
        <v>123</v>
      </c>
      <c r="AH38" s="240" t="s">
        <v>46</v>
      </c>
      <c r="AI38" s="240" t="s">
        <v>46</v>
      </c>
      <c r="AJ38" s="240" t="s">
        <v>46</v>
      </c>
      <c r="AK38" s="228" t="s">
        <v>582</v>
      </c>
      <c r="AL38" s="306" t="s">
        <v>123</v>
      </c>
      <c r="AM38" s="240" t="s">
        <v>46</v>
      </c>
      <c r="AN38" s="240" t="s">
        <v>46</v>
      </c>
      <c r="AO38" s="240" t="s">
        <v>46</v>
      </c>
      <c r="AP38" s="305" t="s">
        <v>583</v>
      </c>
      <c r="AQ38" s="240" t="s">
        <v>46</v>
      </c>
      <c r="AR38" s="240" t="s">
        <v>46</v>
      </c>
      <c r="AS38" s="240" t="s">
        <v>46</v>
      </c>
      <c r="AT38" s="240" t="s">
        <v>46</v>
      </c>
      <c r="AU38" s="246"/>
      <c r="AV38" s="298"/>
      <c r="AW38" s="483" t="s">
        <v>348</v>
      </c>
      <c r="AX38" s="502" t="s">
        <v>46</v>
      </c>
      <c r="AY38" s="483" t="s">
        <v>46</v>
      </c>
      <c r="AZ38" s="501" t="s">
        <v>349</v>
      </c>
      <c r="BA38" s="307" t="s">
        <v>301</v>
      </c>
      <c r="BB38" s="308"/>
      <c r="BC38" s="308" t="s">
        <v>458</v>
      </c>
      <c r="BD38" s="308"/>
      <c r="BE38" s="308"/>
      <c r="BF38" s="308"/>
      <c r="BG38" s="308"/>
      <c r="BH38" s="308"/>
      <c r="BI38" s="308"/>
      <c r="BJ38" s="308"/>
      <c r="BK38" s="308"/>
      <c r="BL38" s="308"/>
      <c r="BM38" s="308"/>
      <c r="BN38" s="308"/>
      <c r="BO38" s="308"/>
      <c r="BP38" s="308"/>
      <c r="BQ38" s="308"/>
      <c r="BR38" s="308"/>
      <c r="BS38" s="308"/>
      <c r="BT38" s="308"/>
      <c r="BU38" s="308"/>
      <c r="BV38" s="308"/>
      <c r="BW38" s="309"/>
    </row>
    <row r="39" spans="2:75" ht="67.150000000000006">
      <c r="B39" s="235"/>
      <c r="C39" s="221"/>
      <c r="D39" s="221" t="s">
        <v>350</v>
      </c>
      <c r="E39" s="224" t="s">
        <v>150</v>
      </c>
      <c r="F39" s="237" t="s">
        <v>123</v>
      </c>
      <c r="G39" s="242" t="s">
        <v>351</v>
      </c>
      <c r="H39" s="238" t="s">
        <v>125</v>
      </c>
      <c r="I39" s="236" t="s">
        <v>133</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312</v>
      </c>
      <c r="AA39" s="224"/>
      <c r="AB39" s="242"/>
      <c r="AC39" s="243"/>
      <c r="AD39" s="238"/>
      <c r="AE39" s="244"/>
      <c r="AF39" s="305"/>
      <c r="AG39" s="243"/>
      <c r="AH39" s="240"/>
      <c r="AI39" s="240"/>
      <c r="AJ39" s="240"/>
      <c r="AK39" s="228"/>
      <c r="AL39" s="244"/>
      <c r="AM39" s="240"/>
      <c r="AN39" s="240"/>
      <c r="AO39" s="240"/>
      <c r="AP39" s="305"/>
      <c r="AQ39" s="240"/>
      <c r="AR39" s="240"/>
      <c r="AS39" s="240"/>
      <c r="AT39" s="240"/>
      <c r="AU39" s="246"/>
      <c r="AV39" s="298"/>
      <c r="AW39" s="226"/>
      <c r="AX39" s="225"/>
      <c r="AY39" s="225"/>
      <c r="AZ39" s="271"/>
      <c r="BA39" s="307" t="s">
        <v>301</v>
      </c>
      <c r="BB39" s="308"/>
      <c r="BC39" s="308" t="s">
        <v>458</v>
      </c>
      <c r="BD39" s="308"/>
      <c r="BE39" s="308"/>
      <c r="BF39" s="308"/>
      <c r="BG39" s="308"/>
      <c r="BH39" s="308"/>
      <c r="BI39" s="308"/>
      <c r="BJ39" s="308"/>
      <c r="BK39" s="308"/>
      <c r="BL39" s="308"/>
      <c r="BM39" s="308"/>
      <c r="BN39" s="308"/>
      <c r="BO39" s="308"/>
      <c r="BP39" s="308"/>
      <c r="BQ39" s="308"/>
      <c r="BR39" s="308"/>
      <c r="BS39" s="308"/>
      <c r="BT39" s="308"/>
      <c r="BU39" s="308"/>
      <c r="BV39" s="308"/>
      <c r="BW39" s="309"/>
    </row>
    <row r="40" spans="2:75" ht="50.45">
      <c r="B40" s="235"/>
      <c r="C40" s="258" t="s">
        <v>354</v>
      </c>
      <c r="D40" s="221" t="s">
        <v>355</v>
      </c>
      <c r="E40" s="224" t="s">
        <v>150</v>
      </c>
      <c r="F40" s="237" t="s">
        <v>123</v>
      </c>
      <c r="G40" s="243" t="s">
        <v>356</v>
      </c>
      <c r="H40" s="238" t="s">
        <v>125</v>
      </c>
      <c r="I40" s="236" t="s">
        <v>133</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312</v>
      </c>
      <c r="AA40" s="245" t="s">
        <v>593</v>
      </c>
      <c r="AB40" s="242" t="s">
        <v>594</v>
      </c>
      <c r="AC40" s="243" t="s">
        <v>595</v>
      </c>
      <c r="AD40" s="238"/>
      <c r="AE40" s="244"/>
      <c r="AF40" s="245" t="s">
        <v>596</v>
      </c>
      <c r="AG40" s="243" t="s">
        <v>594</v>
      </c>
      <c r="AH40" s="240" t="s">
        <v>46</v>
      </c>
      <c r="AI40" s="240" t="s">
        <v>46</v>
      </c>
      <c r="AJ40" s="240" t="s">
        <v>46</v>
      </c>
      <c r="AK40" s="245" t="s">
        <v>597</v>
      </c>
      <c r="AL40" s="243" t="s">
        <v>594</v>
      </c>
      <c r="AM40" s="240" t="s">
        <v>46</v>
      </c>
      <c r="AN40" s="240" t="s">
        <v>46</v>
      </c>
      <c r="AO40" s="240" t="s">
        <v>46</v>
      </c>
      <c r="AP40" s="245" t="s">
        <v>598</v>
      </c>
      <c r="AQ40" s="240" t="s">
        <v>46</v>
      </c>
      <c r="AR40" s="240" t="s">
        <v>46</v>
      </c>
      <c r="AS40" s="240" t="s">
        <v>46</v>
      </c>
      <c r="AT40" s="240" t="s">
        <v>46</v>
      </c>
      <c r="AU40" s="246"/>
      <c r="AV40" s="273" t="s">
        <v>357</v>
      </c>
      <c r="AW40" s="269" t="s">
        <v>46</v>
      </c>
      <c r="AX40" s="270" t="s">
        <v>46</v>
      </c>
      <c r="AY40" s="270" t="s">
        <v>46</v>
      </c>
      <c r="AZ40" s="290" t="s">
        <v>358</v>
      </c>
      <c r="BA40" s="307" t="s">
        <v>301</v>
      </c>
      <c r="BB40" s="308"/>
      <c r="BC40" s="308" t="s">
        <v>458</v>
      </c>
      <c r="BD40" s="308"/>
      <c r="BE40" s="308"/>
      <c r="BF40" s="308"/>
      <c r="BG40" s="308"/>
      <c r="BH40" s="308"/>
      <c r="BI40" s="308"/>
      <c r="BJ40" s="308"/>
      <c r="BK40" s="308"/>
      <c r="BL40" s="308"/>
      <c r="BM40" s="308"/>
      <c r="BN40" s="308"/>
      <c r="BO40" s="308"/>
      <c r="BP40" s="308"/>
      <c r="BQ40" s="308"/>
      <c r="BR40" s="308"/>
      <c r="BS40" s="308"/>
      <c r="BT40" s="308"/>
      <c r="BU40" s="308"/>
      <c r="BV40" s="308"/>
      <c r="BW40" s="309"/>
    </row>
    <row r="41" spans="2:75" ht="42" customHeight="1">
      <c r="B41" s="235"/>
      <c r="C41" s="216"/>
      <c r="D41" s="221" t="s">
        <v>359</v>
      </c>
      <c r="E41" s="245" t="s">
        <v>180</v>
      </c>
      <c r="F41" s="237" t="s">
        <v>50</v>
      </c>
      <c r="G41" s="243"/>
      <c r="H41" s="238" t="s">
        <v>50</v>
      </c>
      <c r="I41" s="236" t="s">
        <v>50</v>
      </c>
      <c r="J41" s="239" t="s">
        <v>50</v>
      </c>
      <c r="K41" s="238" t="s">
        <v>50</v>
      </c>
      <c r="L41" s="238" t="s">
        <v>50</v>
      </c>
      <c r="M41" s="238" t="s">
        <v>50</v>
      </c>
      <c r="N41" s="236" t="s">
        <v>50</v>
      </c>
      <c r="O41" s="239" t="s">
        <v>50</v>
      </c>
      <c r="P41" s="238" t="s">
        <v>50</v>
      </c>
      <c r="Q41" s="238" t="s">
        <v>50</v>
      </c>
      <c r="R41" s="238" t="s">
        <v>50</v>
      </c>
      <c r="S41" s="236" t="s">
        <v>50</v>
      </c>
      <c r="T41" s="239" t="s">
        <v>50</v>
      </c>
      <c r="U41" s="238" t="s">
        <v>50</v>
      </c>
      <c r="V41" s="238" t="s">
        <v>50</v>
      </c>
      <c r="W41" s="238" t="s">
        <v>50</v>
      </c>
      <c r="X41" s="236" t="s">
        <v>50</v>
      </c>
      <c r="Y41" s="249" t="s">
        <v>44</v>
      </c>
      <c r="Z41" s="528" t="s">
        <v>360</v>
      </c>
      <c r="AA41" s="245"/>
      <c r="AB41" s="242"/>
      <c r="AC41" s="243"/>
      <c r="AD41" s="238"/>
      <c r="AE41" s="244"/>
      <c r="AF41" s="245"/>
      <c r="AG41" s="243"/>
      <c r="AH41" s="240"/>
      <c r="AI41" s="240"/>
      <c r="AJ41" s="240"/>
      <c r="AK41" s="245"/>
      <c r="AL41" s="243"/>
      <c r="AM41" s="240"/>
      <c r="AN41" s="240"/>
      <c r="AO41" s="240"/>
      <c r="AP41" s="245"/>
      <c r="AQ41" s="240"/>
      <c r="AR41" s="240"/>
      <c r="AS41" s="240"/>
      <c r="AT41" s="240"/>
      <c r="AU41" s="246"/>
      <c r="AV41" s="298"/>
      <c r="AW41" s="268"/>
      <c r="AX41" s="304"/>
      <c r="AY41" s="304"/>
      <c r="AZ41" s="271"/>
      <c r="BA41" s="307" t="s">
        <v>301</v>
      </c>
      <c r="BB41" s="308"/>
      <c r="BC41" s="308" t="s">
        <v>458</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35.450000000000003" customHeight="1">
      <c r="B42" s="235"/>
      <c r="C42" s="218"/>
      <c r="D42" s="240" t="s">
        <v>362</v>
      </c>
      <c r="E42" s="245" t="s">
        <v>180</v>
      </c>
      <c r="F42" s="237" t="s">
        <v>50</v>
      </c>
      <c r="G42" s="238" t="s">
        <v>50</v>
      </c>
      <c r="H42" s="238" t="s">
        <v>50</v>
      </c>
      <c r="I42" s="236" t="s">
        <v>50</v>
      </c>
      <c r="J42" s="239" t="s">
        <v>50</v>
      </c>
      <c r="K42" s="238" t="s">
        <v>50</v>
      </c>
      <c r="L42" s="238" t="s">
        <v>50</v>
      </c>
      <c r="M42" s="238" t="s">
        <v>50</v>
      </c>
      <c r="N42" s="236" t="s">
        <v>50</v>
      </c>
      <c r="O42" s="239" t="s">
        <v>50</v>
      </c>
      <c r="P42" s="238" t="s">
        <v>50</v>
      </c>
      <c r="Q42" s="238" t="s">
        <v>50</v>
      </c>
      <c r="R42" s="238" t="s">
        <v>50</v>
      </c>
      <c r="S42" s="236" t="s">
        <v>50</v>
      </c>
      <c r="T42" s="239" t="s">
        <v>50</v>
      </c>
      <c r="U42" s="238" t="s">
        <v>50</v>
      </c>
      <c r="V42" s="238" t="s">
        <v>50</v>
      </c>
      <c r="W42" s="238" t="s">
        <v>50</v>
      </c>
      <c r="X42" s="236" t="s">
        <v>50</v>
      </c>
      <c r="Y42" s="249" t="s">
        <v>44</v>
      </c>
      <c r="Z42" s="528" t="s">
        <v>360</v>
      </c>
      <c r="AA42" s="245" t="s">
        <v>593</v>
      </c>
      <c r="AB42" s="242" t="s">
        <v>594</v>
      </c>
      <c r="AC42" s="243" t="s">
        <v>595</v>
      </c>
      <c r="AD42" s="238"/>
      <c r="AE42" s="244"/>
      <c r="AF42" s="245" t="s">
        <v>596</v>
      </c>
      <c r="AG42" s="243" t="s">
        <v>594</v>
      </c>
      <c r="AH42" s="240" t="s">
        <v>46</v>
      </c>
      <c r="AI42" s="240" t="s">
        <v>46</v>
      </c>
      <c r="AJ42" s="240" t="s">
        <v>46</v>
      </c>
      <c r="AK42" s="245" t="s">
        <v>597</v>
      </c>
      <c r="AL42" s="243" t="s">
        <v>594</v>
      </c>
      <c r="AM42" s="240" t="s">
        <v>46</v>
      </c>
      <c r="AN42" s="240" t="s">
        <v>46</v>
      </c>
      <c r="AO42" s="240" t="s">
        <v>46</v>
      </c>
      <c r="AP42" s="245" t="s">
        <v>598</v>
      </c>
      <c r="AQ42" s="240" t="s">
        <v>46</v>
      </c>
      <c r="AR42" s="240" t="s">
        <v>46</v>
      </c>
      <c r="AS42" s="240" t="s">
        <v>46</v>
      </c>
      <c r="AT42" s="240" t="s">
        <v>46</v>
      </c>
      <c r="AU42" s="246"/>
      <c r="AV42" s="220"/>
      <c r="AW42" s="226"/>
      <c r="AX42" s="225"/>
      <c r="AY42" s="225"/>
      <c r="AZ42" s="297"/>
      <c r="BA42" s="307" t="s">
        <v>301</v>
      </c>
      <c r="BB42" s="308"/>
      <c r="BC42" s="308" t="s">
        <v>458</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84">
      <c r="B43" s="235"/>
      <c r="C43" s="240" t="s">
        <v>364</v>
      </c>
      <c r="D43" s="240"/>
      <c r="E43" s="245" t="s">
        <v>180</v>
      </c>
      <c r="F43" s="237" t="s">
        <v>50</v>
      </c>
      <c r="G43" s="238" t="s">
        <v>50</v>
      </c>
      <c r="H43" s="238" t="s">
        <v>50</v>
      </c>
      <c r="I43" s="236" t="s">
        <v>50</v>
      </c>
      <c r="J43" s="239" t="s">
        <v>50</v>
      </c>
      <c r="K43" s="238" t="s">
        <v>50</v>
      </c>
      <c r="L43" s="238" t="s">
        <v>50</v>
      </c>
      <c r="M43" s="238" t="s">
        <v>50</v>
      </c>
      <c r="N43" s="236" t="s">
        <v>50</v>
      </c>
      <c r="O43" s="239" t="s">
        <v>50</v>
      </c>
      <c r="P43" s="238" t="s">
        <v>50</v>
      </c>
      <c r="Q43" s="238" t="s">
        <v>50</v>
      </c>
      <c r="R43" s="238" t="s">
        <v>50</v>
      </c>
      <c r="S43" s="236" t="s">
        <v>50</v>
      </c>
      <c r="T43" s="239" t="s">
        <v>50</v>
      </c>
      <c r="U43" s="238" t="s">
        <v>50</v>
      </c>
      <c r="V43" s="238" t="s">
        <v>50</v>
      </c>
      <c r="W43" s="238" t="s">
        <v>50</v>
      </c>
      <c r="X43" s="236" t="s">
        <v>50</v>
      </c>
      <c r="Y43" s="249" t="s">
        <v>44</v>
      </c>
      <c r="Z43" s="528" t="s">
        <v>360</v>
      </c>
      <c r="AA43" s="245" t="s">
        <v>599</v>
      </c>
      <c r="AB43" s="242" t="s">
        <v>600</v>
      </c>
      <c r="AC43" s="243" t="s">
        <v>601</v>
      </c>
      <c r="AD43" s="238"/>
      <c r="AE43" s="244"/>
      <c r="AF43" s="245" t="s">
        <v>602</v>
      </c>
      <c r="AG43" s="243" t="s">
        <v>600</v>
      </c>
      <c r="AH43" s="238" t="s">
        <v>46</v>
      </c>
      <c r="AI43" s="238" t="s">
        <v>46</v>
      </c>
      <c r="AJ43" s="236" t="s">
        <v>46</v>
      </c>
      <c r="AK43" s="245" t="s">
        <v>603</v>
      </c>
      <c r="AL43" s="243" t="s">
        <v>46</v>
      </c>
      <c r="AM43" s="238" t="s">
        <v>46</v>
      </c>
      <c r="AN43" s="238" t="s">
        <v>46</v>
      </c>
      <c r="AO43" s="236" t="s">
        <v>46</v>
      </c>
      <c r="AP43" s="245" t="s">
        <v>604</v>
      </c>
      <c r="AQ43" s="238" t="s">
        <v>46</v>
      </c>
      <c r="AR43" s="238" t="s">
        <v>46</v>
      </c>
      <c r="AS43" s="238" t="s">
        <v>46</v>
      </c>
      <c r="AT43" s="236" t="s">
        <v>46</v>
      </c>
      <c r="AU43" s="246"/>
      <c r="AV43" s="239" t="s">
        <v>366</v>
      </c>
      <c r="AW43" s="243" t="s">
        <v>367</v>
      </c>
      <c r="AX43" s="242" t="s">
        <v>368</v>
      </c>
      <c r="AY43" s="242" t="s">
        <v>369</v>
      </c>
      <c r="AZ43" s="306" t="s">
        <v>370</v>
      </c>
      <c r="BA43" s="307" t="s">
        <v>301</v>
      </c>
      <c r="BB43" s="308"/>
      <c r="BC43" s="308" t="s">
        <v>458</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409.6" customHeight="1">
      <c r="B44" s="235"/>
      <c r="C44" s="240" t="s">
        <v>385</v>
      </c>
      <c r="D44" s="240"/>
      <c r="E44" s="245"/>
      <c r="F44" s="237" t="s">
        <v>50</v>
      </c>
      <c r="G44" s="238" t="s">
        <v>50</v>
      </c>
      <c r="H44" s="238" t="s">
        <v>50</v>
      </c>
      <c r="I44" s="236" t="s">
        <v>50</v>
      </c>
      <c r="J44" s="239" t="s">
        <v>50</v>
      </c>
      <c r="K44" s="238" t="s">
        <v>50</v>
      </c>
      <c r="L44" s="238" t="s">
        <v>50</v>
      </c>
      <c r="M44" s="238" t="s">
        <v>50</v>
      </c>
      <c r="N44" s="236" t="s">
        <v>50</v>
      </c>
      <c r="O44" s="239" t="s">
        <v>50</v>
      </c>
      <c r="P44" s="238" t="s">
        <v>50</v>
      </c>
      <c r="Q44" s="238" t="s">
        <v>50</v>
      </c>
      <c r="R44" s="238" t="s">
        <v>50</v>
      </c>
      <c r="S44" s="236" t="s">
        <v>50</v>
      </c>
      <c r="T44" s="239" t="s">
        <v>50</v>
      </c>
      <c r="U44" s="238" t="s">
        <v>50</v>
      </c>
      <c r="V44" s="238" t="s">
        <v>50</v>
      </c>
      <c r="W44" s="238" t="s">
        <v>50</v>
      </c>
      <c r="X44" s="236" t="s">
        <v>50</v>
      </c>
      <c r="Y44" s="249" t="s">
        <v>45</v>
      </c>
      <c r="Z44" s="527" t="s">
        <v>278</v>
      </c>
      <c r="AA44" s="245" t="s">
        <v>599</v>
      </c>
      <c r="AB44" s="242" t="s">
        <v>605</v>
      </c>
      <c r="AC44" s="243" t="s">
        <v>606</v>
      </c>
      <c r="AD44" s="238"/>
      <c r="AE44" s="244"/>
      <c r="AF44" s="245" t="s">
        <v>602</v>
      </c>
      <c r="AG44" s="243" t="s">
        <v>605</v>
      </c>
      <c r="AH44" s="238" t="s">
        <v>46</v>
      </c>
      <c r="AI44" s="238" t="s">
        <v>46</v>
      </c>
      <c r="AJ44" s="238" t="s">
        <v>46</v>
      </c>
      <c r="AK44" s="245" t="s">
        <v>603</v>
      </c>
      <c r="AL44" s="243" t="s">
        <v>46</v>
      </c>
      <c r="AM44" s="238" t="s">
        <v>46</v>
      </c>
      <c r="AN44" s="238" t="s">
        <v>46</v>
      </c>
      <c r="AO44" s="238" t="s">
        <v>46</v>
      </c>
      <c r="AP44" s="245" t="s">
        <v>604</v>
      </c>
      <c r="AQ44" s="238" t="s">
        <v>46</v>
      </c>
      <c r="AR44" s="238" t="s">
        <v>46</v>
      </c>
      <c r="AS44" s="238" t="s">
        <v>46</v>
      </c>
      <c r="AT44" s="238" t="s">
        <v>46</v>
      </c>
      <c r="AU44" s="246"/>
      <c r="AV44" s="1058" t="s">
        <v>387</v>
      </c>
      <c r="AW44" s="1065" t="s">
        <v>388</v>
      </c>
      <c r="AX44" s="311" t="s">
        <v>389</v>
      </c>
      <c r="AY44" s="1066" t="s">
        <v>390</v>
      </c>
      <c r="AZ44" s="1064" t="s">
        <v>391</v>
      </c>
      <c r="BA44" s="307" t="s">
        <v>301</v>
      </c>
      <c r="BB44" s="308"/>
      <c r="BC44" s="308" t="s">
        <v>458</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38.1" customHeight="1">
      <c r="B45" s="235"/>
      <c r="C45" s="252" t="s">
        <v>392</v>
      </c>
      <c r="D45" s="252"/>
      <c r="E45" s="276"/>
      <c r="F45" s="258" t="s">
        <v>50</v>
      </c>
      <c r="G45" s="272" t="s">
        <v>50</v>
      </c>
      <c r="H45" s="272" t="s">
        <v>50</v>
      </c>
      <c r="I45" s="248" t="s">
        <v>50</v>
      </c>
      <c r="J45" s="273" t="s">
        <v>50</v>
      </c>
      <c r="K45" s="272" t="s">
        <v>50</v>
      </c>
      <c r="L45" s="272" t="s">
        <v>50</v>
      </c>
      <c r="M45" s="272" t="s">
        <v>50</v>
      </c>
      <c r="N45" s="248" t="s">
        <v>50</v>
      </c>
      <c r="O45" s="273" t="s">
        <v>50</v>
      </c>
      <c r="P45" s="272" t="s">
        <v>50</v>
      </c>
      <c r="Q45" s="272" t="s">
        <v>50</v>
      </c>
      <c r="R45" s="272" t="s">
        <v>50</v>
      </c>
      <c r="S45" s="248" t="s">
        <v>50</v>
      </c>
      <c r="T45" s="273" t="s">
        <v>50</v>
      </c>
      <c r="U45" s="272" t="s">
        <v>50</v>
      </c>
      <c r="V45" s="272" t="s">
        <v>50</v>
      </c>
      <c r="W45" s="272" t="s">
        <v>50</v>
      </c>
      <c r="X45" s="248" t="s">
        <v>50</v>
      </c>
      <c r="Y45" s="312" t="s">
        <v>45</v>
      </c>
      <c r="Z45" s="527" t="s">
        <v>278</v>
      </c>
      <c r="AA45" s="276" t="s">
        <v>599</v>
      </c>
      <c r="AB45" s="270" t="s">
        <v>607</v>
      </c>
      <c r="AC45" s="269" t="s">
        <v>608</v>
      </c>
      <c r="AD45" s="272"/>
      <c r="AE45" s="274"/>
      <c r="AF45" s="276" t="s">
        <v>602</v>
      </c>
      <c r="AG45" s="269" t="s">
        <v>607</v>
      </c>
      <c r="AH45" s="272" t="s">
        <v>46</v>
      </c>
      <c r="AI45" s="272" t="s">
        <v>46</v>
      </c>
      <c r="AJ45" s="248" t="s">
        <v>46</v>
      </c>
      <c r="AK45" s="276" t="s">
        <v>603</v>
      </c>
      <c r="AL45" s="269" t="s">
        <v>46</v>
      </c>
      <c r="AM45" s="272" t="s">
        <v>46</v>
      </c>
      <c r="AN45" s="272" t="s">
        <v>46</v>
      </c>
      <c r="AO45" s="248" t="s">
        <v>46</v>
      </c>
      <c r="AP45" s="276" t="s">
        <v>604</v>
      </c>
      <c r="AQ45" s="272" t="s">
        <v>46</v>
      </c>
      <c r="AR45" s="272" t="s">
        <v>46</v>
      </c>
      <c r="AS45" s="272" t="s">
        <v>46</v>
      </c>
      <c r="AT45" s="248" t="s">
        <v>46</v>
      </c>
      <c r="AU45" s="275"/>
      <c r="AV45" s="1170"/>
      <c r="AW45" s="1171"/>
      <c r="AX45" s="313"/>
      <c r="AY45" s="1172"/>
      <c r="AZ45" s="1173"/>
      <c r="BA45" s="314" t="s">
        <v>301</v>
      </c>
      <c r="BB45" s="315"/>
      <c r="BC45" s="315" t="s">
        <v>458</v>
      </c>
      <c r="BD45" s="315"/>
      <c r="BE45" s="315"/>
      <c r="BF45" s="315"/>
      <c r="BG45" s="315"/>
      <c r="BH45" s="315"/>
      <c r="BI45" s="315"/>
      <c r="BJ45" s="315"/>
      <c r="BK45" s="315"/>
      <c r="BL45" s="315"/>
      <c r="BM45" s="315"/>
      <c r="BN45" s="315"/>
      <c r="BO45" s="315"/>
      <c r="BP45" s="315"/>
      <c r="BQ45" s="315"/>
      <c r="BR45" s="315"/>
      <c r="BS45" s="315"/>
      <c r="BT45" s="315"/>
      <c r="BU45" s="315"/>
      <c r="BV45" s="315"/>
      <c r="BW45" s="316"/>
    </row>
    <row r="46" spans="2:75" ht="33.6">
      <c r="B46" s="317" t="s">
        <v>394</v>
      </c>
      <c r="C46" s="295" t="s">
        <v>395</v>
      </c>
      <c r="D46" s="318" t="s">
        <v>396</v>
      </c>
      <c r="E46" s="319"/>
      <c r="F46" s="320"/>
      <c r="G46" s="321"/>
      <c r="H46" s="321"/>
      <c r="I46" s="322"/>
      <c r="J46" s="323"/>
      <c r="K46" s="320"/>
      <c r="L46" s="318"/>
      <c r="M46" s="318"/>
      <c r="N46" s="318"/>
      <c r="O46" s="323"/>
      <c r="P46" s="318"/>
      <c r="Q46" s="318"/>
      <c r="R46" s="318"/>
      <c r="S46" s="318"/>
      <c r="T46" s="323"/>
      <c r="U46" s="318"/>
      <c r="V46" s="318"/>
      <c r="W46" s="318"/>
      <c r="X46" s="318"/>
      <c r="Y46" s="324"/>
      <c r="Z46" s="325"/>
      <c r="AA46" s="319"/>
      <c r="AB46" s="326"/>
      <c r="AC46" s="327"/>
      <c r="AD46" s="321"/>
      <c r="AE46" s="328"/>
      <c r="AF46" s="329"/>
      <c r="AG46" s="326"/>
      <c r="AH46" s="318"/>
      <c r="AI46" s="318"/>
      <c r="AJ46" s="318"/>
      <c r="AK46" s="329"/>
      <c r="AL46" s="330"/>
      <c r="AM46" s="318"/>
      <c r="AN46" s="318"/>
      <c r="AO46" s="318"/>
      <c r="AP46" s="329"/>
      <c r="AQ46" s="318"/>
      <c r="AR46" s="318"/>
      <c r="AS46" s="318"/>
      <c r="AT46" s="318"/>
      <c r="AU46" s="331"/>
      <c r="AV46" s="332"/>
      <c r="AW46" s="327" t="s">
        <v>397</v>
      </c>
      <c r="AX46" s="330" t="s">
        <v>398</v>
      </c>
      <c r="AY46" s="330" t="s">
        <v>399</v>
      </c>
      <c r="AZ46" s="330" t="s">
        <v>400</v>
      </c>
      <c r="BA46" s="230" t="s">
        <v>401</v>
      </c>
      <c r="BB46" s="231"/>
      <c r="BC46" s="231" t="s">
        <v>458</v>
      </c>
      <c r="BD46" s="231"/>
      <c r="BE46" s="231"/>
      <c r="BF46" s="231"/>
      <c r="BG46" s="231"/>
      <c r="BH46" s="231"/>
      <c r="BI46" s="231"/>
      <c r="BJ46" s="231"/>
      <c r="BK46" s="231"/>
      <c r="BL46" s="231"/>
      <c r="BM46" s="231"/>
      <c r="BN46" s="231"/>
      <c r="BO46" s="231"/>
      <c r="BP46" s="231"/>
      <c r="BQ46" s="231"/>
      <c r="BR46" s="231"/>
      <c r="BS46" s="231"/>
      <c r="BT46" s="231"/>
      <c r="BU46" s="231"/>
      <c r="BV46" s="231"/>
      <c r="BW46" s="303"/>
    </row>
    <row r="47" spans="2:75" ht="33.6">
      <c r="B47" s="235"/>
      <c r="C47" s="254"/>
      <c r="D47" s="221" t="s">
        <v>402</v>
      </c>
      <c r="E47" s="224"/>
      <c r="F47" s="218"/>
      <c r="G47" s="219"/>
      <c r="H47" s="219"/>
      <c r="I47" s="217"/>
      <c r="J47" s="222"/>
      <c r="K47" s="218"/>
      <c r="L47" s="221"/>
      <c r="M47" s="221"/>
      <c r="N47" s="221"/>
      <c r="O47" s="222"/>
      <c r="P47" s="221"/>
      <c r="Q47" s="221"/>
      <c r="R47" s="221"/>
      <c r="S47" s="221"/>
      <c r="T47" s="222"/>
      <c r="U47" s="221"/>
      <c r="V47" s="221"/>
      <c r="W47" s="221"/>
      <c r="X47" s="221"/>
      <c r="Y47" s="296"/>
      <c r="Z47" s="223"/>
      <c r="AA47" s="224"/>
      <c r="AB47" s="225"/>
      <c r="AC47" s="226"/>
      <c r="AD47" s="219"/>
      <c r="AE47" s="227"/>
      <c r="AF47" s="228"/>
      <c r="AG47" s="225"/>
      <c r="AH47" s="221"/>
      <c r="AI47" s="221"/>
      <c r="AJ47" s="221"/>
      <c r="AK47" s="228"/>
      <c r="AL47" s="297"/>
      <c r="AM47" s="221"/>
      <c r="AN47" s="221"/>
      <c r="AO47" s="221"/>
      <c r="AP47" s="228"/>
      <c r="AQ47" s="221"/>
      <c r="AR47" s="221"/>
      <c r="AS47" s="221"/>
      <c r="AT47" s="221"/>
      <c r="AU47" s="229"/>
      <c r="AV47" s="220"/>
      <c r="AW47" s="226" t="s">
        <v>46</v>
      </c>
      <c r="AX47" s="225" t="s">
        <v>403</v>
      </c>
      <c r="AY47" s="225" t="s">
        <v>404</v>
      </c>
      <c r="AZ47" s="225" t="s">
        <v>405</v>
      </c>
      <c r="BA47" s="230" t="s">
        <v>401</v>
      </c>
      <c r="BB47" s="231"/>
      <c r="BC47" s="231" t="s">
        <v>458</v>
      </c>
      <c r="BD47" s="231"/>
      <c r="BE47" s="231"/>
      <c r="BF47" s="231"/>
      <c r="BG47" s="231"/>
      <c r="BH47" s="231"/>
      <c r="BI47" s="231"/>
      <c r="BJ47" s="231"/>
      <c r="BK47" s="231"/>
      <c r="BL47" s="231"/>
      <c r="BM47" s="231"/>
      <c r="BN47" s="231"/>
      <c r="BO47" s="231"/>
      <c r="BP47" s="231"/>
      <c r="BQ47" s="231"/>
      <c r="BR47" s="231"/>
      <c r="BS47" s="231"/>
      <c r="BT47" s="231"/>
      <c r="BU47" s="231"/>
      <c r="BV47" s="231"/>
      <c r="BW47" s="303"/>
    </row>
    <row r="48" spans="2:75" ht="33.6">
      <c r="B48" s="235"/>
      <c r="C48" s="258" t="s">
        <v>406</v>
      </c>
      <c r="D48" s="221" t="s">
        <v>407</v>
      </c>
      <c r="E48" s="224"/>
      <c r="F48" s="218"/>
      <c r="G48" s="219"/>
      <c r="H48" s="219"/>
      <c r="I48" s="217"/>
      <c r="J48" s="222"/>
      <c r="K48" s="218"/>
      <c r="L48" s="221"/>
      <c r="M48" s="221"/>
      <c r="N48" s="221"/>
      <c r="O48" s="222"/>
      <c r="P48" s="221"/>
      <c r="Q48" s="221"/>
      <c r="R48" s="221"/>
      <c r="S48" s="221"/>
      <c r="T48" s="222"/>
      <c r="U48" s="221"/>
      <c r="V48" s="221"/>
      <c r="W48" s="221"/>
      <c r="X48" s="221"/>
      <c r="Y48" s="296"/>
      <c r="Z48" s="223"/>
      <c r="AA48" s="224"/>
      <c r="AB48" s="225"/>
      <c r="AC48" s="226"/>
      <c r="AD48" s="219"/>
      <c r="AE48" s="227"/>
      <c r="AF48" s="228"/>
      <c r="AG48" s="225"/>
      <c r="AH48" s="221"/>
      <c r="AI48" s="221"/>
      <c r="AJ48" s="221"/>
      <c r="AK48" s="228"/>
      <c r="AL48" s="297"/>
      <c r="AM48" s="221"/>
      <c r="AN48" s="221"/>
      <c r="AO48" s="221"/>
      <c r="AP48" s="228"/>
      <c r="AQ48" s="221"/>
      <c r="AR48" s="221"/>
      <c r="AS48" s="221"/>
      <c r="AT48" s="221"/>
      <c r="AU48" s="229"/>
      <c r="AV48" s="220"/>
      <c r="AW48" s="226" t="s">
        <v>46</v>
      </c>
      <c r="AX48" s="225" t="s">
        <v>408</v>
      </c>
      <c r="AY48" s="225" t="s">
        <v>409</v>
      </c>
      <c r="AZ48" s="297" t="s">
        <v>410</v>
      </c>
      <c r="BA48" s="230" t="s">
        <v>401</v>
      </c>
      <c r="BB48" s="231"/>
      <c r="BC48" s="231" t="s">
        <v>458</v>
      </c>
      <c r="BD48" s="231"/>
      <c r="BE48" s="231"/>
      <c r="BF48" s="231"/>
      <c r="BG48" s="231"/>
      <c r="BH48" s="231"/>
      <c r="BI48" s="231"/>
      <c r="BJ48" s="231"/>
      <c r="BK48" s="231"/>
      <c r="BL48" s="231"/>
      <c r="BM48" s="231"/>
      <c r="BN48" s="231"/>
      <c r="BO48" s="231"/>
      <c r="BP48" s="231"/>
      <c r="BQ48" s="231"/>
      <c r="BR48" s="231"/>
      <c r="BS48" s="231"/>
      <c r="BT48" s="231"/>
      <c r="BU48" s="231"/>
      <c r="BV48" s="231"/>
      <c r="BW48" s="303"/>
    </row>
    <row r="49" spans="2:75" ht="50.45">
      <c r="B49" s="235"/>
      <c r="C49" s="216"/>
      <c r="D49" s="297" t="s">
        <v>411</v>
      </c>
      <c r="E49" s="224"/>
      <c r="F49" s="218"/>
      <c r="G49" s="219"/>
      <c r="H49" s="219"/>
      <c r="I49" s="217"/>
      <c r="J49" s="222"/>
      <c r="K49" s="218"/>
      <c r="L49" s="221"/>
      <c r="M49" s="221"/>
      <c r="N49" s="221"/>
      <c r="O49" s="222"/>
      <c r="P49" s="221"/>
      <c r="Q49" s="221"/>
      <c r="R49" s="221"/>
      <c r="S49" s="221"/>
      <c r="T49" s="222"/>
      <c r="U49" s="221"/>
      <c r="V49" s="221"/>
      <c r="W49" s="221"/>
      <c r="X49" s="221"/>
      <c r="Y49" s="296"/>
      <c r="Z49" s="223"/>
      <c r="AA49" s="224"/>
      <c r="AB49" s="225"/>
      <c r="AC49" s="226"/>
      <c r="AD49" s="219"/>
      <c r="AE49" s="227"/>
      <c r="AF49" s="228"/>
      <c r="AG49" s="225"/>
      <c r="AH49" s="221"/>
      <c r="AI49" s="221"/>
      <c r="AJ49" s="221"/>
      <c r="AK49" s="228"/>
      <c r="AL49" s="297"/>
      <c r="AM49" s="221"/>
      <c r="AN49" s="221"/>
      <c r="AO49" s="221"/>
      <c r="AP49" s="228"/>
      <c r="AQ49" s="221"/>
      <c r="AR49" s="221"/>
      <c r="AS49" s="221"/>
      <c r="AT49" s="221"/>
      <c r="AU49" s="229"/>
      <c r="AV49" s="220"/>
      <c r="AW49" s="226" t="s">
        <v>46</v>
      </c>
      <c r="AX49" s="225" t="s">
        <v>412</v>
      </c>
      <c r="AY49" s="225" t="s">
        <v>413</v>
      </c>
      <c r="AZ49" s="297" t="s">
        <v>414</v>
      </c>
      <c r="BA49" s="230" t="s">
        <v>401</v>
      </c>
      <c r="BB49" s="231"/>
      <c r="BC49" s="231" t="s">
        <v>458</v>
      </c>
      <c r="BD49" s="231"/>
      <c r="BE49" s="231"/>
      <c r="BF49" s="231"/>
      <c r="BG49" s="231"/>
      <c r="BH49" s="231"/>
      <c r="BI49" s="231"/>
      <c r="BJ49" s="231"/>
      <c r="BK49" s="231"/>
      <c r="BL49" s="231"/>
      <c r="BM49" s="231"/>
      <c r="BN49" s="231"/>
      <c r="BO49" s="231"/>
      <c r="BP49" s="231"/>
      <c r="BQ49" s="231"/>
      <c r="BR49" s="231"/>
      <c r="BS49" s="231"/>
      <c r="BT49" s="231"/>
      <c r="BU49" s="231"/>
      <c r="BV49" s="231"/>
      <c r="BW49" s="303"/>
    </row>
    <row r="50" spans="2:75" ht="33.6">
      <c r="B50" s="235"/>
      <c r="C50" s="216"/>
      <c r="D50" s="221" t="s">
        <v>415</v>
      </c>
      <c r="E50" s="224"/>
      <c r="F50" s="218"/>
      <c r="G50" s="219"/>
      <c r="H50" s="219"/>
      <c r="I50" s="217"/>
      <c r="J50" s="222"/>
      <c r="K50" s="218"/>
      <c r="L50" s="221"/>
      <c r="M50" s="221"/>
      <c r="N50" s="221"/>
      <c r="O50" s="222"/>
      <c r="P50" s="221"/>
      <c r="Q50" s="221"/>
      <c r="R50" s="221"/>
      <c r="S50" s="221"/>
      <c r="T50" s="222"/>
      <c r="U50" s="221"/>
      <c r="V50" s="221"/>
      <c r="W50" s="221"/>
      <c r="X50" s="221"/>
      <c r="Y50" s="296"/>
      <c r="Z50" s="223"/>
      <c r="AA50" s="224"/>
      <c r="AB50" s="225"/>
      <c r="AC50" s="226"/>
      <c r="AD50" s="219"/>
      <c r="AE50" s="227"/>
      <c r="AF50" s="228"/>
      <c r="AG50" s="225"/>
      <c r="AH50" s="221"/>
      <c r="AI50" s="221"/>
      <c r="AJ50" s="221"/>
      <c r="AK50" s="228"/>
      <c r="AL50" s="297"/>
      <c r="AM50" s="221"/>
      <c r="AN50" s="221"/>
      <c r="AO50" s="221"/>
      <c r="AP50" s="228"/>
      <c r="AQ50" s="221"/>
      <c r="AR50" s="221"/>
      <c r="AS50" s="221"/>
      <c r="AT50" s="221"/>
      <c r="AU50" s="229"/>
      <c r="AV50" s="220"/>
      <c r="AW50" s="226" t="s">
        <v>46</v>
      </c>
      <c r="AX50" s="297" t="s">
        <v>416</v>
      </c>
      <c r="AY50" s="297" t="s">
        <v>417</v>
      </c>
      <c r="AZ50" s="297" t="s">
        <v>418</v>
      </c>
      <c r="BA50" s="230" t="s">
        <v>401</v>
      </c>
      <c r="BB50" s="231"/>
      <c r="BC50" s="231" t="s">
        <v>458</v>
      </c>
      <c r="BD50" s="231"/>
      <c r="BE50" s="231"/>
      <c r="BF50" s="231"/>
      <c r="BG50" s="231"/>
      <c r="BH50" s="231"/>
      <c r="BI50" s="231"/>
      <c r="BJ50" s="231"/>
      <c r="BK50" s="231"/>
      <c r="BL50" s="231"/>
      <c r="BM50" s="231"/>
      <c r="BN50" s="231"/>
      <c r="BO50" s="231"/>
      <c r="BP50" s="231"/>
      <c r="BQ50" s="231"/>
      <c r="BR50" s="231"/>
      <c r="BS50" s="231"/>
      <c r="BT50" s="231"/>
      <c r="BU50" s="231"/>
      <c r="BV50" s="231"/>
      <c r="BW50" s="303"/>
    </row>
    <row r="51" spans="2:75" ht="33.6">
      <c r="B51" s="235"/>
      <c r="C51" s="216"/>
      <c r="D51" s="221" t="s">
        <v>419</v>
      </c>
      <c r="E51" s="224"/>
      <c r="F51" s="218"/>
      <c r="G51" s="219"/>
      <c r="H51" s="219"/>
      <c r="I51" s="217"/>
      <c r="J51" s="222"/>
      <c r="K51" s="218"/>
      <c r="L51" s="221"/>
      <c r="M51" s="221"/>
      <c r="N51" s="221"/>
      <c r="O51" s="222"/>
      <c r="P51" s="221"/>
      <c r="Q51" s="221"/>
      <c r="R51" s="221"/>
      <c r="S51" s="221"/>
      <c r="T51" s="222"/>
      <c r="U51" s="221"/>
      <c r="V51" s="221"/>
      <c r="W51" s="221"/>
      <c r="X51" s="221"/>
      <c r="Y51" s="296"/>
      <c r="Z51" s="223"/>
      <c r="AA51" s="224"/>
      <c r="AB51" s="225"/>
      <c r="AC51" s="226"/>
      <c r="AD51" s="219"/>
      <c r="AE51" s="227"/>
      <c r="AF51" s="228"/>
      <c r="AG51" s="225"/>
      <c r="AH51" s="221"/>
      <c r="AI51" s="221"/>
      <c r="AJ51" s="221"/>
      <c r="AK51" s="228"/>
      <c r="AL51" s="297"/>
      <c r="AM51" s="221"/>
      <c r="AN51" s="221"/>
      <c r="AO51" s="221"/>
      <c r="AP51" s="228"/>
      <c r="AQ51" s="221"/>
      <c r="AR51" s="221"/>
      <c r="AS51" s="221"/>
      <c r="AT51" s="221"/>
      <c r="AU51" s="229"/>
      <c r="AV51" s="220"/>
      <c r="AW51" s="226" t="s">
        <v>46</v>
      </c>
      <c r="AX51" s="225" t="s">
        <v>420</v>
      </c>
      <c r="AY51" s="297" t="s">
        <v>421</v>
      </c>
      <c r="AZ51" s="225" t="s">
        <v>46</v>
      </c>
      <c r="BA51" s="230" t="s">
        <v>401</v>
      </c>
      <c r="BB51" s="231"/>
      <c r="BC51" s="231" t="s">
        <v>458</v>
      </c>
      <c r="BD51" s="231"/>
      <c r="BE51" s="231"/>
      <c r="BF51" s="231"/>
      <c r="BG51" s="231"/>
      <c r="BH51" s="231"/>
      <c r="BI51" s="231"/>
      <c r="BJ51" s="231"/>
      <c r="BK51" s="231"/>
      <c r="BL51" s="231"/>
      <c r="BM51" s="231"/>
      <c r="BN51" s="231"/>
      <c r="BO51" s="231"/>
      <c r="BP51" s="231"/>
      <c r="BQ51" s="231"/>
      <c r="BR51" s="231"/>
      <c r="BS51" s="231"/>
      <c r="BT51" s="231"/>
      <c r="BU51" s="231"/>
      <c r="BV51" s="231"/>
      <c r="BW51" s="303"/>
    </row>
    <row r="52" spans="2:75" ht="33.6">
      <c r="B52" s="235"/>
      <c r="C52" s="258" t="s">
        <v>422</v>
      </c>
      <c r="D52" s="221" t="s">
        <v>423</v>
      </c>
      <c r="E52" s="224"/>
      <c r="F52" s="218"/>
      <c r="G52" s="219"/>
      <c r="H52" s="219"/>
      <c r="I52" s="217"/>
      <c r="J52" s="222"/>
      <c r="K52" s="218"/>
      <c r="L52" s="221"/>
      <c r="M52" s="221"/>
      <c r="N52" s="221"/>
      <c r="O52" s="222"/>
      <c r="P52" s="221"/>
      <c r="Q52" s="221"/>
      <c r="R52" s="221"/>
      <c r="S52" s="221"/>
      <c r="T52" s="222"/>
      <c r="U52" s="221"/>
      <c r="V52" s="221"/>
      <c r="W52" s="221"/>
      <c r="X52" s="221"/>
      <c r="Y52" s="296"/>
      <c r="Z52" s="223"/>
      <c r="AA52" s="224"/>
      <c r="AB52" s="225"/>
      <c r="AC52" s="226"/>
      <c r="AD52" s="219"/>
      <c r="AE52" s="227"/>
      <c r="AF52" s="228"/>
      <c r="AG52" s="225"/>
      <c r="AH52" s="221"/>
      <c r="AI52" s="221"/>
      <c r="AJ52" s="221"/>
      <c r="AK52" s="228"/>
      <c r="AL52" s="297"/>
      <c r="AM52" s="221"/>
      <c r="AN52" s="221"/>
      <c r="AO52" s="221"/>
      <c r="AP52" s="228"/>
      <c r="AQ52" s="221"/>
      <c r="AR52" s="221"/>
      <c r="AS52" s="221"/>
      <c r="AT52" s="221"/>
      <c r="AU52" s="229"/>
      <c r="AV52" s="220"/>
      <c r="AW52" s="226" t="s">
        <v>46</v>
      </c>
      <c r="AX52" s="225" t="s">
        <v>424</v>
      </c>
      <c r="AY52" s="297" t="s">
        <v>425</v>
      </c>
      <c r="AZ52" s="297" t="s">
        <v>426</v>
      </c>
      <c r="BA52" s="230" t="s">
        <v>401</v>
      </c>
      <c r="BB52" s="231"/>
      <c r="BC52" s="231" t="s">
        <v>458</v>
      </c>
      <c r="BD52" s="231"/>
      <c r="BE52" s="231"/>
      <c r="BF52" s="231"/>
      <c r="BG52" s="231"/>
      <c r="BH52" s="231"/>
      <c r="BI52" s="231"/>
      <c r="BJ52" s="231"/>
      <c r="BK52" s="231"/>
      <c r="BL52" s="231"/>
      <c r="BM52" s="231"/>
      <c r="BN52" s="231"/>
      <c r="BO52" s="231"/>
      <c r="BP52" s="231"/>
      <c r="BQ52" s="231"/>
      <c r="BR52" s="231"/>
      <c r="BS52" s="231"/>
      <c r="BT52" s="231"/>
      <c r="BU52" s="231"/>
      <c r="BV52" s="231"/>
      <c r="BW52" s="303"/>
    </row>
    <row r="53" spans="2:75" ht="33.6">
      <c r="B53" s="235"/>
      <c r="C53" s="216"/>
      <c r="D53" s="221" t="s">
        <v>427</v>
      </c>
      <c r="E53" s="224"/>
      <c r="F53" s="218"/>
      <c r="G53" s="219"/>
      <c r="H53" s="219"/>
      <c r="I53" s="217"/>
      <c r="J53" s="222"/>
      <c r="K53" s="218"/>
      <c r="L53" s="221"/>
      <c r="M53" s="221"/>
      <c r="N53" s="221"/>
      <c r="O53" s="222"/>
      <c r="P53" s="221"/>
      <c r="Q53" s="221"/>
      <c r="R53" s="221"/>
      <c r="S53" s="221"/>
      <c r="T53" s="222"/>
      <c r="U53" s="221"/>
      <c r="V53" s="221"/>
      <c r="W53" s="221"/>
      <c r="X53" s="221"/>
      <c r="Y53" s="296"/>
      <c r="Z53" s="223"/>
      <c r="AA53" s="224"/>
      <c r="AB53" s="225"/>
      <c r="AC53" s="226"/>
      <c r="AD53" s="219"/>
      <c r="AE53" s="227"/>
      <c r="AF53" s="228"/>
      <c r="AG53" s="225"/>
      <c r="AH53" s="221"/>
      <c r="AI53" s="221"/>
      <c r="AJ53" s="221"/>
      <c r="AK53" s="228"/>
      <c r="AL53" s="297"/>
      <c r="AM53" s="221"/>
      <c r="AN53" s="221"/>
      <c r="AO53" s="221"/>
      <c r="AP53" s="228"/>
      <c r="AQ53" s="221"/>
      <c r="AR53" s="221"/>
      <c r="AS53" s="221"/>
      <c r="AT53" s="221"/>
      <c r="AU53" s="229"/>
      <c r="AV53" s="220"/>
      <c r="AW53" s="226" t="s">
        <v>46</v>
      </c>
      <c r="AX53" s="225" t="s">
        <v>428</v>
      </c>
      <c r="AY53" s="297" t="s">
        <v>429</v>
      </c>
      <c r="AZ53" s="297" t="s">
        <v>430</v>
      </c>
      <c r="BA53" s="230" t="s">
        <v>401</v>
      </c>
      <c r="BB53" s="231"/>
      <c r="BC53" s="231" t="s">
        <v>458</v>
      </c>
      <c r="BD53" s="231"/>
      <c r="BE53" s="231"/>
      <c r="BF53" s="231"/>
      <c r="BG53" s="231"/>
      <c r="BH53" s="231"/>
      <c r="BI53" s="231"/>
      <c r="BJ53" s="231"/>
      <c r="BK53" s="231"/>
      <c r="BL53" s="231"/>
      <c r="BM53" s="231"/>
      <c r="BN53" s="231"/>
      <c r="BO53" s="231"/>
      <c r="BP53" s="231"/>
      <c r="BQ53" s="231"/>
      <c r="BR53" s="231"/>
      <c r="BS53" s="231"/>
      <c r="BT53" s="231"/>
      <c r="BU53" s="231"/>
      <c r="BV53" s="231"/>
      <c r="BW53" s="303"/>
    </row>
    <row r="54" spans="2:75" ht="16.899999999999999">
      <c r="B54" s="235"/>
      <c r="C54" s="240" t="s">
        <v>431</v>
      </c>
      <c r="D54" s="240"/>
      <c r="E54" s="245"/>
      <c r="F54" s="237"/>
      <c r="G54" s="238"/>
      <c r="H54" s="238"/>
      <c r="I54" s="236"/>
      <c r="J54" s="241"/>
      <c r="K54" s="237"/>
      <c r="L54" s="240"/>
      <c r="M54" s="240"/>
      <c r="N54" s="240"/>
      <c r="O54" s="241"/>
      <c r="P54" s="240"/>
      <c r="Q54" s="240"/>
      <c r="R54" s="240"/>
      <c r="S54" s="240"/>
      <c r="T54" s="241"/>
      <c r="U54" s="240"/>
      <c r="V54" s="240"/>
      <c r="W54" s="240"/>
      <c r="X54" s="240"/>
      <c r="Y54" s="249"/>
      <c r="Z54" s="250"/>
      <c r="AA54" s="245"/>
      <c r="AB54" s="242"/>
      <c r="AC54" s="243"/>
      <c r="AD54" s="238"/>
      <c r="AE54" s="244"/>
      <c r="AF54" s="305"/>
      <c r="AG54" s="242"/>
      <c r="AH54" s="240"/>
      <c r="AI54" s="240"/>
      <c r="AJ54" s="240"/>
      <c r="AK54" s="305"/>
      <c r="AL54" s="306"/>
      <c r="AM54" s="240"/>
      <c r="AN54" s="240"/>
      <c r="AO54" s="240"/>
      <c r="AP54" s="305"/>
      <c r="AQ54" s="240"/>
      <c r="AR54" s="240"/>
      <c r="AS54" s="240"/>
      <c r="AT54" s="240"/>
      <c r="AU54" s="246"/>
      <c r="AV54" s="239"/>
      <c r="AW54" s="243"/>
      <c r="AX54" s="242"/>
      <c r="AY54" s="242"/>
      <c r="AZ54" s="306"/>
      <c r="BA54" s="333"/>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09"/>
    </row>
    <row r="55" spans="2:75" ht="16.899999999999999">
      <c r="B55" s="235"/>
      <c r="C55" s="240" t="s">
        <v>432</v>
      </c>
      <c r="D55" s="240"/>
      <c r="E55" s="245"/>
      <c r="F55" s="237"/>
      <c r="G55" s="238"/>
      <c r="H55" s="238"/>
      <c r="I55" s="236"/>
      <c r="J55" s="241"/>
      <c r="K55" s="237"/>
      <c r="L55" s="240"/>
      <c r="M55" s="240"/>
      <c r="N55" s="240"/>
      <c r="O55" s="241"/>
      <c r="P55" s="240"/>
      <c r="Q55" s="240"/>
      <c r="R55" s="240"/>
      <c r="S55" s="240"/>
      <c r="T55" s="241"/>
      <c r="U55" s="240"/>
      <c r="V55" s="240"/>
      <c r="W55" s="240"/>
      <c r="X55" s="240"/>
      <c r="Y55" s="249"/>
      <c r="Z55" s="250"/>
      <c r="AA55" s="245"/>
      <c r="AB55" s="242"/>
      <c r="AC55" s="243"/>
      <c r="AD55" s="238"/>
      <c r="AE55" s="244"/>
      <c r="AF55" s="305"/>
      <c r="AG55" s="242"/>
      <c r="AH55" s="240"/>
      <c r="AI55" s="240"/>
      <c r="AJ55" s="240"/>
      <c r="AK55" s="305"/>
      <c r="AL55" s="306"/>
      <c r="AM55" s="240"/>
      <c r="AN55" s="240"/>
      <c r="AO55" s="240"/>
      <c r="AP55" s="305"/>
      <c r="AQ55" s="240"/>
      <c r="AR55" s="240"/>
      <c r="AS55" s="240"/>
      <c r="AT55" s="240"/>
      <c r="AU55" s="246"/>
      <c r="AV55" s="239"/>
      <c r="AW55" s="243"/>
      <c r="AX55" s="242"/>
      <c r="AY55" s="242"/>
      <c r="AZ55" s="306"/>
      <c r="BA55" s="333"/>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09"/>
    </row>
    <row r="56" spans="2:75" ht="16.899999999999999">
      <c r="B56" s="335"/>
      <c r="C56" s="336" t="s">
        <v>433</v>
      </c>
      <c r="D56" s="336"/>
      <c r="E56" s="279"/>
      <c r="F56" s="280"/>
      <c r="G56" s="281"/>
      <c r="H56" s="281"/>
      <c r="I56" s="282"/>
      <c r="J56" s="337"/>
      <c r="K56" s="280"/>
      <c r="L56" s="336"/>
      <c r="M56" s="336"/>
      <c r="N56" s="336"/>
      <c r="O56" s="337"/>
      <c r="P56" s="336"/>
      <c r="Q56" s="336"/>
      <c r="R56" s="336"/>
      <c r="S56" s="336"/>
      <c r="T56" s="337"/>
      <c r="U56" s="336"/>
      <c r="V56" s="336"/>
      <c r="W56" s="336"/>
      <c r="X56" s="336"/>
      <c r="Y56" s="284"/>
      <c r="Z56" s="285"/>
      <c r="AA56" s="279"/>
      <c r="AB56" s="286"/>
      <c r="AC56" s="287"/>
      <c r="AD56" s="281"/>
      <c r="AE56" s="288"/>
      <c r="AF56" s="338"/>
      <c r="AG56" s="286"/>
      <c r="AH56" s="336"/>
      <c r="AI56" s="336"/>
      <c r="AJ56" s="336"/>
      <c r="AK56" s="338"/>
      <c r="AL56" s="339"/>
      <c r="AM56" s="336"/>
      <c r="AN56" s="336"/>
      <c r="AO56" s="336"/>
      <c r="AP56" s="338"/>
      <c r="AQ56" s="336"/>
      <c r="AR56" s="336"/>
      <c r="AS56" s="336"/>
      <c r="AT56" s="336"/>
      <c r="AU56" s="289"/>
      <c r="AV56" s="283"/>
      <c r="AW56" s="287"/>
      <c r="AX56" s="286"/>
      <c r="AY56" s="286"/>
      <c r="AZ56" s="339"/>
      <c r="BA56" s="314"/>
      <c r="BB56" s="315"/>
      <c r="BC56" s="315"/>
      <c r="BD56" s="315"/>
      <c r="BE56" s="315"/>
      <c r="BF56" s="315"/>
      <c r="BG56" s="315"/>
      <c r="BH56" s="315"/>
      <c r="BI56" s="315"/>
      <c r="BJ56" s="315"/>
      <c r="BK56" s="315"/>
      <c r="BL56" s="315"/>
      <c r="BM56" s="315"/>
      <c r="BN56" s="315"/>
      <c r="BO56" s="315"/>
      <c r="BP56" s="315"/>
      <c r="BQ56" s="315"/>
      <c r="BR56" s="315"/>
      <c r="BS56" s="315"/>
      <c r="BT56" s="315"/>
      <c r="BU56" s="315"/>
      <c r="BV56" s="315"/>
      <c r="BW56" s="316"/>
    </row>
    <row r="57" spans="2:75" ht="33.6">
      <c r="B57" s="539" t="s">
        <v>434</v>
      </c>
      <c r="C57" s="540" t="s">
        <v>485</v>
      </c>
      <c r="D57" s="540"/>
      <c r="E57" s="541"/>
      <c r="F57" s="542" t="s">
        <v>234</v>
      </c>
      <c r="G57" s="543"/>
      <c r="H57" s="543" t="s">
        <v>50</v>
      </c>
      <c r="I57" s="563" t="s">
        <v>50</v>
      </c>
      <c r="J57" s="344"/>
      <c r="K57" s="342"/>
      <c r="L57" s="340"/>
      <c r="M57" s="340"/>
      <c r="N57" s="340"/>
      <c r="O57" s="344"/>
      <c r="P57" s="340"/>
      <c r="Q57" s="340"/>
      <c r="R57" s="340"/>
      <c r="S57" s="340"/>
      <c r="T57" s="344"/>
      <c r="U57" s="340"/>
      <c r="V57" s="340"/>
      <c r="W57" s="340"/>
      <c r="X57" s="340"/>
      <c r="Y57" s="345"/>
      <c r="Z57" s="346"/>
      <c r="AA57" s="341"/>
      <c r="AB57" s="347"/>
      <c r="AC57" s="348"/>
      <c r="AD57" s="343"/>
      <c r="AE57" s="349"/>
      <c r="AF57" s="350"/>
      <c r="AG57" s="347"/>
      <c r="AH57" s="340"/>
      <c r="AI57" s="340"/>
      <c r="AJ57" s="340"/>
      <c r="AK57" s="350"/>
      <c r="AL57" s="351"/>
      <c r="AM57" s="340"/>
      <c r="AN57" s="340"/>
      <c r="AO57" s="340"/>
      <c r="AP57" s="350"/>
      <c r="AQ57" s="340"/>
      <c r="AR57" s="340"/>
      <c r="AS57" s="340"/>
      <c r="AT57" s="340"/>
      <c r="AU57" s="352"/>
      <c r="AV57" s="353"/>
      <c r="AW57" s="348" t="s">
        <v>438</v>
      </c>
      <c r="AX57" s="347" t="s">
        <v>439</v>
      </c>
      <c r="AY57" s="347" t="s">
        <v>440</v>
      </c>
      <c r="AZ57" s="351" t="s">
        <v>384</v>
      </c>
      <c r="BA57" s="354" t="s">
        <v>609</v>
      </c>
      <c r="BB57" s="355" t="s">
        <v>610</v>
      </c>
      <c r="BC57" s="355" t="s">
        <v>458</v>
      </c>
      <c r="BD57" s="355"/>
      <c r="BE57" s="355"/>
      <c r="BF57" s="355"/>
      <c r="BG57" s="355"/>
      <c r="BH57" s="355"/>
      <c r="BI57" s="355"/>
      <c r="BJ57" s="355"/>
      <c r="BK57" s="355"/>
      <c r="BL57" s="355"/>
      <c r="BM57" s="355"/>
      <c r="BN57" s="355"/>
      <c r="BO57" s="355"/>
      <c r="BP57" s="355"/>
      <c r="BQ57" s="355"/>
      <c r="BR57" s="355"/>
      <c r="BS57" s="355"/>
      <c r="BT57" s="355"/>
      <c r="BU57" s="355"/>
      <c r="BV57" s="355"/>
      <c r="BW57" s="356"/>
    </row>
    <row r="58" spans="2:75" ht="16.899999999999999">
      <c r="B58" s="544"/>
      <c r="C58" s="567" t="s">
        <v>611</v>
      </c>
      <c r="D58" s="545"/>
      <c r="E58" s="546"/>
      <c r="F58" s="547"/>
      <c r="G58" s="548"/>
      <c r="H58" s="549"/>
      <c r="I58" s="564"/>
      <c r="J58" s="361"/>
      <c r="K58" s="359"/>
      <c r="L58" s="357"/>
      <c r="M58" s="357"/>
      <c r="N58" s="357"/>
      <c r="O58" s="361"/>
      <c r="P58" s="357"/>
      <c r="Q58" s="357"/>
      <c r="R58" s="357"/>
      <c r="S58" s="357"/>
      <c r="T58" s="361"/>
      <c r="U58" s="357"/>
      <c r="V58" s="357"/>
      <c r="W58" s="357"/>
      <c r="X58" s="357"/>
      <c r="Y58" s="362"/>
      <c r="Z58" s="363"/>
      <c r="AA58" s="358"/>
      <c r="AB58" s="364"/>
      <c r="AC58" s="365"/>
      <c r="AD58" s="360"/>
      <c r="AE58" s="366"/>
      <c r="AF58" s="367"/>
      <c r="AG58" s="364"/>
      <c r="AH58" s="357"/>
      <c r="AI58" s="357"/>
      <c r="AJ58" s="357"/>
      <c r="AK58" s="367"/>
      <c r="AL58" s="368"/>
      <c r="AM58" s="357"/>
      <c r="AN58" s="357"/>
      <c r="AO58" s="357"/>
      <c r="AP58" s="367"/>
      <c r="AQ58" s="357"/>
      <c r="AR58" s="357"/>
      <c r="AS58" s="357"/>
      <c r="AT58" s="357"/>
      <c r="AU58" s="369"/>
      <c r="AV58" s="370"/>
      <c r="AW58" s="365"/>
      <c r="AX58" s="364"/>
      <c r="AY58" s="364"/>
      <c r="AZ58" s="368"/>
      <c r="BA58" s="371" t="s">
        <v>609</v>
      </c>
      <c r="BB58" s="372" t="s">
        <v>610</v>
      </c>
      <c r="BC58" s="372" t="s">
        <v>458</v>
      </c>
      <c r="BD58" s="372"/>
      <c r="BE58" s="372"/>
      <c r="BF58" s="372"/>
      <c r="BG58" s="372"/>
      <c r="BH58" s="372"/>
      <c r="BI58" s="372"/>
      <c r="BJ58" s="372"/>
      <c r="BK58" s="372"/>
      <c r="BL58" s="372"/>
      <c r="BM58" s="372"/>
      <c r="BN58" s="372"/>
      <c r="BO58" s="372"/>
      <c r="BP58" s="372"/>
      <c r="BQ58" s="372"/>
      <c r="BR58" s="372"/>
      <c r="BS58" s="372"/>
      <c r="BT58" s="372"/>
      <c r="BU58" s="372"/>
      <c r="BV58" s="372"/>
      <c r="BW58" s="373"/>
    </row>
    <row r="59" spans="2:75" ht="33.6">
      <c r="B59" s="544"/>
      <c r="C59" s="550" t="s">
        <v>407</v>
      </c>
      <c r="D59" s="545"/>
      <c r="E59" s="551" t="s">
        <v>612</v>
      </c>
      <c r="F59" s="552" t="s">
        <v>234</v>
      </c>
      <c r="G59" s="553" t="s">
        <v>613</v>
      </c>
      <c r="H59" s="549" t="s">
        <v>125</v>
      </c>
      <c r="I59" s="530" t="s">
        <v>614</v>
      </c>
      <c r="J59" s="361"/>
      <c r="K59" s="359"/>
      <c r="L59" s="357"/>
      <c r="M59" s="357"/>
      <c r="N59" s="357"/>
      <c r="O59" s="361"/>
      <c r="P59" s="357"/>
      <c r="Q59" s="357"/>
      <c r="R59" s="357"/>
      <c r="S59" s="357"/>
      <c r="T59" s="361"/>
      <c r="U59" s="357"/>
      <c r="V59" s="357"/>
      <c r="W59" s="357"/>
      <c r="X59" s="357"/>
      <c r="Y59" s="362"/>
      <c r="Z59" s="363"/>
      <c r="AA59" s="358"/>
      <c r="AB59" s="364"/>
      <c r="AC59" s="365"/>
      <c r="AD59" s="360"/>
      <c r="AE59" s="366"/>
      <c r="AF59" s="367"/>
      <c r="AG59" s="364"/>
      <c r="AH59" s="357"/>
      <c r="AI59" s="357"/>
      <c r="AJ59" s="357"/>
      <c r="AK59" s="367"/>
      <c r="AL59" s="368"/>
      <c r="AM59" s="357"/>
      <c r="AN59" s="357"/>
      <c r="AO59" s="357"/>
      <c r="AP59" s="367"/>
      <c r="AQ59" s="357"/>
      <c r="AR59" s="357"/>
      <c r="AS59" s="357"/>
      <c r="AT59" s="357"/>
      <c r="AU59" s="369"/>
      <c r="AV59" s="370"/>
      <c r="AW59" s="365"/>
      <c r="AX59" s="364"/>
      <c r="AY59" s="364"/>
      <c r="AZ59" s="368"/>
      <c r="BA59" s="371" t="s">
        <v>609</v>
      </c>
      <c r="BB59" s="372" t="s">
        <v>610</v>
      </c>
      <c r="BC59" s="372" t="s">
        <v>458</v>
      </c>
      <c r="BD59" s="372"/>
      <c r="BE59" s="372"/>
      <c r="BF59" s="372"/>
      <c r="BG59" s="372"/>
      <c r="BH59" s="372"/>
      <c r="BI59" s="372"/>
      <c r="BJ59" s="372"/>
      <c r="BK59" s="372"/>
      <c r="BL59" s="372"/>
      <c r="BM59" s="372"/>
      <c r="BN59" s="372"/>
      <c r="BO59" s="372"/>
      <c r="BP59" s="372"/>
      <c r="BQ59" s="372"/>
      <c r="BR59" s="372"/>
      <c r="BS59" s="372"/>
      <c r="BT59" s="372"/>
      <c r="BU59" s="372"/>
      <c r="BV59" s="372"/>
      <c r="BW59" s="373"/>
    </row>
    <row r="60" spans="2:75" ht="16.899999999999999">
      <c r="B60" s="544"/>
      <c r="C60" s="554" t="s">
        <v>330</v>
      </c>
      <c r="D60" s="554"/>
      <c r="E60" s="568"/>
      <c r="F60" s="569" t="s">
        <v>123</v>
      </c>
      <c r="G60" s="624"/>
      <c r="H60" s="570"/>
      <c r="I60" s="571"/>
      <c r="J60" s="378"/>
      <c r="K60" s="374"/>
      <c r="L60" s="375"/>
      <c r="M60" s="375"/>
      <c r="N60" s="375"/>
      <c r="O60" s="378"/>
      <c r="P60" s="375"/>
      <c r="Q60" s="375"/>
      <c r="R60" s="375"/>
      <c r="S60" s="375"/>
      <c r="T60" s="378"/>
      <c r="U60" s="375"/>
      <c r="V60" s="375"/>
      <c r="W60" s="375"/>
      <c r="X60" s="375"/>
      <c r="Y60" s="379"/>
      <c r="Z60" s="380"/>
      <c r="AA60" s="376"/>
      <c r="AB60" s="381"/>
      <c r="AC60" s="382"/>
      <c r="AD60" s="377"/>
      <c r="AE60" s="383"/>
      <c r="AF60" s="384"/>
      <c r="AG60" s="381"/>
      <c r="AH60" s="375"/>
      <c r="AI60" s="375"/>
      <c r="AJ60" s="375"/>
      <c r="AK60" s="384"/>
      <c r="AL60" s="385"/>
      <c r="AM60" s="375"/>
      <c r="AN60" s="375"/>
      <c r="AO60" s="375"/>
      <c r="AP60" s="384"/>
      <c r="AQ60" s="375"/>
      <c r="AR60" s="375"/>
      <c r="AS60" s="375"/>
      <c r="AT60" s="375"/>
      <c r="AU60" s="386"/>
      <c r="AV60" s="387"/>
      <c r="AW60" s="382"/>
      <c r="AX60" s="381"/>
      <c r="AY60" s="381"/>
      <c r="AZ60" s="385"/>
      <c r="BA60" s="388"/>
      <c r="BB60" s="389"/>
      <c r="BC60" s="389"/>
      <c r="BD60" s="389"/>
      <c r="BE60" s="389"/>
      <c r="BF60" s="389"/>
      <c r="BG60" s="389"/>
      <c r="BH60" s="389"/>
      <c r="BI60" s="389"/>
      <c r="BJ60" s="389"/>
      <c r="BK60" s="389"/>
      <c r="BL60" s="389"/>
      <c r="BM60" s="389"/>
      <c r="BN60" s="389"/>
      <c r="BO60" s="389"/>
      <c r="BP60" s="389"/>
      <c r="BQ60" s="389"/>
      <c r="BR60" s="389"/>
      <c r="BS60" s="389"/>
      <c r="BT60" s="389"/>
      <c r="BU60" s="389"/>
      <c r="BV60" s="389"/>
      <c r="BW60" s="390"/>
    </row>
    <row r="61" spans="2:75" ht="33.6">
      <c r="B61" s="539" t="s">
        <v>484</v>
      </c>
      <c r="C61" s="540" t="s">
        <v>485</v>
      </c>
      <c r="D61" s="540"/>
      <c r="E61" s="541"/>
      <c r="F61" s="542" t="s">
        <v>234</v>
      </c>
      <c r="G61" s="543"/>
      <c r="H61" s="543"/>
      <c r="I61" s="563"/>
      <c r="J61" s="344"/>
      <c r="K61" s="342"/>
      <c r="L61" s="340"/>
      <c r="M61" s="340"/>
      <c r="N61" s="340"/>
      <c r="O61" s="344"/>
      <c r="P61" s="340"/>
      <c r="Q61" s="340"/>
      <c r="R61" s="340"/>
      <c r="S61" s="340"/>
      <c r="T61" s="344"/>
      <c r="U61" s="340"/>
      <c r="V61" s="340"/>
      <c r="W61" s="340"/>
      <c r="X61" s="340"/>
      <c r="Y61" s="345"/>
      <c r="Z61" s="346"/>
      <c r="AA61" s="341"/>
      <c r="AB61" s="347"/>
      <c r="AC61" s="348"/>
      <c r="AD61" s="343"/>
      <c r="AE61" s="349"/>
      <c r="AF61" s="350"/>
      <c r="AG61" s="347"/>
      <c r="AH61" s="340"/>
      <c r="AI61" s="340"/>
      <c r="AJ61" s="340"/>
      <c r="AK61" s="350"/>
      <c r="AL61" s="351"/>
      <c r="AM61" s="340"/>
      <c r="AN61" s="340"/>
      <c r="AO61" s="340"/>
      <c r="AP61" s="350"/>
      <c r="AQ61" s="340"/>
      <c r="AR61" s="340"/>
      <c r="AS61" s="340"/>
      <c r="AT61" s="340"/>
      <c r="AU61" s="352"/>
      <c r="AV61" s="353"/>
      <c r="AW61" s="348" t="s">
        <v>438</v>
      </c>
      <c r="AX61" s="347" t="s">
        <v>439</v>
      </c>
      <c r="AY61" s="347" t="s">
        <v>440</v>
      </c>
      <c r="AZ61" s="351" t="s">
        <v>384</v>
      </c>
      <c r="BA61" s="354"/>
      <c r="BB61" s="355"/>
      <c r="BC61" s="355"/>
      <c r="BD61" s="355"/>
      <c r="BE61" s="355"/>
      <c r="BF61" s="355"/>
      <c r="BG61" s="355"/>
      <c r="BH61" s="355"/>
      <c r="BI61" s="355"/>
      <c r="BJ61" s="355"/>
      <c r="BK61" s="355"/>
      <c r="BL61" s="355"/>
      <c r="BM61" s="355"/>
      <c r="BN61" s="355"/>
      <c r="BO61" s="355"/>
      <c r="BP61" s="355"/>
      <c r="BQ61" s="355"/>
      <c r="BR61" s="355"/>
      <c r="BS61" s="355"/>
      <c r="BT61" s="355"/>
      <c r="BU61" s="355"/>
      <c r="BV61" s="355"/>
      <c r="BW61" s="356"/>
    </row>
    <row r="62" spans="2:75" ht="16.899999999999999">
      <c r="B62" s="544"/>
      <c r="C62" s="545" t="s">
        <v>371</v>
      </c>
      <c r="D62" s="545"/>
      <c r="E62" s="551"/>
      <c r="F62" s="552" t="s">
        <v>123</v>
      </c>
      <c r="G62" s="549"/>
      <c r="H62" s="549"/>
      <c r="I62" s="564"/>
      <c r="J62" s="361"/>
      <c r="K62" s="359"/>
      <c r="L62" s="357"/>
      <c r="M62" s="357"/>
      <c r="N62" s="357"/>
      <c r="O62" s="361"/>
      <c r="P62" s="357"/>
      <c r="Q62" s="357"/>
      <c r="R62" s="357"/>
      <c r="S62" s="357"/>
      <c r="T62" s="361"/>
      <c r="U62" s="357"/>
      <c r="V62" s="357"/>
      <c r="W62" s="357"/>
      <c r="X62" s="357"/>
      <c r="Y62" s="362"/>
      <c r="Z62" s="363"/>
      <c r="AA62" s="358"/>
      <c r="AB62" s="364"/>
      <c r="AC62" s="365"/>
      <c r="AD62" s="360"/>
      <c r="AE62" s="366"/>
      <c r="AF62" s="367"/>
      <c r="AG62" s="364"/>
      <c r="AH62" s="357"/>
      <c r="AI62" s="357"/>
      <c r="AJ62" s="357"/>
      <c r="AK62" s="367"/>
      <c r="AL62" s="368"/>
      <c r="AM62" s="357"/>
      <c r="AN62" s="357"/>
      <c r="AO62" s="357"/>
      <c r="AP62" s="367"/>
      <c r="AQ62" s="357"/>
      <c r="AR62" s="357"/>
      <c r="AS62" s="357"/>
      <c r="AT62" s="357"/>
      <c r="AU62" s="369"/>
      <c r="AV62" s="370"/>
      <c r="AW62" s="365"/>
      <c r="AX62" s="391"/>
      <c r="AY62" s="391"/>
      <c r="AZ62" s="368"/>
      <c r="BA62" s="388"/>
      <c r="BB62" s="389"/>
      <c r="BC62" s="389"/>
      <c r="BD62" s="389"/>
      <c r="BE62" s="389"/>
      <c r="BF62" s="389"/>
      <c r="BG62" s="389"/>
      <c r="BH62" s="389"/>
      <c r="BI62" s="389"/>
      <c r="BJ62" s="389"/>
      <c r="BK62" s="389"/>
      <c r="BL62" s="389"/>
      <c r="BM62" s="389"/>
      <c r="BN62" s="389"/>
      <c r="BO62" s="389"/>
      <c r="BP62" s="389"/>
      <c r="BQ62" s="389"/>
      <c r="BR62" s="389"/>
      <c r="BS62" s="389"/>
      <c r="BT62" s="389"/>
      <c r="BU62" s="389"/>
      <c r="BV62" s="389"/>
      <c r="BW62" s="390"/>
    </row>
    <row r="63" spans="2:75" ht="33.6">
      <c r="B63" s="539" t="s">
        <v>522</v>
      </c>
      <c r="C63" s="540" t="s">
        <v>407</v>
      </c>
      <c r="D63" s="540"/>
      <c r="E63" s="555"/>
      <c r="F63" s="556"/>
      <c r="G63" s="557"/>
      <c r="H63" s="557"/>
      <c r="I63" s="565"/>
      <c r="J63" s="344"/>
      <c r="K63" s="342"/>
      <c r="L63" s="340"/>
      <c r="M63" s="340"/>
      <c r="N63" s="340"/>
      <c r="O63" s="344"/>
      <c r="P63" s="340"/>
      <c r="Q63" s="340"/>
      <c r="R63" s="340"/>
      <c r="S63" s="340"/>
      <c r="T63" s="344"/>
      <c r="U63" s="340"/>
      <c r="V63" s="340"/>
      <c r="W63" s="340"/>
      <c r="X63" s="340"/>
      <c r="Y63" s="345"/>
      <c r="Z63" s="346"/>
      <c r="AA63" s="341"/>
      <c r="AB63" s="347"/>
      <c r="AC63" s="348"/>
      <c r="AD63" s="343"/>
      <c r="AE63" s="349"/>
      <c r="AF63" s="350"/>
      <c r="AG63" s="347"/>
      <c r="AH63" s="340"/>
      <c r="AI63" s="340"/>
      <c r="AJ63" s="340"/>
      <c r="AK63" s="350"/>
      <c r="AL63" s="351"/>
      <c r="AM63" s="340"/>
      <c r="AN63" s="340"/>
      <c r="AO63" s="340"/>
      <c r="AP63" s="350"/>
      <c r="AQ63" s="340"/>
      <c r="AR63" s="340"/>
      <c r="AS63" s="340"/>
      <c r="AT63" s="340"/>
      <c r="AU63" s="352"/>
      <c r="AV63" s="353"/>
      <c r="AW63" s="348" t="s">
        <v>438</v>
      </c>
      <c r="AX63" s="347" t="s">
        <v>523</v>
      </c>
      <c r="AY63" s="347" t="s">
        <v>524</v>
      </c>
      <c r="AZ63" s="351" t="s">
        <v>384</v>
      </c>
      <c r="BA63" s="354"/>
      <c r="BB63" s="355"/>
      <c r="BC63" s="355"/>
      <c r="BD63" s="355"/>
      <c r="BE63" s="355"/>
      <c r="BF63" s="355"/>
      <c r="BG63" s="355"/>
      <c r="BH63" s="355"/>
      <c r="BI63" s="355"/>
      <c r="BJ63" s="355"/>
      <c r="BK63" s="355"/>
      <c r="BL63" s="355"/>
      <c r="BM63" s="355"/>
      <c r="BN63" s="355"/>
      <c r="BO63" s="355"/>
      <c r="BP63" s="355"/>
      <c r="BQ63" s="355"/>
      <c r="BR63" s="355"/>
      <c r="BS63" s="355"/>
      <c r="BT63" s="355"/>
      <c r="BU63" s="355"/>
      <c r="BV63" s="355"/>
      <c r="BW63" s="356"/>
    </row>
    <row r="64" spans="2:75" ht="16.899999999999999">
      <c r="B64" s="544"/>
      <c r="C64" s="545" t="s">
        <v>525</v>
      </c>
      <c r="D64" s="545"/>
      <c r="E64" s="551"/>
      <c r="F64" s="552"/>
      <c r="G64" s="549"/>
      <c r="H64" s="549"/>
      <c r="I64" s="564"/>
      <c r="J64" s="361"/>
      <c r="K64" s="359"/>
      <c r="L64" s="357"/>
      <c r="M64" s="357"/>
      <c r="N64" s="357"/>
      <c r="O64" s="361"/>
      <c r="P64" s="357"/>
      <c r="Q64" s="357"/>
      <c r="R64" s="357"/>
      <c r="S64" s="357"/>
      <c r="T64" s="361"/>
      <c r="U64" s="357"/>
      <c r="V64" s="357"/>
      <c r="W64" s="357"/>
      <c r="X64" s="357"/>
      <c r="Y64" s="362"/>
      <c r="Z64" s="363"/>
      <c r="AA64" s="358"/>
      <c r="AB64" s="364"/>
      <c r="AC64" s="365"/>
      <c r="AD64" s="360"/>
      <c r="AE64" s="366"/>
      <c r="AF64" s="367"/>
      <c r="AG64" s="364"/>
      <c r="AH64" s="357"/>
      <c r="AI64" s="357"/>
      <c r="AJ64" s="357"/>
      <c r="AK64" s="367"/>
      <c r="AL64" s="368"/>
      <c r="AM64" s="357"/>
      <c r="AN64" s="357"/>
      <c r="AO64" s="357"/>
      <c r="AP64" s="367"/>
      <c r="AQ64" s="357"/>
      <c r="AR64" s="357"/>
      <c r="AS64" s="357"/>
      <c r="AT64" s="357"/>
      <c r="AU64" s="369"/>
      <c r="AV64" s="370"/>
      <c r="AW64" s="365"/>
      <c r="AX64" s="364"/>
      <c r="AY64" s="364"/>
      <c r="AZ64" s="368"/>
      <c r="BA64" s="371"/>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row>
    <row r="65" spans="2:75" ht="16.899999999999999">
      <c r="B65" s="544"/>
      <c r="C65" s="545" t="s">
        <v>526</v>
      </c>
      <c r="D65" s="545"/>
      <c r="E65" s="551"/>
      <c r="F65" s="552"/>
      <c r="G65" s="549"/>
      <c r="H65" s="549"/>
      <c r="I65" s="564"/>
      <c r="J65" s="361"/>
      <c r="K65" s="359"/>
      <c r="L65" s="357"/>
      <c r="M65" s="357"/>
      <c r="N65" s="357"/>
      <c r="O65" s="361"/>
      <c r="P65" s="357"/>
      <c r="Q65" s="357"/>
      <c r="R65" s="357"/>
      <c r="S65" s="357"/>
      <c r="T65" s="361"/>
      <c r="U65" s="357"/>
      <c r="V65" s="357"/>
      <c r="W65" s="357"/>
      <c r="X65" s="357"/>
      <c r="Y65" s="362"/>
      <c r="Z65" s="363"/>
      <c r="AA65" s="358"/>
      <c r="AB65" s="364"/>
      <c r="AC65" s="365"/>
      <c r="AD65" s="360"/>
      <c r="AE65" s="366"/>
      <c r="AF65" s="367"/>
      <c r="AG65" s="364"/>
      <c r="AH65" s="357"/>
      <c r="AI65" s="357"/>
      <c r="AJ65" s="357"/>
      <c r="AK65" s="367"/>
      <c r="AL65" s="368"/>
      <c r="AM65" s="357"/>
      <c r="AN65" s="357"/>
      <c r="AO65" s="357"/>
      <c r="AP65" s="367"/>
      <c r="AQ65" s="357"/>
      <c r="AR65" s="357"/>
      <c r="AS65" s="357"/>
      <c r="AT65" s="357"/>
      <c r="AU65" s="369"/>
      <c r="AV65" s="370"/>
      <c r="AW65" s="365"/>
      <c r="AX65" s="364"/>
      <c r="AY65" s="364"/>
      <c r="AZ65" s="368"/>
      <c r="BA65" s="371"/>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3"/>
    </row>
    <row r="66" spans="2:75" ht="16.899999999999999">
      <c r="B66" s="558"/>
      <c r="C66" s="559" t="s">
        <v>330</v>
      </c>
      <c r="D66" s="559"/>
      <c r="E66" s="560"/>
      <c r="F66" s="561"/>
      <c r="G66" s="562"/>
      <c r="H66" s="562"/>
      <c r="I66" s="566"/>
      <c r="J66" s="396"/>
      <c r="K66" s="394"/>
      <c r="L66" s="392"/>
      <c r="M66" s="392"/>
      <c r="N66" s="392"/>
      <c r="O66" s="396"/>
      <c r="P66" s="392"/>
      <c r="Q66" s="392"/>
      <c r="R66" s="392"/>
      <c r="S66" s="392"/>
      <c r="T66" s="396"/>
      <c r="U66" s="392"/>
      <c r="V66" s="392"/>
      <c r="W66" s="392"/>
      <c r="X66" s="392"/>
      <c r="Y66" s="397"/>
      <c r="Z66" s="398"/>
      <c r="AA66" s="393"/>
      <c r="AB66" s="399"/>
      <c r="AC66" s="400"/>
      <c r="AD66" s="395"/>
      <c r="AE66" s="401"/>
      <c r="AF66" s="402"/>
      <c r="AG66" s="399"/>
      <c r="AH66" s="392"/>
      <c r="AI66" s="392"/>
      <c r="AJ66" s="392"/>
      <c r="AK66" s="402"/>
      <c r="AL66" s="403"/>
      <c r="AM66" s="392"/>
      <c r="AN66" s="392"/>
      <c r="AO66" s="392"/>
      <c r="AP66" s="402"/>
      <c r="AQ66" s="392"/>
      <c r="AR66" s="392"/>
      <c r="AS66" s="392"/>
      <c r="AT66" s="392"/>
      <c r="AU66" s="404"/>
      <c r="AV66" s="405"/>
      <c r="AW66" s="400"/>
      <c r="AX66" s="399"/>
      <c r="AY66" s="399"/>
      <c r="AZ66" s="403"/>
      <c r="BA66" s="406"/>
      <c r="BB66" s="407"/>
      <c r="BC66" s="407"/>
      <c r="BD66" s="407"/>
      <c r="BE66" s="407"/>
      <c r="BF66" s="407"/>
      <c r="BG66" s="407"/>
      <c r="BH66" s="407"/>
      <c r="BI66" s="407"/>
      <c r="BJ66" s="407"/>
      <c r="BK66" s="407"/>
      <c r="BL66" s="407"/>
      <c r="BM66" s="407"/>
      <c r="BN66" s="407"/>
      <c r="BO66" s="407"/>
      <c r="BP66" s="407"/>
      <c r="BQ66" s="407"/>
      <c r="BR66" s="407"/>
      <c r="BS66" s="407"/>
      <c r="BT66" s="407"/>
      <c r="BU66" s="407"/>
      <c r="BV66" s="407"/>
      <c r="BW66" s="408"/>
    </row>
    <row r="67" spans="2:75" ht="16.5" customHeight="1">
      <c r="E67" s="169"/>
      <c r="Y67" s="170"/>
      <c r="Z67" s="170"/>
      <c r="AA67" s="169"/>
      <c r="AB67" s="169"/>
      <c r="AC67" s="169"/>
      <c r="AE67" s="169"/>
      <c r="AF67" s="169"/>
      <c r="AG67" s="169"/>
      <c r="AK67" s="169"/>
      <c r="AL67" s="169"/>
      <c r="AP67" s="169"/>
      <c r="AU67" s="170"/>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row>
    <row r="68" spans="2:75" ht="16.5" customHeight="1">
      <c r="B68" s="409" t="s">
        <v>527</v>
      </c>
      <c r="E68" s="169"/>
      <c r="Y68" s="170"/>
      <c r="Z68" s="170"/>
      <c r="AA68" s="169"/>
      <c r="AB68" s="169"/>
      <c r="AC68" s="169"/>
      <c r="AE68" s="169"/>
      <c r="AF68" s="169"/>
      <c r="AG68" s="169"/>
      <c r="AK68" s="169"/>
      <c r="AL68" s="169"/>
      <c r="AP68" s="169"/>
      <c r="AU68" s="170"/>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row>
    <row r="69" spans="2:75" ht="16.5" customHeight="1">
      <c r="B69" s="410" t="s">
        <v>528</v>
      </c>
      <c r="C69" s="411"/>
      <c r="E69" s="169"/>
      <c r="Y69" s="170"/>
      <c r="Z69" s="170"/>
      <c r="AA69" s="169"/>
      <c r="AB69" s="169"/>
      <c r="AC69" s="169"/>
      <c r="AE69" s="169"/>
      <c r="AF69" s="169"/>
      <c r="AG69" s="169"/>
      <c r="AK69" s="169"/>
      <c r="AL69" s="169"/>
      <c r="AP69" s="169"/>
      <c r="AU69" s="170"/>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row>
    <row r="70" spans="2:75" ht="16.5" customHeight="1">
      <c r="B70" s="412" t="s">
        <v>529</v>
      </c>
      <c r="C70" s="413"/>
      <c r="E70" s="169"/>
      <c r="Y70" s="170"/>
      <c r="Z70" s="170"/>
      <c r="AA70" s="171"/>
      <c r="AB70" s="171"/>
      <c r="AC70" s="171"/>
      <c r="AD70" s="170"/>
      <c r="AE70" s="171"/>
      <c r="AF70" s="171"/>
      <c r="AG70" s="171"/>
      <c r="AH70" s="170"/>
      <c r="AI70" s="170"/>
      <c r="AJ70" s="170"/>
      <c r="AK70" s="171"/>
      <c r="AL70" s="171"/>
      <c r="AM70" s="170"/>
      <c r="AN70" s="170"/>
      <c r="AO70" s="170"/>
      <c r="AP70" s="171"/>
      <c r="AQ70" s="170"/>
      <c r="AR70" s="170"/>
      <c r="AS70" s="170"/>
      <c r="AT70" s="170"/>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sheetData>
  <mergeCells count="46">
    <mergeCell ref="B4:E4"/>
    <mergeCell ref="B5:E5"/>
    <mergeCell ref="B8:D8"/>
    <mergeCell ref="E8:Z8"/>
    <mergeCell ref="AA8:AU8"/>
    <mergeCell ref="BA8:BW8"/>
    <mergeCell ref="E9:I9"/>
    <mergeCell ref="J9:N9"/>
    <mergeCell ref="O9:S9"/>
    <mergeCell ref="T9:X9"/>
    <mergeCell ref="Y9:Z9"/>
    <mergeCell ref="AA9:AE9"/>
    <mergeCell ref="AF9:AJ9"/>
    <mergeCell ref="AK9:AO9"/>
    <mergeCell ref="AP9:AT9"/>
    <mergeCell ref="AV8:AZ8"/>
    <mergeCell ref="BA9:BB9"/>
    <mergeCell ref="BD9:BW9"/>
    <mergeCell ref="H10:I10"/>
    <mergeCell ref="M10:N10"/>
    <mergeCell ref="R10:S10"/>
    <mergeCell ref="W10:X10"/>
    <mergeCell ref="AD10:AE10"/>
    <mergeCell ref="AI10:AJ10"/>
    <mergeCell ref="AN10:AO10"/>
    <mergeCell ref="AS10:AT10"/>
    <mergeCell ref="BD10:BH10"/>
    <mergeCell ref="BI10:BM10"/>
    <mergeCell ref="BN10:BR10"/>
    <mergeCell ref="BS10:BW10"/>
    <mergeCell ref="BD11:BE11"/>
    <mergeCell ref="BF11:BG11"/>
    <mergeCell ref="BI11:BJ11"/>
    <mergeCell ref="BK11:BL11"/>
    <mergeCell ref="BN11:BO11"/>
    <mergeCell ref="BP11:BQ11"/>
    <mergeCell ref="BU11:BV11"/>
    <mergeCell ref="BS11:BT11"/>
    <mergeCell ref="AV22:AV24"/>
    <mergeCell ref="AA25:AA26"/>
    <mergeCell ref="AV25:AV27"/>
    <mergeCell ref="AZ25:AZ26"/>
    <mergeCell ref="AV44:AV45"/>
    <mergeCell ref="AW44:AW45"/>
    <mergeCell ref="AY44:AY45"/>
    <mergeCell ref="AZ44:AZ45"/>
  </mergeCells>
  <phoneticPr fontId="10"/>
  <dataValidations count="1">
    <dataValidation type="list" allowBlank="1" showErrorMessage="1" sqref="Y13:Y66 AU13:AU66" xr:uid="{FF0F625F-BD25-4CBD-8FBC-0CCB0EFBBE43}">
      <formula1>"◎,〇,△,×"</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11C4-1484-4823-931B-CD2C795395E1}">
  <dimension ref="B2:BB35"/>
  <sheetViews>
    <sheetView showGridLines="0" topLeftCell="AI27" workbookViewId="0">
      <selection activeCell="AX45" sqref="AX45"/>
    </sheetView>
  </sheetViews>
  <sheetFormatPr defaultColWidth="9" defaultRowHeight="15" customHeight="1"/>
  <cols>
    <col min="1" max="63" width="8" style="428" customWidth="1"/>
    <col min="64" max="16384" width="9" style="428"/>
  </cols>
  <sheetData>
    <row r="2" spans="2:47" ht="29.45">
      <c r="B2" s="429" t="s">
        <v>615</v>
      </c>
    </row>
    <row r="3" spans="2:47" ht="15.75" customHeight="1"/>
    <row r="4" spans="2:47" ht="23.45">
      <c r="B4" s="430" t="s">
        <v>616</v>
      </c>
    </row>
    <row r="5" spans="2:47" ht="15.75" customHeight="1"/>
    <row r="6" spans="2:47" ht="15.75" customHeight="1"/>
    <row r="7" spans="2:47" ht="20.45">
      <c r="B7" s="431" t="s">
        <v>617</v>
      </c>
      <c r="K7" s="431" t="s">
        <v>618</v>
      </c>
      <c r="T7" s="431" t="s">
        <v>619</v>
      </c>
      <c r="AC7" s="431" t="s">
        <v>620</v>
      </c>
      <c r="AL7" s="431" t="s">
        <v>621</v>
      </c>
      <c r="AU7" s="486" t="s">
        <v>622</v>
      </c>
    </row>
    <row r="8" spans="2:47" ht="20.45">
      <c r="B8" s="431"/>
      <c r="K8" s="431"/>
      <c r="T8" s="431"/>
      <c r="AC8" s="431"/>
      <c r="AL8" s="431"/>
      <c r="AU8" s="431"/>
    </row>
    <row r="9" spans="2:47" ht="16.899999999999999">
      <c r="B9" s="432" t="s">
        <v>623</v>
      </c>
      <c r="K9" s="432" t="s">
        <v>623</v>
      </c>
      <c r="T9" s="432" t="s">
        <v>623</v>
      </c>
      <c r="AC9" s="432" t="s">
        <v>623</v>
      </c>
      <c r="AL9" s="432" t="s">
        <v>623</v>
      </c>
      <c r="AU9" s="432" t="s">
        <v>623</v>
      </c>
    </row>
    <row r="10" spans="2:47" ht="15.75" customHeight="1">
      <c r="B10" s="428" t="s">
        <v>624</v>
      </c>
      <c r="K10" s="428" t="s">
        <v>625</v>
      </c>
      <c r="T10" s="428" t="s">
        <v>625</v>
      </c>
      <c r="AC10" s="1079" t="s">
        <v>626</v>
      </c>
      <c r="AD10" s="1079"/>
      <c r="AE10" s="1079"/>
      <c r="AF10" s="1079"/>
      <c r="AG10" s="1079"/>
      <c r="AH10" s="1079"/>
      <c r="AI10" s="1079"/>
      <c r="AL10" s="428" t="s">
        <v>627</v>
      </c>
      <c r="AU10" s="428" t="s">
        <v>628</v>
      </c>
    </row>
    <row r="11" spans="2:47" ht="15.75" customHeight="1"/>
    <row r="12" spans="2:47" ht="16.899999999999999">
      <c r="B12" s="432" t="s">
        <v>629</v>
      </c>
      <c r="K12" s="432" t="s">
        <v>629</v>
      </c>
      <c r="T12" s="432" t="s">
        <v>629</v>
      </c>
      <c r="AC12" s="432" t="s">
        <v>629</v>
      </c>
      <c r="AL12" s="432" t="s">
        <v>629</v>
      </c>
      <c r="AU12" s="432" t="s">
        <v>629</v>
      </c>
    </row>
    <row r="13" spans="2:47" ht="15.75" customHeight="1">
      <c r="B13" s="428" t="s">
        <v>630</v>
      </c>
      <c r="K13" s="428" t="s">
        <v>631</v>
      </c>
      <c r="T13" s="428" t="s">
        <v>632</v>
      </c>
      <c r="AC13" s="1079" t="s">
        <v>633</v>
      </c>
      <c r="AD13" s="1079"/>
      <c r="AE13" s="1079"/>
      <c r="AF13" s="1079"/>
      <c r="AG13" s="1079"/>
      <c r="AL13" s="428" t="s">
        <v>634</v>
      </c>
      <c r="AU13" s="428" t="s">
        <v>635</v>
      </c>
    </row>
    <row r="14" spans="2:47" ht="15.75" customHeight="1"/>
    <row r="15" spans="2:47" ht="16.5" customHeight="1">
      <c r="B15" s="432" t="s">
        <v>636</v>
      </c>
      <c r="K15" s="432" t="s">
        <v>636</v>
      </c>
      <c r="T15" s="432" t="s">
        <v>636</v>
      </c>
      <c r="AC15" s="1080" t="s">
        <v>637</v>
      </c>
      <c r="AD15" s="1080"/>
      <c r="AE15" s="1080"/>
      <c r="AF15" s="1080"/>
      <c r="AG15" s="1080"/>
      <c r="AL15" s="432" t="s">
        <v>638</v>
      </c>
      <c r="AU15" s="526" t="s">
        <v>639</v>
      </c>
    </row>
    <row r="16" spans="2:47" ht="15.75" customHeight="1">
      <c r="B16" s="428" t="s">
        <v>640</v>
      </c>
      <c r="K16" s="428" t="s">
        <v>640</v>
      </c>
      <c r="T16" s="428" t="s">
        <v>640</v>
      </c>
      <c r="AC16" s="1078" t="s">
        <v>641</v>
      </c>
      <c r="AD16" s="1078"/>
      <c r="AE16" s="1078"/>
      <c r="AF16" s="1078"/>
      <c r="AG16" s="1078"/>
      <c r="AH16" s="1078"/>
      <c r="AI16" s="1078"/>
      <c r="AJ16" s="1078"/>
      <c r="AL16" s="428" t="s">
        <v>642</v>
      </c>
      <c r="AU16" s="428" t="s">
        <v>643</v>
      </c>
    </row>
    <row r="17" spans="2:54" ht="15.75" customHeight="1">
      <c r="B17" s="428" t="s">
        <v>644</v>
      </c>
      <c r="K17" s="428" t="s">
        <v>644</v>
      </c>
      <c r="T17" s="428" t="s">
        <v>644</v>
      </c>
      <c r="AC17" s="1079" t="s">
        <v>645</v>
      </c>
      <c r="AD17" s="1079"/>
      <c r="AE17" s="1079"/>
      <c r="AF17" s="1079"/>
      <c r="AG17" s="1079"/>
      <c r="AH17" s="1079"/>
      <c r="AI17" s="1079"/>
      <c r="AJ17" s="1079"/>
      <c r="AL17" s="428" t="s">
        <v>646</v>
      </c>
      <c r="AU17" s="428" t="s">
        <v>647</v>
      </c>
    </row>
    <row r="18" spans="2:54" ht="15.75" customHeight="1">
      <c r="B18" s="428" t="s">
        <v>648</v>
      </c>
      <c r="K18" s="428" t="s">
        <v>648</v>
      </c>
      <c r="T18" s="428" t="s">
        <v>648</v>
      </c>
      <c r="AC18" s="1079" t="s">
        <v>649</v>
      </c>
      <c r="AD18" s="1079"/>
      <c r="AE18" s="1079"/>
      <c r="AF18" s="1079"/>
      <c r="AG18" s="1079"/>
      <c r="AH18" s="1079"/>
      <c r="AI18" s="1079"/>
      <c r="AJ18" s="1079"/>
      <c r="AL18" s="428" t="s">
        <v>650</v>
      </c>
      <c r="AU18" s="428" t="s">
        <v>651</v>
      </c>
    </row>
    <row r="19" spans="2:54" ht="15.75" customHeight="1">
      <c r="B19" s="428" t="s">
        <v>652</v>
      </c>
      <c r="K19" s="428" t="s">
        <v>652</v>
      </c>
      <c r="T19" s="428" t="s">
        <v>652</v>
      </c>
      <c r="AC19" s="1079" t="s">
        <v>653</v>
      </c>
      <c r="AD19" s="1079"/>
      <c r="AE19" s="1079"/>
      <c r="AF19" s="1079"/>
      <c r="AG19" s="1079"/>
      <c r="AH19" s="1079"/>
      <c r="AI19" s="1079"/>
      <c r="AJ19" s="1079"/>
      <c r="AL19" s="428" t="s">
        <v>654</v>
      </c>
      <c r="AU19" s="428" t="s">
        <v>655</v>
      </c>
    </row>
    <row r="20" spans="2:54" ht="15.75" customHeight="1"/>
    <row r="21" spans="2:54" ht="15.75" customHeight="1"/>
    <row r="22" spans="2:54" ht="15.75" customHeight="1" thickBot="1"/>
    <row r="23" spans="2:54" ht="19.149999999999999">
      <c r="B23" s="1082" t="s">
        <v>656</v>
      </c>
      <c r="C23" s="1180"/>
      <c r="E23" s="1083" t="s">
        <v>657</v>
      </c>
      <c r="F23" s="1180"/>
      <c r="H23" s="1083" t="s">
        <v>658</v>
      </c>
      <c r="I23" s="1180"/>
      <c r="K23" s="1082" t="s">
        <v>656</v>
      </c>
      <c r="L23" s="1180"/>
      <c r="N23" s="1082" t="s">
        <v>657</v>
      </c>
      <c r="O23" s="1180"/>
      <c r="Q23" s="1082" t="s">
        <v>658</v>
      </c>
      <c r="R23" s="1180"/>
      <c r="T23" s="1082" t="s">
        <v>656</v>
      </c>
      <c r="U23" s="1180"/>
      <c r="W23" s="1084" t="s">
        <v>657</v>
      </c>
      <c r="X23" s="1180"/>
      <c r="Z23" s="1084" t="s">
        <v>658</v>
      </c>
      <c r="AA23" s="1180"/>
      <c r="AC23" s="1081" t="s">
        <v>656</v>
      </c>
      <c r="AD23" s="1180"/>
      <c r="AF23" s="1081" t="s">
        <v>657</v>
      </c>
      <c r="AG23" s="1180"/>
      <c r="AI23" s="1081" t="s">
        <v>658</v>
      </c>
      <c r="AJ23" s="1180"/>
      <c r="AL23" s="1081" t="s">
        <v>656</v>
      </c>
      <c r="AM23" s="1180"/>
      <c r="AO23" s="1081" t="s">
        <v>657</v>
      </c>
      <c r="AP23" s="1180"/>
      <c r="AR23" s="1081" t="s">
        <v>658</v>
      </c>
      <c r="AS23" s="1180"/>
      <c r="AT23" s="433"/>
      <c r="AU23" s="1081" t="s">
        <v>656</v>
      </c>
      <c r="AV23" s="1180"/>
      <c r="AX23" s="1081" t="s">
        <v>657</v>
      </c>
      <c r="AY23" s="1180"/>
      <c r="BA23" s="1081" t="s">
        <v>658</v>
      </c>
      <c r="BB23" s="1180"/>
    </row>
    <row r="24" spans="2:54" ht="19.149999999999999">
      <c r="B24" s="1181"/>
      <c r="C24" s="1182"/>
      <c r="E24" s="1181"/>
      <c r="F24" s="1182"/>
      <c r="H24" s="1181"/>
      <c r="I24" s="1182"/>
      <c r="K24" s="1181"/>
      <c r="L24" s="1182"/>
      <c r="N24" s="1181"/>
      <c r="O24" s="1182"/>
      <c r="Q24" s="1181"/>
      <c r="R24" s="1182"/>
      <c r="T24" s="1181"/>
      <c r="U24" s="1182"/>
      <c r="W24" s="1181"/>
      <c r="X24" s="1182"/>
      <c r="Z24" s="1181"/>
      <c r="AA24" s="1182"/>
      <c r="AC24" s="1181"/>
      <c r="AD24" s="1182"/>
      <c r="AF24" s="1181"/>
      <c r="AG24" s="1182"/>
      <c r="AI24" s="1181"/>
      <c r="AJ24" s="1182"/>
      <c r="AL24" s="1181"/>
      <c r="AM24" s="1182"/>
      <c r="AO24" s="1181"/>
      <c r="AP24" s="1182"/>
      <c r="AR24" s="1181"/>
      <c r="AS24" s="1182"/>
      <c r="AT24" s="433"/>
      <c r="AU24" s="1181"/>
      <c r="AV24" s="1182"/>
      <c r="AX24" s="1181"/>
      <c r="AY24" s="1182"/>
      <c r="BA24" s="1181"/>
      <c r="BB24" s="1182"/>
    </row>
    <row r="25" spans="2:54" ht="19.899999999999999" thickBot="1">
      <c r="B25" s="1183"/>
      <c r="C25" s="1184"/>
      <c r="E25" s="1183"/>
      <c r="F25" s="1184"/>
      <c r="H25" s="1183"/>
      <c r="I25" s="1184"/>
      <c r="K25" s="1183"/>
      <c r="L25" s="1184"/>
      <c r="N25" s="1183"/>
      <c r="O25" s="1184"/>
      <c r="Q25" s="1183"/>
      <c r="R25" s="1184"/>
      <c r="T25" s="1183"/>
      <c r="U25" s="1184"/>
      <c r="W25" s="1183"/>
      <c r="X25" s="1184"/>
      <c r="Z25" s="1183"/>
      <c r="AA25" s="1184"/>
      <c r="AC25" s="1183"/>
      <c r="AD25" s="1184"/>
      <c r="AF25" s="1183"/>
      <c r="AG25" s="1184"/>
      <c r="AI25" s="1183"/>
      <c r="AJ25" s="1184"/>
      <c r="AL25" s="1183"/>
      <c r="AM25" s="1184"/>
      <c r="AO25" s="1183"/>
      <c r="AP25" s="1184"/>
      <c r="AR25" s="1183"/>
      <c r="AS25" s="1184"/>
      <c r="AT25" s="433"/>
      <c r="AU25" s="1183"/>
      <c r="AV25" s="1184"/>
      <c r="AX25" s="1183"/>
      <c r="AY25" s="1184"/>
      <c r="BA25" s="1183"/>
      <c r="BB25" s="1184"/>
    </row>
    <row r="26" spans="2:54" ht="15.75" customHeight="1" thickBot="1"/>
    <row r="27" spans="2:54" ht="16.899999999999999">
      <c r="B27" s="1083" t="s">
        <v>55</v>
      </c>
      <c r="C27" s="1185"/>
      <c r="D27" s="1185"/>
      <c r="E27" s="1185"/>
      <c r="F27" s="1185"/>
      <c r="G27" s="1185"/>
      <c r="H27" s="1185"/>
      <c r="I27" s="1180"/>
      <c r="K27" s="1081" t="s">
        <v>55</v>
      </c>
      <c r="L27" s="1185"/>
      <c r="M27" s="1185"/>
      <c r="N27" s="1185"/>
      <c r="O27" s="1185"/>
      <c r="P27" s="1185"/>
      <c r="Q27" s="1185"/>
      <c r="R27" s="1180"/>
      <c r="T27" s="1081" t="s">
        <v>55</v>
      </c>
      <c r="U27" s="1185"/>
      <c r="V27" s="1185"/>
      <c r="W27" s="1185"/>
      <c r="X27" s="1185"/>
      <c r="Y27" s="1185"/>
      <c r="Z27" s="1185"/>
      <c r="AA27" s="1180"/>
      <c r="AC27" s="1083" t="s">
        <v>55</v>
      </c>
      <c r="AD27" s="1185"/>
      <c r="AE27" s="1185"/>
      <c r="AF27" s="1185"/>
      <c r="AG27" s="1185"/>
      <c r="AH27" s="1185"/>
      <c r="AI27" s="1185"/>
      <c r="AJ27" s="1180"/>
      <c r="AL27" s="1083" t="s">
        <v>55</v>
      </c>
      <c r="AM27" s="1185"/>
      <c r="AN27" s="1185"/>
      <c r="AO27" s="1185"/>
      <c r="AP27" s="1185"/>
      <c r="AQ27" s="1185"/>
      <c r="AR27" s="1185"/>
      <c r="AS27" s="1180"/>
      <c r="AU27" s="1082" t="s">
        <v>55</v>
      </c>
      <c r="AV27" s="1185"/>
      <c r="AW27" s="1185"/>
      <c r="AX27" s="1185"/>
      <c r="AY27" s="1185"/>
      <c r="AZ27" s="1185"/>
      <c r="BA27" s="1185"/>
      <c r="BB27" s="1180"/>
    </row>
    <row r="28" spans="2:54" ht="16.899999999999999">
      <c r="B28" s="1181"/>
      <c r="C28" s="1186"/>
      <c r="D28" s="1186"/>
      <c r="E28" s="1186"/>
      <c r="F28" s="1186"/>
      <c r="G28" s="1186"/>
      <c r="H28" s="1186"/>
      <c r="I28" s="1182"/>
      <c r="K28" s="1181"/>
      <c r="L28" s="1186"/>
      <c r="M28" s="1186"/>
      <c r="N28" s="1186"/>
      <c r="O28" s="1186"/>
      <c r="P28" s="1186"/>
      <c r="Q28" s="1186"/>
      <c r="R28" s="1182"/>
      <c r="T28" s="1181"/>
      <c r="U28" s="1186"/>
      <c r="V28" s="1186"/>
      <c r="W28" s="1186"/>
      <c r="X28" s="1186"/>
      <c r="Y28" s="1186"/>
      <c r="Z28" s="1186"/>
      <c r="AA28" s="1182"/>
      <c r="AC28" s="1181"/>
      <c r="AD28" s="1186"/>
      <c r="AE28" s="1186"/>
      <c r="AF28" s="1186"/>
      <c r="AG28" s="1186"/>
      <c r="AH28" s="1186"/>
      <c r="AI28" s="1186"/>
      <c r="AJ28" s="1182"/>
      <c r="AL28" s="1181"/>
      <c r="AM28" s="1186"/>
      <c r="AN28" s="1186"/>
      <c r="AO28" s="1186"/>
      <c r="AP28" s="1186"/>
      <c r="AQ28" s="1186"/>
      <c r="AR28" s="1186"/>
      <c r="AS28" s="1182"/>
      <c r="AU28" s="1181"/>
      <c r="AV28" s="1186"/>
      <c r="AW28" s="1186"/>
      <c r="AX28" s="1186"/>
      <c r="AY28" s="1186"/>
      <c r="AZ28" s="1186"/>
      <c r="BA28" s="1186"/>
      <c r="BB28" s="1182"/>
    </row>
    <row r="29" spans="2:54" ht="16.899999999999999">
      <c r="B29" s="1187"/>
      <c r="C29" s="1188"/>
      <c r="D29" s="1188"/>
      <c r="E29" s="1188"/>
      <c r="F29" s="1188"/>
      <c r="G29" s="1188"/>
      <c r="H29" s="1188"/>
      <c r="I29" s="1189"/>
      <c r="K29" s="1187"/>
      <c r="L29" s="1188"/>
      <c r="M29" s="1188"/>
      <c r="N29" s="1188"/>
      <c r="O29" s="1188"/>
      <c r="P29" s="1188"/>
      <c r="Q29" s="1188"/>
      <c r="R29" s="1189"/>
      <c r="T29" s="1187"/>
      <c r="U29" s="1188"/>
      <c r="V29" s="1188"/>
      <c r="W29" s="1188"/>
      <c r="X29" s="1188"/>
      <c r="Y29" s="1188"/>
      <c r="Z29" s="1188"/>
      <c r="AA29" s="1189"/>
      <c r="AC29" s="1187"/>
      <c r="AD29" s="1188"/>
      <c r="AE29" s="1188"/>
      <c r="AF29" s="1188"/>
      <c r="AG29" s="1188"/>
      <c r="AH29" s="1188"/>
      <c r="AI29" s="1188"/>
      <c r="AJ29" s="1189"/>
      <c r="AL29" s="1187"/>
      <c r="AM29" s="1188"/>
      <c r="AN29" s="1188"/>
      <c r="AO29" s="1188"/>
      <c r="AP29" s="1188"/>
      <c r="AQ29" s="1188"/>
      <c r="AR29" s="1188"/>
      <c r="AS29" s="1189"/>
      <c r="AU29" s="1187"/>
      <c r="AV29" s="1188"/>
      <c r="AW29" s="1188"/>
      <c r="AX29" s="1188"/>
      <c r="AY29" s="1188"/>
      <c r="AZ29" s="1188"/>
      <c r="BA29" s="1188"/>
      <c r="BB29" s="1189"/>
    </row>
    <row r="30" spans="2:54" ht="16.899999999999999">
      <c r="B30" s="1086" t="s">
        <v>53</v>
      </c>
      <c r="C30" s="1190"/>
      <c r="D30" s="1190"/>
      <c r="E30" s="1190"/>
      <c r="F30" s="1190"/>
      <c r="G30" s="1190"/>
      <c r="H30" s="1190"/>
      <c r="I30" s="1191"/>
      <c r="K30" s="1087" t="s">
        <v>53</v>
      </c>
      <c r="L30" s="1190"/>
      <c r="M30" s="1190"/>
      <c r="N30" s="1190"/>
      <c r="O30" s="1190"/>
      <c r="P30" s="1190"/>
      <c r="Q30" s="1190"/>
      <c r="R30" s="1191"/>
      <c r="T30" s="1087" t="s">
        <v>53</v>
      </c>
      <c r="U30" s="1190"/>
      <c r="V30" s="1190"/>
      <c r="W30" s="1190"/>
      <c r="X30" s="1190"/>
      <c r="Y30" s="1190"/>
      <c r="Z30" s="1190"/>
      <c r="AA30" s="1191"/>
      <c r="AC30" s="1086" t="s">
        <v>53</v>
      </c>
      <c r="AD30" s="1190"/>
      <c r="AE30" s="1190"/>
      <c r="AF30" s="1190"/>
      <c r="AG30" s="1190"/>
      <c r="AH30" s="1190"/>
      <c r="AI30" s="1190"/>
      <c r="AJ30" s="1191"/>
      <c r="AL30" s="1088" t="s">
        <v>53</v>
      </c>
      <c r="AM30" s="1190"/>
      <c r="AN30" s="1190"/>
      <c r="AO30" s="1190"/>
      <c r="AP30" s="1190"/>
      <c r="AQ30" s="1190"/>
      <c r="AR30" s="1190"/>
      <c r="AS30" s="1191"/>
      <c r="AU30" s="1085" t="s">
        <v>53</v>
      </c>
      <c r="AV30" s="1190"/>
      <c r="AW30" s="1190"/>
      <c r="AX30" s="1190"/>
      <c r="AY30" s="1190"/>
      <c r="AZ30" s="1190"/>
      <c r="BA30" s="1190"/>
      <c r="BB30" s="1191"/>
    </row>
    <row r="31" spans="2:54" ht="16.899999999999999">
      <c r="B31" s="1181"/>
      <c r="C31" s="1186"/>
      <c r="D31" s="1186"/>
      <c r="E31" s="1186"/>
      <c r="F31" s="1186"/>
      <c r="G31" s="1186"/>
      <c r="H31" s="1186"/>
      <c r="I31" s="1182"/>
      <c r="K31" s="1181"/>
      <c r="L31" s="1186"/>
      <c r="M31" s="1186"/>
      <c r="N31" s="1186"/>
      <c r="O31" s="1186"/>
      <c r="P31" s="1186"/>
      <c r="Q31" s="1186"/>
      <c r="R31" s="1182"/>
      <c r="T31" s="1181"/>
      <c r="U31" s="1186"/>
      <c r="V31" s="1186"/>
      <c r="W31" s="1186"/>
      <c r="X31" s="1186"/>
      <c r="Y31" s="1186"/>
      <c r="Z31" s="1186"/>
      <c r="AA31" s="1182"/>
      <c r="AC31" s="1181"/>
      <c r="AD31" s="1186"/>
      <c r="AE31" s="1186"/>
      <c r="AF31" s="1186"/>
      <c r="AG31" s="1186"/>
      <c r="AH31" s="1186"/>
      <c r="AI31" s="1186"/>
      <c r="AJ31" s="1182"/>
      <c r="AL31" s="1181"/>
      <c r="AM31" s="1186"/>
      <c r="AN31" s="1186"/>
      <c r="AO31" s="1186"/>
      <c r="AP31" s="1186"/>
      <c r="AQ31" s="1186"/>
      <c r="AR31" s="1186"/>
      <c r="AS31" s="1182"/>
      <c r="AU31" s="1181"/>
      <c r="AV31" s="1186"/>
      <c r="AW31" s="1186"/>
      <c r="AX31" s="1186"/>
      <c r="AY31" s="1186"/>
      <c r="AZ31" s="1186"/>
      <c r="BA31" s="1186"/>
      <c r="BB31" s="1182"/>
    </row>
    <row r="32" spans="2:54" ht="16.899999999999999">
      <c r="B32" s="1187"/>
      <c r="C32" s="1188"/>
      <c r="D32" s="1188"/>
      <c r="E32" s="1188"/>
      <c r="F32" s="1188"/>
      <c r="G32" s="1188"/>
      <c r="H32" s="1188"/>
      <c r="I32" s="1189"/>
      <c r="K32" s="1187"/>
      <c r="L32" s="1188"/>
      <c r="M32" s="1188"/>
      <c r="N32" s="1188"/>
      <c r="O32" s="1188"/>
      <c r="P32" s="1188"/>
      <c r="Q32" s="1188"/>
      <c r="R32" s="1189"/>
      <c r="T32" s="1187"/>
      <c r="U32" s="1188"/>
      <c r="V32" s="1188"/>
      <c r="W32" s="1188"/>
      <c r="X32" s="1188"/>
      <c r="Y32" s="1188"/>
      <c r="Z32" s="1188"/>
      <c r="AA32" s="1189"/>
      <c r="AC32" s="1187"/>
      <c r="AD32" s="1188"/>
      <c r="AE32" s="1188"/>
      <c r="AF32" s="1188"/>
      <c r="AG32" s="1188"/>
      <c r="AH32" s="1188"/>
      <c r="AI32" s="1188"/>
      <c r="AJ32" s="1189"/>
      <c r="AL32" s="1187"/>
      <c r="AM32" s="1188"/>
      <c r="AN32" s="1188"/>
      <c r="AO32" s="1188"/>
      <c r="AP32" s="1188"/>
      <c r="AQ32" s="1188"/>
      <c r="AR32" s="1188"/>
      <c r="AS32" s="1189"/>
      <c r="AU32" s="1187"/>
      <c r="AV32" s="1188"/>
      <c r="AW32" s="1188"/>
      <c r="AX32" s="1188"/>
      <c r="AY32" s="1188"/>
      <c r="AZ32" s="1188"/>
      <c r="BA32" s="1188"/>
      <c r="BB32" s="1189"/>
    </row>
    <row r="33" spans="2:54" ht="16.899999999999999">
      <c r="B33" s="1086" t="s">
        <v>49</v>
      </c>
      <c r="C33" s="1190"/>
      <c r="D33" s="1190"/>
      <c r="E33" s="1190"/>
      <c r="F33" s="1190"/>
      <c r="G33" s="1190"/>
      <c r="H33" s="1190"/>
      <c r="I33" s="1191"/>
      <c r="K33" s="1087" t="s">
        <v>49</v>
      </c>
      <c r="L33" s="1190"/>
      <c r="M33" s="1190"/>
      <c r="N33" s="1190"/>
      <c r="O33" s="1190"/>
      <c r="P33" s="1190"/>
      <c r="Q33" s="1190"/>
      <c r="R33" s="1191"/>
      <c r="T33" s="1087" t="s">
        <v>49</v>
      </c>
      <c r="U33" s="1190"/>
      <c r="V33" s="1190"/>
      <c r="W33" s="1190"/>
      <c r="X33" s="1190"/>
      <c r="Y33" s="1190"/>
      <c r="Z33" s="1190"/>
      <c r="AA33" s="1191"/>
      <c r="AC33" s="1088" t="s">
        <v>49</v>
      </c>
      <c r="AD33" s="1190"/>
      <c r="AE33" s="1190"/>
      <c r="AF33" s="1190"/>
      <c r="AG33" s="1190"/>
      <c r="AH33" s="1190"/>
      <c r="AI33" s="1190"/>
      <c r="AJ33" s="1191"/>
      <c r="AL33" s="1085" t="s">
        <v>49</v>
      </c>
      <c r="AM33" s="1190"/>
      <c r="AN33" s="1190"/>
      <c r="AO33" s="1190"/>
      <c r="AP33" s="1190"/>
      <c r="AQ33" s="1190"/>
      <c r="AR33" s="1190"/>
      <c r="AS33" s="1191"/>
      <c r="AU33" s="1085" t="s">
        <v>49</v>
      </c>
      <c r="AV33" s="1190"/>
      <c r="AW33" s="1190"/>
      <c r="AX33" s="1190"/>
      <c r="AY33" s="1190"/>
      <c r="AZ33" s="1190"/>
      <c r="BA33" s="1190"/>
      <c r="BB33" s="1191"/>
    </row>
    <row r="34" spans="2:54" ht="16.899999999999999">
      <c r="B34" s="1181"/>
      <c r="C34" s="1186"/>
      <c r="D34" s="1186"/>
      <c r="E34" s="1186"/>
      <c r="F34" s="1186"/>
      <c r="G34" s="1186"/>
      <c r="H34" s="1186"/>
      <c r="I34" s="1182"/>
      <c r="K34" s="1181"/>
      <c r="L34" s="1186"/>
      <c r="M34" s="1186"/>
      <c r="N34" s="1186"/>
      <c r="O34" s="1186"/>
      <c r="P34" s="1186"/>
      <c r="Q34" s="1186"/>
      <c r="R34" s="1182"/>
      <c r="T34" s="1181"/>
      <c r="U34" s="1186"/>
      <c r="V34" s="1186"/>
      <c r="W34" s="1186"/>
      <c r="X34" s="1186"/>
      <c r="Y34" s="1186"/>
      <c r="Z34" s="1186"/>
      <c r="AA34" s="1182"/>
      <c r="AC34" s="1181"/>
      <c r="AD34" s="1186"/>
      <c r="AE34" s="1186"/>
      <c r="AF34" s="1186"/>
      <c r="AG34" s="1186"/>
      <c r="AH34" s="1186"/>
      <c r="AI34" s="1186"/>
      <c r="AJ34" s="1182"/>
      <c r="AL34" s="1181"/>
      <c r="AM34" s="1186"/>
      <c r="AN34" s="1186"/>
      <c r="AO34" s="1186"/>
      <c r="AP34" s="1186"/>
      <c r="AQ34" s="1186"/>
      <c r="AR34" s="1186"/>
      <c r="AS34" s="1182"/>
      <c r="AU34" s="1181"/>
      <c r="AV34" s="1186"/>
      <c r="AW34" s="1186"/>
      <c r="AX34" s="1186"/>
      <c r="AY34" s="1186"/>
      <c r="AZ34" s="1186"/>
      <c r="BA34" s="1186"/>
      <c r="BB34" s="1182"/>
    </row>
    <row r="35" spans="2:54" ht="17.45" thickBot="1">
      <c r="B35" s="1183"/>
      <c r="C35" s="1192"/>
      <c r="D35" s="1192"/>
      <c r="E35" s="1192"/>
      <c r="F35" s="1192"/>
      <c r="G35" s="1192"/>
      <c r="H35" s="1192"/>
      <c r="I35" s="1184"/>
      <c r="K35" s="1183"/>
      <c r="L35" s="1192"/>
      <c r="M35" s="1192"/>
      <c r="N35" s="1192"/>
      <c r="O35" s="1192"/>
      <c r="P35" s="1192"/>
      <c r="Q35" s="1192"/>
      <c r="R35" s="1184"/>
      <c r="T35" s="1183"/>
      <c r="U35" s="1192"/>
      <c r="V35" s="1192"/>
      <c r="W35" s="1192"/>
      <c r="X35" s="1192"/>
      <c r="Y35" s="1192"/>
      <c r="Z35" s="1192"/>
      <c r="AA35" s="1184"/>
      <c r="AC35" s="1183"/>
      <c r="AD35" s="1192"/>
      <c r="AE35" s="1192"/>
      <c r="AF35" s="1192"/>
      <c r="AG35" s="1192"/>
      <c r="AH35" s="1192"/>
      <c r="AI35" s="1192"/>
      <c r="AJ35" s="1184"/>
      <c r="AL35" s="1183"/>
      <c r="AM35" s="1192"/>
      <c r="AN35" s="1192"/>
      <c r="AO35" s="1192"/>
      <c r="AP35" s="1192"/>
      <c r="AQ35" s="1192"/>
      <c r="AR35" s="1192"/>
      <c r="AS35" s="1184"/>
      <c r="AU35" s="1183"/>
      <c r="AV35" s="1192"/>
      <c r="AW35" s="1192"/>
      <c r="AX35" s="1192"/>
      <c r="AY35" s="1192"/>
      <c r="AZ35" s="1192"/>
      <c r="BA35" s="1192"/>
      <c r="BB35" s="1184"/>
    </row>
  </sheetData>
  <mergeCells count="43">
    <mergeCell ref="AU33:BB35"/>
    <mergeCell ref="B30:I32"/>
    <mergeCell ref="K30:R32"/>
    <mergeCell ref="T30:AA32"/>
    <mergeCell ref="AC30:AJ32"/>
    <mergeCell ref="AL30:AS32"/>
    <mergeCell ref="AU30:BB32"/>
    <mergeCell ref="B33:I35"/>
    <mergeCell ref="K33:R35"/>
    <mergeCell ref="T33:AA35"/>
    <mergeCell ref="AC33:AJ35"/>
    <mergeCell ref="AL33:AS35"/>
    <mergeCell ref="B27:I29"/>
    <mergeCell ref="K27:R29"/>
    <mergeCell ref="T27:AA29"/>
    <mergeCell ref="AC27:AJ29"/>
    <mergeCell ref="AL27:AS29"/>
    <mergeCell ref="AU27:BB29"/>
    <mergeCell ref="AL23:AM25"/>
    <mergeCell ref="AO23:AP25"/>
    <mergeCell ref="AR23:AS25"/>
    <mergeCell ref="AU23:AV25"/>
    <mergeCell ref="AX23:AY25"/>
    <mergeCell ref="BA23:BB25"/>
    <mergeCell ref="AI23:AJ25"/>
    <mergeCell ref="B23:C25"/>
    <mergeCell ref="E23:F25"/>
    <mergeCell ref="H23:I25"/>
    <mergeCell ref="K23:L25"/>
    <mergeCell ref="N23:O25"/>
    <mergeCell ref="Q23:R25"/>
    <mergeCell ref="T23:U25"/>
    <mergeCell ref="W23:X25"/>
    <mergeCell ref="Z23:AA25"/>
    <mergeCell ref="AC23:AD25"/>
    <mergeCell ref="AF23:AG25"/>
    <mergeCell ref="AC16:AJ16"/>
    <mergeCell ref="AC17:AJ17"/>
    <mergeCell ref="AC10:AI10"/>
    <mergeCell ref="AC18:AJ18"/>
    <mergeCell ref="AC19:AJ19"/>
    <mergeCell ref="AC15:AG15"/>
    <mergeCell ref="AC13:AG13"/>
  </mergeCells>
  <phoneticPr fontId="1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49ED-5443-4847-BD5E-DAE8C701EF11}">
  <sheetPr>
    <outlinePr summaryBelow="0" summaryRight="0"/>
  </sheetPr>
  <dimension ref="B3:S31"/>
  <sheetViews>
    <sheetView showGridLines="0" topLeftCell="A15" zoomScale="55" zoomScaleNormal="55" workbookViewId="0">
      <selection activeCell="J42" sqref="J42"/>
    </sheetView>
  </sheetViews>
  <sheetFormatPr defaultColWidth="9" defaultRowHeight="15" customHeight="1"/>
  <cols>
    <col min="1" max="1" width="9" style="458"/>
    <col min="2" max="19" width="12.625" style="458" customWidth="1"/>
    <col min="20" max="16384" width="9" style="458"/>
  </cols>
  <sheetData>
    <row r="3" spans="2:19" ht="29.45">
      <c r="B3" s="457" t="s">
        <v>659</v>
      </c>
    </row>
    <row r="6" spans="2:19" ht="24.6">
      <c r="B6" s="459" t="s">
        <v>660</v>
      </c>
      <c r="L6" s="459" t="s">
        <v>661</v>
      </c>
    </row>
    <row r="8" spans="2:19" ht="15" customHeight="1" thickBot="1"/>
    <row r="9" spans="2:19" ht="19.149999999999999">
      <c r="B9" s="1089" t="s">
        <v>291</v>
      </c>
      <c r="C9" s="1193"/>
      <c r="D9" s="461"/>
      <c r="E9" s="1089" t="s">
        <v>48</v>
      </c>
      <c r="F9" s="1193"/>
      <c r="G9" s="461"/>
      <c r="H9" s="1089" t="s">
        <v>58</v>
      </c>
      <c r="I9" s="1193"/>
      <c r="J9" s="462"/>
      <c r="K9" s="462"/>
      <c r="L9" s="1089" t="s">
        <v>291</v>
      </c>
      <c r="M9" s="1193"/>
      <c r="N9" s="461"/>
      <c r="O9" s="1089" t="s">
        <v>48</v>
      </c>
      <c r="P9" s="1193"/>
      <c r="Q9" s="461"/>
      <c r="R9" s="1089" t="s">
        <v>58</v>
      </c>
      <c r="S9" s="1193"/>
    </row>
    <row r="10" spans="2:19" ht="19.149999999999999">
      <c r="B10" s="1194"/>
      <c r="C10" s="1195"/>
      <c r="D10" s="463"/>
      <c r="E10" s="1194"/>
      <c r="F10" s="1195"/>
      <c r="G10" s="463"/>
      <c r="H10" s="1194"/>
      <c r="I10" s="1195"/>
      <c r="J10" s="462"/>
      <c r="K10" s="462"/>
      <c r="L10" s="1194"/>
      <c r="M10" s="1195"/>
      <c r="N10" s="463"/>
      <c r="O10" s="1194"/>
      <c r="P10" s="1195"/>
      <c r="Q10" s="463"/>
      <c r="R10" s="1194"/>
      <c r="S10" s="1195"/>
    </row>
    <row r="11" spans="2:19" ht="19.149999999999999">
      <c r="B11" s="1194"/>
      <c r="C11" s="1195"/>
      <c r="D11" s="461"/>
      <c r="E11" s="1194"/>
      <c r="F11" s="1195"/>
      <c r="G11" s="461"/>
      <c r="H11" s="1194"/>
      <c r="I11" s="1195"/>
      <c r="J11" s="462"/>
      <c r="K11" s="462"/>
      <c r="L11" s="1194"/>
      <c r="M11" s="1195"/>
      <c r="N11" s="461"/>
      <c r="O11" s="1194"/>
      <c r="P11" s="1195"/>
      <c r="Q11" s="461"/>
      <c r="R11" s="1194"/>
      <c r="S11" s="1195"/>
    </row>
    <row r="12" spans="2:19" ht="19.899999999999999" thickBot="1">
      <c r="B12" s="1196"/>
      <c r="C12" s="1197"/>
      <c r="D12" s="461"/>
      <c r="E12" s="1196"/>
      <c r="F12" s="1197"/>
      <c r="G12" s="461"/>
      <c r="H12" s="1196"/>
      <c r="I12" s="1197"/>
      <c r="J12" s="462"/>
      <c r="K12" s="462"/>
      <c r="L12" s="1196"/>
      <c r="M12" s="1197"/>
      <c r="N12" s="461"/>
      <c r="O12" s="1196"/>
      <c r="P12" s="1197"/>
      <c r="Q12" s="461"/>
      <c r="R12" s="1196"/>
      <c r="S12" s="1197"/>
    </row>
    <row r="17" spans="5:16" ht="19.149999999999999">
      <c r="E17" s="1089" t="s">
        <v>662</v>
      </c>
      <c r="F17" s="1193"/>
      <c r="G17" s="460" t="s">
        <v>663</v>
      </c>
      <c r="L17" s="1089" t="s">
        <v>664</v>
      </c>
      <c r="M17" s="1193"/>
      <c r="N17" s="462"/>
      <c r="O17" s="1089" t="s">
        <v>662</v>
      </c>
      <c r="P17" s="1193"/>
    </row>
    <row r="18" spans="5:16" ht="19.149999999999999">
      <c r="E18" s="1194"/>
      <c r="F18" s="1195"/>
      <c r="G18" s="460"/>
      <c r="L18" s="1194"/>
      <c r="M18" s="1195"/>
      <c r="N18" s="462"/>
      <c r="O18" s="1194"/>
      <c r="P18" s="1195"/>
    </row>
    <row r="19" spans="5:16" ht="19.899999999999999" thickBot="1">
      <c r="E19" s="1196"/>
      <c r="F19" s="1197"/>
      <c r="G19" s="460"/>
      <c r="L19" s="1196"/>
      <c r="M19" s="1197"/>
      <c r="N19" s="462"/>
      <c r="O19" s="1196"/>
      <c r="P19" s="1197"/>
    </row>
    <row r="20" spans="5:16" ht="19.149999999999999">
      <c r="E20" s="1089" t="s">
        <v>665</v>
      </c>
      <c r="F20" s="1193"/>
      <c r="G20" s="460" t="s">
        <v>663</v>
      </c>
      <c r="L20" s="462"/>
      <c r="M20" s="464"/>
      <c r="N20" s="462"/>
      <c r="O20" s="462"/>
      <c r="P20" s="464"/>
    </row>
    <row r="21" spans="5:16" ht="19.149999999999999">
      <c r="E21" s="1194"/>
      <c r="F21" s="1195"/>
      <c r="G21" s="460"/>
      <c r="L21" s="462"/>
      <c r="M21" s="464"/>
      <c r="N21" s="462"/>
      <c r="O21" s="462"/>
      <c r="P21" s="464"/>
    </row>
    <row r="22" spans="5:16" ht="19.899999999999999" thickBot="1">
      <c r="E22" s="1196"/>
      <c r="F22" s="1197"/>
      <c r="G22" s="460"/>
      <c r="L22" s="462"/>
      <c r="M22" s="464"/>
      <c r="N22" s="462"/>
      <c r="O22" s="462"/>
      <c r="P22" s="464"/>
    </row>
    <row r="23" spans="5:16" ht="19.899999999999999" thickBot="1">
      <c r="E23" s="1089" t="s">
        <v>666</v>
      </c>
      <c r="F23" s="1193"/>
      <c r="G23" s="460" t="s">
        <v>667</v>
      </c>
      <c r="L23" s="462"/>
      <c r="M23" s="464"/>
      <c r="N23" s="462"/>
      <c r="O23" s="462"/>
      <c r="P23" s="464"/>
    </row>
    <row r="24" spans="5:16" ht="19.149999999999999">
      <c r="E24" s="1194"/>
      <c r="F24" s="1195"/>
      <c r="G24" s="460"/>
      <c r="L24" s="1089" t="s">
        <v>668</v>
      </c>
      <c r="M24" s="1193"/>
      <c r="N24" s="462"/>
      <c r="O24" s="1089" t="s">
        <v>668</v>
      </c>
      <c r="P24" s="1193"/>
    </row>
    <row r="25" spans="5:16" ht="19.899999999999999" thickBot="1">
      <c r="E25" s="1196"/>
      <c r="F25" s="1197"/>
      <c r="L25" s="1194"/>
      <c r="M25" s="1195"/>
      <c r="N25" s="462"/>
      <c r="O25" s="1194"/>
      <c r="P25" s="1195"/>
    </row>
    <row r="26" spans="5:16" ht="19.899999999999999" thickBot="1">
      <c r="E26" s="462"/>
      <c r="F26" s="464"/>
      <c r="L26" s="1196"/>
      <c r="M26" s="1197"/>
      <c r="N26" s="462"/>
      <c r="O26" s="1196"/>
      <c r="P26" s="1197"/>
    </row>
    <row r="27" spans="5:16" ht="19.149999999999999">
      <c r="E27" s="462"/>
      <c r="F27" s="464"/>
      <c r="L27" s="462"/>
      <c r="M27" s="462"/>
      <c r="N27" s="462"/>
      <c r="O27" s="462"/>
      <c r="P27" s="462"/>
    </row>
    <row r="28" spans="5:16" ht="19.899999999999999" thickBot="1">
      <c r="E28" s="462"/>
      <c r="F28" s="464"/>
    </row>
    <row r="29" spans="5:16" ht="16.899999999999999">
      <c r="E29" s="1089" t="s">
        <v>668</v>
      </c>
      <c r="F29" s="1193"/>
    </row>
    <row r="30" spans="5:16" ht="16.899999999999999">
      <c r="E30" s="1194"/>
      <c r="F30" s="1195"/>
    </row>
    <row r="31" spans="5:16" ht="17.45" thickBot="1">
      <c r="E31" s="1196"/>
      <c r="F31" s="1197"/>
    </row>
  </sheetData>
  <mergeCells count="14">
    <mergeCell ref="E29:F31"/>
    <mergeCell ref="E17:F19"/>
    <mergeCell ref="L17:M19"/>
    <mergeCell ref="O17:P19"/>
    <mergeCell ref="E20:F22"/>
    <mergeCell ref="E23:F25"/>
    <mergeCell ref="L24:M26"/>
    <mergeCell ref="O24:P26"/>
    <mergeCell ref="R9:S12"/>
    <mergeCell ref="B9:C12"/>
    <mergeCell ref="E9:F12"/>
    <mergeCell ref="H9:I12"/>
    <mergeCell ref="L9:M12"/>
    <mergeCell ref="O9:P12"/>
  </mergeCells>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A313-CF7F-4F61-9B3F-B362534A055D}">
  <dimension ref="A1:H457"/>
  <sheetViews>
    <sheetView showGridLines="0" workbookViewId="0">
      <pane ySplit="1" topLeftCell="A2" activePane="bottomLeft" state="frozen"/>
      <selection pane="bottomLeft" activeCell="B10" sqref="B10"/>
    </sheetView>
  </sheetViews>
  <sheetFormatPr defaultColWidth="13.25" defaultRowHeight="15" customHeight="1"/>
  <cols>
    <col min="1" max="1" width="12" style="512" customWidth="1"/>
    <col min="2" max="2" width="28.125" style="512" customWidth="1"/>
    <col min="3" max="3" width="45.875" style="512" customWidth="1"/>
    <col min="4" max="4" width="44.375" style="512" customWidth="1"/>
    <col min="5" max="5" width="28.25" style="512" hidden="1" customWidth="1"/>
    <col min="6" max="6" width="69.125" style="512" hidden="1" customWidth="1"/>
    <col min="7" max="7" width="45.875" style="512" customWidth="1"/>
    <col min="8" max="8" width="34.375" style="512" customWidth="1"/>
    <col min="9" max="10" width="8.25" style="512" customWidth="1"/>
    <col min="11" max="26" width="8" style="512" customWidth="1"/>
    <col min="27" max="16384" width="13.25" style="512"/>
  </cols>
  <sheetData>
    <row r="1" spans="1:8" ht="16.5" customHeight="1" thickBot="1">
      <c r="A1" s="511" t="s">
        <v>669</v>
      </c>
      <c r="B1" s="465" t="s">
        <v>670</v>
      </c>
      <c r="C1" s="465" t="s">
        <v>671</v>
      </c>
      <c r="D1" s="465" t="s">
        <v>672</v>
      </c>
      <c r="E1" s="465" t="s">
        <v>673</v>
      </c>
      <c r="F1" s="466" t="s">
        <v>674</v>
      </c>
      <c r="G1" s="467" t="s">
        <v>675</v>
      </c>
      <c r="H1" s="478" t="s">
        <v>676</v>
      </c>
    </row>
    <row r="2" spans="1:8" ht="34.15" thickTop="1">
      <c r="A2" s="468" t="s">
        <v>309</v>
      </c>
      <c r="B2" s="469" t="s">
        <v>677</v>
      </c>
      <c r="C2" s="471" t="s">
        <v>678</v>
      </c>
      <c r="D2" s="471" t="s">
        <v>679</v>
      </c>
      <c r="E2" s="470"/>
      <c r="F2" s="513"/>
      <c r="G2" s="470" t="str" cm="1">
        <f t="array" ref="G2">_xlfn.IFS(C2 = "", "", _xlfn.REGEXTEST(C2, "File Descriptor"), "プロセスのファイルディスクリプタ使用率", _xlfn.REGEXTEST(C2, "Unexpected Exits"), "プロセスの異常終了（予期せぬ停止）", _xlfn.REGEXTEST(C2, "Swap Memory Thresholds"), "プロセスのスワップメモリ使用量", _xlfn.REGEXTEST(C2, "Swap Memory Usage Rate"), "スワップメモリ使用量の変化率（増加速度）", _xlfn.REGEXTEST(C2, "Log Directory Free Space.*Absolute"), "ログディレクトリの空き容量（絶対値）", _xlfn.REGEXTEST(C2, "Log Directory Free Space.*Percentage"), "ログディレクトリの空き容量割合（%）", _xlfn.REGEXTEST(C2, "Heap Dump Directory Free Space.*Absolute"), "ヒープダンプディレクトリの空き容量（絶対値）", _xlfn.REGEXTEST(C2, "Heap Dump Directory Free Space.*Percentage"), "ヒープダンプディレクトリの空き容量割合（%）", _xlfn.REGEXTEST(C2, "Data Directory Free Space.*Absolute"), "データディレクトリの空き容量（絶対値）", _xlfn.REGEXTEST(C2, "Data Directory Free Space.*Percentage"), "データディレクトリの空き容量割合（%）", _xlfn.REGEXTEST(C2, "Transaction Log Directory Free Space.*Absolute"), "トランザクションログディレクトリの空き容量（絶対値）", _xlfn.REGEXTEST(C2, "Logging Threshold|Logger Threshold"), "ログ出力レベルの閾値設定", _xlfn.REGEXTEST(C2, "Enable.*Alerts"), "ヘルスアラートの有効化状態", _xlfn.REGEXTEST(C2, "Healthy Kafka Broker"), "Kafka Brokerの健全ノード割合（稼働率）", _xlfn.REGEXTEST(C2, "Healthy Kafka Connect"), "Kafka Connectの健全ノード割合（稼働率）", _xlfn.REGEXTEST(C2, "Healthy KRaft Controller"), "KRaft Controllerの健全ノード割合（稼働率）", _xlfn.REGEXTEST(C2, "Healthy Knox IDBroker"), "Knox IDBrokerの健全ノード割合（稼働率）", _xlfn.REGEXTEST(C2, "Healthy Knox Gateway"), "Knox Gatewayの健全ノード割合（稼働率）", _xlfn.REGEXTEST(C2, "Healthy ZooKeeper Server"), "ZooKeeper Serverの健全ノード割合（稼働率）", _xlfn.REGEXTEST(C2, "Healthy NodeManager"), "NodeManagerの健全ノード割合（稼働率）", _xlfn.REGEXTEST(C2, "Maximum Latency"), "リクエストの最大レイテンシ（処理遅延）", _xlfn.REGEXTEST(C2, "Garbage Collection Duration"), "Javaのガベージコレクション（GC）の所要時間", _xlfn.REGEXTEST(C2, "Spool Directory Usage"), "Rangerプラグインのスプールディレクトリ使用量", _xlfn.REGEXTEST(C2, "Process Directory Free Space Monitoring Absolute"), "プロセスディレクトリの空き容量（絶対値)", _xlfn.REGEXTEST(C2, "Parcel Directory Free Space.*Absolute"), "パーセルディレクトリの空き容量（絶対値）", _xlfn.REGEXTEST(C2, "Process Directory Free Space.*Percentage"), "プロセスディレクトリの空き容量割合（%）", _xlfn.REGEXTEST(C2, "Triggers"), "カスタムアラート条件（トリガー設定）", TRUE, "要手動確認")</f>
        <v>ログディレクトリの空き容量（絶対値）</v>
      </c>
      <c r="H2" s="479" t="s">
        <v>680</v>
      </c>
    </row>
    <row r="3" spans="1:8" ht="33.6">
      <c r="A3" s="514"/>
      <c r="B3" s="473"/>
      <c r="C3" s="471" t="s">
        <v>681</v>
      </c>
      <c r="D3" s="471" t="s">
        <v>682</v>
      </c>
      <c r="E3" s="470"/>
      <c r="F3" s="513"/>
      <c r="G3" s="470" t="str" cm="1">
        <f t="array" ref="G3">_xlfn.IFS(C3 = "", "", _xlfn.REGEXTEST(C3, "File Descriptor"), "プロセスのファイルディスクリプタ使用率", _xlfn.REGEXTEST(C3, "Unexpected Exits"), "プロセスの異常終了（予期せぬ停止）", _xlfn.REGEXTEST(C3, "Swap Memory Thresholds"), "プロセスのスワップメモリ使用量", _xlfn.REGEXTEST(C3, "Swap Memory Usage Rate"), "スワップメモリ使用量の変化率（増加速度）", _xlfn.REGEXTEST(C3, "Log Directory Free Space.*Absolute"), "ログディレクトリの空き容量（絶対値）", _xlfn.REGEXTEST(C3, "Log Directory Free Space.*Percentage"), "ログディレクトリの空き容量割合（%）", _xlfn.REGEXTEST(C3, "Heap Dump Directory Free Space.*Absolute"), "ヒープダンプディレクトリの空き容量（絶対値）", _xlfn.REGEXTEST(C3, "Heap Dump Directory Free Space.*Percentage"), "ヒープダンプディレクトリの空き容量割合（%）", _xlfn.REGEXTEST(C3, "Data Directory Free Space.*Absolute"), "データディレクトリの空き容量（絶対値）", _xlfn.REGEXTEST(C3, "Data Directory Free Space.*Percentage"), "データディレクトリの空き容量割合（%）", _xlfn.REGEXTEST(C3, "Transaction Log Directory Free Space.*Absolute"), "トランザクションログディレクトリの空き容量（絶対値）", _xlfn.REGEXTEST(C3, "Logging Threshold|Logger Threshold"), "ログ出力レベルの閾値設定", _xlfn.REGEXTEST(C3, "Enable.*Alerts"), "ヘルスアラートの有効化状態", _xlfn.REGEXTEST(C3, "Triggers"), "カスタムアラート条件（トリガー設定）", _xlfn.REGEXTEST(C3, "Healthy Kafka Broker"), "Kafka Brokerの健全ノード割合（稼働率）", _xlfn.REGEXTEST(C3, "Healthy Kafka Connect"), "Kafka Connectの健全ノード割合（稼働率）", _xlfn.REGEXTEST(C3, "Healthy KRaft Controller"), "KRaft Controllerの健全ノード割合（稼働率）", _xlfn.REGEXTEST(C3, "Healthy Knox IDBroker"), "Knox IDBrokerの健全ノード割合（稼働率）", _xlfn.REGEXTEST(C3, "Healthy Knox Gateway"), "Knox Gatewayの健全ノード割合（稼働率）", _xlfn.REGEXTEST(C3, "Healthy ZooKeeper Server"), "ZooKeeper Serverの健全ノード割合（稼働率）", _xlfn.REGEXTEST(C3, "Healthy NodeManager"), "NodeManagerの健全ノード割合（稼働率）", _xlfn.REGEXTEST(C3, "Maximum Latency"), "リクエストの最大レイテンシ（処理遅延）", _xlfn.REGEXTEST(C3, "Garbage Collection Duration"), "Javaのガベージコレクション（GC）の所要時間", _xlfn.REGEXTEST(C3, "Spool Directory Usage"), "Rangerプラグインのスプールディレクトリ使用量", _xlfn.REGEXTEST(C3, "Process Directory Free Space Monitoring Absolute"), "プロセスディレクトリの空き容量（絶対値)", _xlfn.REGEXTEST(C3, "Parcel Directory Free Space.*Absolute"), "パーセルディレクトリの空き容量（絶対値）", _xlfn.REGEXTEST(C3, "Process Directory Free Space.*Percentage"), "プロセスディレクトリの空き容量割合（%）", TRUE, "要手動確認")</f>
        <v>ログディレクトリの空き容量割合（%）</v>
      </c>
      <c r="H3" s="479" t="s">
        <v>683</v>
      </c>
    </row>
    <row r="4" spans="1:8" ht="33.6">
      <c r="A4" s="514"/>
      <c r="B4" s="473"/>
      <c r="C4" s="471" t="s">
        <v>684</v>
      </c>
      <c r="D4" s="471" t="s">
        <v>685</v>
      </c>
      <c r="E4" s="470"/>
      <c r="F4" s="513"/>
      <c r="G4" s="470" t="str" cm="1">
        <f t="array" ref="G4">_xlfn.IFS(C4 = "", "", _xlfn.REGEXTEST(C4, "File Descriptor"), "プロセスのファイルディスクリプタ使用率", _xlfn.REGEXTEST(C4, "Unexpected Exits"), "プロセスの異常終了（予期せぬ停止）", _xlfn.REGEXTEST(C4, "Swap Memory Thresholds"), "プロセスのスワップメモリ使用量", _xlfn.REGEXTEST(C4, "Swap Memory Usage Rate"), "スワップメモリ使用量の変化率（増加速度）", _xlfn.REGEXTEST(C4, "Log Directory Free Space.*Absolute"), "ログディレクトリの空き容量（絶対値）", _xlfn.REGEXTEST(C4, "Log Directory Free Space.*Percentage"), "ログディレクトリの空き容量割合（%）", _xlfn.REGEXTEST(C4, "Heap Dump Directory Free Space.*Absolute"), "ヒープダンプディレクトリの空き容量（絶対値）", _xlfn.REGEXTEST(C4, "Heap Dump Directory Free Space.*Percentage"), "ヒープダンプディレクトリの空き容量割合（%）", _xlfn.REGEXTEST(C4, "Data Directory Free Space.*Absolute"), "データディレクトリの空き容量（絶対値）", _xlfn.REGEXTEST(C4, "Data Directory Free Space.*Percentage"), "データディレクトリの空き容量割合（%）", _xlfn.REGEXTEST(C4, "Transaction Log Directory Free Space.*Absolute"), "トランザクションログディレクトリの空き容量（絶対値）", _xlfn.REGEXTEST(C4, "Logging Threshold|Logger Threshold"), "ログ出力レベルの閾値設定", _xlfn.REGEXTEST(C4, "Enable.*Alerts"), "ヘルスアラートの有効化状態", _xlfn.REGEXTEST(C4, "Triggers"), "カスタムアラート条件（トリガー設定）", _xlfn.REGEXTEST(C4, "Healthy Kafka Broker"), "Kafka Brokerの健全ノード割合（稼働率）", _xlfn.REGEXTEST(C4, "Healthy Kafka Connect"), "Kafka Connectの健全ノード割合（稼働率）", _xlfn.REGEXTEST(C4, "Healthy KRaft Controller"), "KRaft Controllerの健全ノード割合（稼働率）", _xlfn.REGEXTEST(C4, "Healthy Knox IDBroker"), "Knox IDBrokerの健全ノード割合（稼働率）", _xlfn.REGEXTEST(C4, "Healthy Knox Gateway"), "Knox Gatewayの健全ノード割合（稼働率）", _xlfn.REGEXTEST(C4, "Healthy ZooKeeper Server"), "ZooKeeper Serverの健全ノード割合（稼働率）", _xlfn.REGEXTEST(C4, "Healthy NodeManager"), "NodeManagerの健全ノード割合（稼働率）", _xlfn.REGEXTEST(C4, "Maximum Latency"), "リクエストの最大レイテンシ（処理遅延）", _xlfn.REGEXTEST(C4, "Garbage Collection Duration"), "Javaのガベージコレクション（GC）の所要時間", _xlfn.REGEXTEST(C4, "Spool Directory Usage"), "Rangerプラグインのスプールディレクトリ使用量", _xlfn.REGEXTEST(C4, "Process Directory Free Space Monitoring Absolute"), "プロセスディレクトリの空き容量（絶対値)", _xlfn.REGEXTEST(C4, "Parcel Directory Free Space.*Absolute"), "パーセルディレクトリの空き容量（絶対値）", _xlfn.REGEXTEST(C4, "Process Directory Free Space.*Percentage"), "プロセスディレクトリの空き容量割合（%）", TRUE, "要手動確認")</f>
        <v>プロセスディレクトリの空き容量（絶対値)</v>
      </c>
      <c r="H4" s="479" t="s">
        <v>686</v>
      </c>
    </row>
    <row r="5" spans="1:8" ht="33.6">
      <c r="A5" s="514"/>
      <c r="B5" s="473"/>
      <c r="C5" s="471" t="s">
        <v>687</v>
      </c>
      <c r="D5" s="471" t="s">
        <v>688</v>
      </c>
      <c r="E5" s="470"/>
      <c r="F5" s="513"/>
      <c r="G5" s="470" t="str" cm="1">
        <f t="array" ref="G5">_xlfn.IFS(C5 = "", "", _xlfn.REGEXTEST(C5, "File Descriptor"), "プロセスのファイルディスクリプタ使用率", _xlfn.REGEXTEST(C5, "Unexpected Exits"), "プロセスの異常終了（予期せぬ停止）", _xlfn.REGEXTEST(C5, "Swap Memory Thresholds"), "プロセスのスワップメモリ使用量", _xlfn.REGEXTEST(C5, "Swap Memory Usage Rate"), "スワップメモリ使用量の変化率（増加速度）", _xlfn.REGEXTEST(C5, "Log Directory Free Space.*Absolute"), "ログディレクトリの空き容量（絶対値）", _xlfn.REGEXTEST(C5, "Log Directory Free Space.*Percentage"), "ログディレクトリの空き容量割合（%）", _xlfn.REGEXTEST(C5, "Heap Dump Directory Free Space.*Absolute"), "ヒープダンプディレクトリの空き容量（絶対値）", _xlfn.REGEXTEST(C5, "Heap Dump Directory Free Space.*Percentage"), "ヒープダンプディレクトリの空き容量割合（%）", _xlfn.REGEXTEST(C5, "Data Directory Free Space.*Absolute"), "データディレクトリの空き容量（絶対値）", _xlfn.REGEXTEST(C5, "Data Directory Free Space.*Percentage"), "データディレクトリの空き容量割合（%）", _xlfn.REGEXTEST(C5, "Transaction Log Directory Free Space.*Absolute"), "トランザクションログディレクトリの空き容量（絶対値）", _xlfn.REGEXTEST(C5, "Logging Threshold|Logger Threshold"), "ログ出力レベルの閾値設定", _xlfn.REGEXTEST(C5, "Enable.*Alerts"), "ヘルスアラートの有効化状態", _xlfn.REGEXTEST(C5, "Triggers"), "カスタムアラート条件（トリガー設定）", _xlfn.REGEXTEST(C5, "Healthy Kafka Broker"), "Kafka Brokerの健全ノード割合（稼働率）", _xlfn.REGEXTEST(C5, "Healthy Kafka Connect"), "Kafka Connectの健全ノード割合（稼働率）", _xlfn.REGEXTEST(C5, "Healthy KRaft Controller"), "KRaft Controllerの健全ノード割合（稼働率）", _xlfn.REGEXTEST(C5, "Healthy Knox IDBroker"), "Knox IDBrokerの健全ノード割合（稼働率）", _xlfn.REGEXTEST(C5, "Healthy Knox Gateway"), "Knox Gatewayの健全ノード割合（稼働率）", _xlfn.REGEXTEST(C5, "Healthy ZooKeeper Server"), "ZooKeeper Serverの健全ノード割合（稼働率）", _xlfn.REGEXTEST(C5, "Healthy NodeManager"), "NodeManagerの健全ノード割合（稼働率）", _xlfn.REGEXTEST(C5, "Maximum Latency"), "リクエストの最大レイテンシ（処理遅延）", _xlfn.REGEXTEST(C5, "Garbage Collection Duration"), "Javaのガベージコレクション（GC）の所要時間", _xlfn.REGEXTEST(C5, "Spool Directory Usage"), "Rangerプラグインのスプールディレクトリ使用量", _xlfn.REGEXTEST(C5, "Process Directory Free Space Monitoring Absolute"), "プロセスディレクトリの空き容量（絶対値)", _xlfn.REGEXTEST(C5, "Parcel Directory Free Space.*Absolute"), "パーセルディレクトリの空き容量（絶対値）", _xlfn.REGEXTEST(C5, "Process Directory Free Space.*Percentage"), "プロセスディレクトリの空き容量割合（%）", TRUE, "要手動確認")</f>
        <v>プロセスディレクトリの空き容量割合（%）</v>
      </c>
      <c r="H5" s="479" t="s">
        <v>689</v>
      </c>
    </row>
    <row r="6" spans="1:8" ht="33.6">
      <c r="A6" s="514"/>
      <c r="B6" s="473"/>
      <c r="C6" s="471" t="s">
        <v>690</v>
      </c>
      <c r="D6" s="471" t="s">
        <v>691</v>
      </c>
      <c r="E6" s="471"/>
      <c r="F6" s="471"/>
      <c r="G6" s="471" t="str" cm="1">
        <f t="array" ref="G6">_xlfn.IFS(C6 = "", "", _xlfn.REGEXTEST(C6, "File Descriptor"), "プロセスのファイルディスクリプタ使用率", _xlfn.REGEXTEST(C6, "Unexpected Exits"), "プロセスの異常終了（予期せぬ停止）", _xlfn.REGEXTEST(C6, "Swap Memory Thresholds"), "プロセスのスワップメモリ使用量", _xlfn.REGEXTEST(C6, "Swap Memory Usage Rate"), "スワップメモリ使用量の変化率（増加速度）", _xlfn.REGEXTEST(C6, "Log Directory Free Space.*Absolute"), "ログディレクトリの空き容量（絶対値）", _xlfn.REGEXTEST(C6, "Log Directory Free Space.*Percentage"), "ログディレクトリの空き容量割合（%）", _xlfn.REGEXTEST(C6, "Heap Dump Directory Free Space.*Absolute"), "ヒープダンプディレクトリの空き容量（絶対値）", _xlfn.REGEXTEST(C6, "Heap Dump Directory Free Space.*Percentage"), "ヒープダンプディレクトリの空き容量割合（%）", _xlfn.REGEXTEST(C6, "Data Directory Free Space.*Absolute"), "データディレクトリの空き容量（絶対値）", _xlfn.REGEXTEST(C6, "Data Directory Free Space.*Percentage"), "データディレクトリの空き容量割合（%）", _xlfn.REGEXTEST(C6, "Transaction Log Directory Free Space.*Absolute"), "トランザクションログディレクトリの空き容量（絶対値）", _xlfn.REGEXTEST(C6, "Logging Threshold|Logger Threshold"), "ログ出力レベルの閾値設定", _xlfn.REGEXTEST(C6, "Enable.*Alerts"), "ヘルスアラートの有効化状態", _xlfn.REGEXTEST(C6, "Triggers"), "カスタムアラート条件（トリガー設定）", _xlfn.REGEXTEST(C6, "Healthy Kafka Broker"), "Kafka Brokerの健全ノード割合（稼働率）", _xlfn.REGEXTEST(C6, "Healthy Kafka Connect"), "Kafka Connectの健全ノード割合（稼働率）", _xlfn.REGEXTEST(C6, "Healthy KRaft Controller"), "KRaft Controllerの健全ノード割合（稼働率）", _xlfn.REGEXTEST(C6, "Healthy Knox IDBroker"), "Knox IDBrokerの健全ノード割合（稼働率）", _xlfn.REGEXTEST(C6, "Healthy Knox Gateway"), "Knox Gatewayの健全ノード割合（稼働率）", _xlfn.REGEXTEST(C6, "Healthy ZooKeeper Server"), "ZooKeeper Serverの健全ノード割合（稼働率）", _xlfn.REGEXTEST(C6, "Healthy NodeManager"), "NodeManagerの健全ノード割合（稼働率）", _xlfn.REGEXTEST(C6, "Maximum Latency"), "リクエストの最大レイテンシ（処理遅延）", _xlfn.REGEXTEST(C6, "Garbage Collection Duration"), "Javaのガベージコレクション（GC）の所要時間", _xlfn.REGEXTEST(C6, "Spool Directory Usage"), "Rangerプラグインのスプールディレクトリ使用量", _xlfn.REGEXTEST(C6, "Process Directory Free Space Monitoring Absolute"), "プロセスディレクトリの空き容量（絶対値)", _xlfn.REGEXTEST(C6, "Parcel Directory Free Space.*Absolute"), "パーセルディレクトリの空き容量（絶対値）", _xlfn.REGEXTEST(C6, "Process Directory Free Space.*Percentage"), "プロセスディレクトリの空き容量割合（%）", TRUE, "要手動確認")</f>
        <v>パーセルディレクトリの空き容量（絶対値）</v>
      </c>
      <c r="H6" s="479" t="s">
        <v>692</v>
      </c>
    </row>
    <row r="7" spans="1:8" ht="33.6">
      <c r="A7" s="514"/>
      <c r="B7" s="473"/>
      <c r="C7" s="471" t="s">
        <v>693</v>
      </c>
      <c r="D7" s="471" t="s">
        <v>694</v>
      </c>
      <c r="E7" s="471"/>
      <c r="F7" s="471"/>
      <c r="G7" s="471" t="str" cm="1">
        <f t="array" ref="G7">_xlfn.IFS(C7 = "", "", _xlfn.REGEXTEST(C7, "File Descriptor"), "プロセスのファイルディスクリプタ使用率", _xlfn.REGEXTEST(C7, "Unexpected Exits"), "プロセスの異常終了（予期せぬ停止）", _xlfn.REGEXTEST(C7, "Swap Memory Thresholds"), "プロセスのスワップメモリ使用量", _xlfn.REGEXTEST(C7, "Swap Memory Usage Rate"), "スワップメモリ使用量の変化率（増加速度）", _xlfn.REGEXTEST(C7, "Log Directory Free Space.*Absolute"), "ログディレクトリの空き容量（絶対値）", _xlfn.REGEXTEST(C7, "Log Directory Free Space.*Percentage"), "ログディレクトリの空き容量割合（%）", _xlfn.REGEXTEST(C7, "Heap Dump Directory Free Space.*Absolute"), "ヒープダンプディレクトリの空き容量（絶対値）", _xlfn.REGEXTEST(C7, "Heap Dump Directory Free Space.*Percentage"), "ヒープダンプディレクトリの空き容量割合（%）", _xlfn.REGEXTEST(C7, "Data Directory Free Space.*Absolute"), "データディレクトリの空き容量（絶対値）", _xlfn.REGEXTEST(C7, "Data Directory Free Space.*Percentage"), "データディレクトリの空き容量割合（%）", _xlfn.REGEXTEST(C7, "Transaction Log Directory Free Space.*Absolute"), "トランザクションログディレクトリの空き容量（絶対値）", _xlfn.REGEXTEST(C7, "Logging Threshold|Logger Threshold"), "ログ出力レベルの閾値設定", _xlfn.REGEXTEST(C7, "Enable.*Alerts"), "ヘルスアラートの有効化状態", _xlfn.REGEXTEST(C7, "Triggers"), "カスタムアラート条件（トリガー設定）", _xlfn.REGEXTEST(C7, "Healthy Kafka Broker"), "Kafka Brokerの健全ノード割合（稼働率）", _xlfn.REGEXTEST(C7, "Healthy Kafka Connect"), "Kafka Connectの健全ノード割合（稼働率）", _xlfn.REGEXTEST(C7, "Healthy KRaft Controller"), "KRaft Controllerの健全ノード割合（稼働率）", _xlfn.REGEXTEST(C7, "Healthy Knox IDBroker"), "Knox IDBrokerの健全ノード割合（稼働率）", _xlfn.REGEXTEST(C7, "Healthy Knox Gateway"), "Knox Gatewayの健全ノード割合（稼働率）", _xlfn.REGEXTEST(C7, "Healthy ZooKeeper Server"), "ZooKeeper Serverの健全ノード割合（稼働率）", _xlfn.REGEXTEST(C7, "Healthy NodeManager"), "NodeManagerの健全ノード割合（稼働率）", _xlfn.REGEXTEST(C7, "Maximum Latency"), "リクエストの最大レイテンシ（処理遅延）", _xlfn.REGEXTEST(C7, "Garbage Collection Duration"), "Javaのガベージコレクション（GC）の所要時間", _xlfn.REGEXTEST(C7, "Spool Directory Usage"), "Rangerプラグインのスプールディレクトリ使用量", _xlfn.REGEXTEST(C7, "Process Directory Free Space Monitoring Absolute"), "プロセスディレクトリの空き容量（絶対値)", _xlfn.REGEXTEST(C7, "Process Directory Free Space.*Percentage"), "プロセスディレクトリの空き容量割合（%）", _xlfn.REGEXTEST(C7, "Parcel Directory Free Space.*Absolute"), "パーセルディレクトリの空き容量（絶対値）", _xlfn.REGEXTEST(C7, "Parcel Directory Free Space.*Percentage"), "パーセルディレクトリの空き容量割合（%）", _xlfn.REGEXTEST(C7, "Host Network Frame Error Percentage"), "ホストのネットワークフレームエラー割合（%）", _xlfn.REGEXTEST(C7, "Network Interfaces Slow Link Modes"), "ホストのネットワークインターフェースの低速リンクモード検出", _xlfn.REGEXTEST(C7, "Host Memory Swapping"), "ホストのメモリのスワップ発生状態", TRUE, "要手動確認")</f>
        <v>パーセルディレクトリの空き容量割合（%）</v>
      </c>
      <c r="H7" s="479" t="s">
        <v>689</v>
      </c>
    </row>
    <row r="8" spans="1:8" ht="33.6">
      <c r="A8" s="514"/>
      <c r="B8" s="473"/>
      <c r="C8" s="471" t="s">
        <v>695</v>
      </c>
      <c r="D8" s="471" t="s">
        <v>696</v>
      </c>
      <c r="E8" s="471"/>
      <c r="F8" s="471"/>
      <c r="G8" s="471" t="str" cm="1">
        <f t="array" ref="G8">_xlfn.IFS(C8 = "", "", _xlfn.REGEXTEST(C8, "File Descriptor"), "プロセスのファイルディスクリプタ使用率", _xlfn.REGEXTEST(C8, "Unexpected Exits"), "プロセスの異常終了（予期せぬ停止）", _xlfn.REGEXTEST(C8, "Swap Memory Thresholds"), "プロセスのスワップメモリ使用量", _xlfn.REGEXTEST(C8, "Swap Memory Usage Rate"), "スワップメモリ使用量の変化率（増加速度）", _xlfn.REGEXTEST(C8, "Log Directory Free Space.*Absolute"), "ログディレクトリの空き容量（絶対値）", _xlfn.REGEXTEST(C8, "Log Directory Free Space.*Percentage"), "ログディレクトリの空き容量割合（%）", _xlfn.REGEXTEST(C8, "Heap Dump Directory Free Space.*Absolute"), "ヒープダンプディレクトリの空き容量（絶対値）", _xlfn.REGEXTEST(C8, "Heap Dump Directory Free Space.*Percentage"), "ヒープダンプディレクトリの空き容量割合（%）", _xlfn.REGEXTEST(C8, "Data Directory Free Space.*Absolute"), "データディレクトリの空き容量（絶対値）", _xlfn.REGEXTEST(C8, "Data Directory Free Space.*Percentage"), "データディレクトリの空き容量割合（%）", _xlfn.REGEXTEST(C8, "Transaction Log Directory Free Space.*Absolute"), "トランザクションログディレクトリの空き容量（絶対値）", _xlfn.REGEXTEST(C8, "Logging Threshold|Logger Threshold"), "ログ出力レベルの閾値設定", _xlfn.REGEXTEST(C8, "Enable.*Alerts"), "ヘルスアラートの有効化状態", _xlfn.REGEXTEST(C8, "Triggers"), "カスタムアラート条件（トリガー設定）", _xlfn.REGEXTEST(C8, "Healthy Kafka Broker"), "Kafka Brokerの健全ノード割合（稼働率）", _xlfn.REGEXTEST(C8, "Healthy Kafka Connect"), "Kafka Connectの健全ノード割合（稼働率）", _xlfn.REGEXTEST(C8, "Healthy KRaft Controller"), "KRaft Controllerの健全ノード割合（稼働率）", _xlfn.REGEXTEST(C8, "Healthy Knox IDBroker"), "Knox IDBrokerの健全ノード割合（稼働率）", _xlfn.REGEXTEST(C8, "Healthy Knox Gateway"), "Knox Gatewayの健全ノード割合（稼働率）", _xlfn.REGEXTEST(C8, "Healthy ZooKeeper Server"), "ZooKeeper Serverの健全ノード割合（稼働率）", _xlfn.REGEXTEST(C8, "Healthy NodeManager"), "NodeManagerの健全ノード割合（稼働率）", _xlfn.REGEXTEST(C8, "Maximum Latency"), "リクエストの最大レイテンシ（処理遅延）", _xlfn.REGEXTEST(C8, "Garbage Collection Duration"), "Javaのガベージコレクション（GC）の所要時間", _xlfn.REGEXTEST(C8, "Spool Directory Usage"), "Rangerプラグインのスプールディレクトリ使用量", _xlfn.REGEXTEST(C8, "Process Directory Free Space Monitoring Absolute"), "プロセスディレクトリの空き容量（絶対値)", _xlfn.REGEXTEST(C8, "Process Directory Free Space.*Percentage"), "プロセスディレクトリの空き容量割合（%）", _xlfn.REGEXTEST(C8, "Parcel Directory Free Space.*Absolute"), "パーセルディレクトリの空き容量（絶対値）", _xlfn.REGEXTEST(C8, "Parcel Directory Free Space.*Percentage"), "パーセルディレクトリの空き容量割合（%）", _xlfn.REGEXTEST(C8, "Host Network Frame Error Percentage"), "ホストのネットワークフレームエラー割合（%）", _xlfn.REGEXTEST(C8, "Network Interfaces Slow Link Modes"), "ホストのネットワークインターフェースの低速リンクモード検出", _xlfn.REGEXTEST(C8, "Host Memory Swapping"), "ホストのメモリのスワップ発生状態", TRUE, "要手動確認")</f>
        <v>ホストのネットワークフレームエラー割合（%）</v>
      </c>
      <c r="H8" s="479" t="s">
        <v>697</v>
      </c>
    </row>
    <row r="9" spans="1:8" ht="33.6">
      <c r="A9" s="514"/>
      <c r="B9" s="473"/>
      <c r="C9" s="471" t="s">
        <v>698</v>
      </c>
      <c r="D9" s="471" t="s">
        <v>699</v>
      </c>
      <c r="E9" s="471"/>
      <c r="F9" s="471"/>
      <c r="G9" s="471" t="str" cm="1">
        <f t="array" ref="G9">_xlfn.IFS(C9 = "", "", _xlfn.REGEXTEST(C9, "File Descriptor"), "プロセスのファイルディスクリプタ使用率", _xlfn.REGEXTEST(C9, "Unexpected Exits"), "プロセスの異常終了（予期せぬ停止）", _xlfn.REGEXTEST(C9, "Swap Memory Thresholds"), "プロセスのスワップメモリ使用量", _xlfn.REGEXTEST(C9, "Swap Memory Usage Rate"), "スワップメモリ使用量の変化率（増加速度）", _xlfn.REGEXTEST(C9, "Log Directory Free Space.*Absolute"), "ログディレクトリの空き容量（絶対値）", _xlfn.REGEXTEST(C9, "Log Directory Free Space.*Percentage"), "ログディレクトリの空き容量割合（%）", _xlfn.REGEXTEST(C9, "Heap Dump Directory Free Space.*Absolute"), "ヒープダンプディレクトリの空き容量（絶対値）", _xlfn.REGEXTEST(C9, "Heap Dump Directory Free Space.*Percentage"), "ヒープダンプディレクトリの空き容量割合（%）", _xlfn.REGEXTEST(C9, "Data Directory Free Space.*Absolute"), "データディレクトリの空き容量（絶対値）", _xlfn.REGEXTEST(C9, "Data Directory Free Space.*Percentage"), "データディレクトリの空き容量割合（%）", _xlfn.REGEXTEST(C9, "Transaction Log Directory Free Space.*Absolute"), "トランザクションログディレクトリの空き容量（絶対値）", _xlfn.REGEXTEST(C9, "Logging Threshold|Logger Threshold"), "ログ出力レベルの閾値設定", _xlfn.REGEXTEST(C9, "Enable.*Alerts"), "ヘルスアラートの有効化状態", _xlfn.REGEXTEST(C9, "Triggers"), "カスタムアラート条件（トリガー設定）", _xlfn.REGEXTEST(C9, "Healthy Kafka Broker"), "Kafka Brokerの健全ノード割合（稼働率）", _xlfn.REGEXTEST(C9, "Healthy Kafka Connect"), "Kafka Connectの健全ノード割合（稼働率）", _xlfn.REGEXTEST(C9, "Healthy KRaft Controller"), "KRaft Controllerの健全ノード割合（稼働率）", _xlfn.REGEXTEST(C9, "Healthy Knox IDBroker"), "Knox IDBrokerの健全ノード割合（稼働率）", _xlfn.REGEXTEST(C9, "Healthy Knox Gateway"), "Knox Gatewayの健全ノード割合（稼働率）", _xlfn.REGEXTEST(C9, "Healthy ZooKeeper Server"), "ZooKeeper Serverの健全ノード割合（稼働率）", _xlfn.REGEXTEST(C9, "Healthy NodeManager"), "NodeManagerの健全ノード割合（稼働率）", _xlfn.REGEXTEST(C9, "Maximum Latency"), "リクエストの最大レイテンシ（処理遅延）", _xlfn.REGEXTEST(C9, "Garbage Collection Duration"), "Javaのガベージコレクション（GC）の所要時間", _xlfn.REGEXTEST(C9, "Spool Directory Usage"), "Rangerプラグインのスプールディレクトリ使用量", _xlfn.REGEXTEST(C9, "Process Directory Free Space Monitoring Absolute"), "プロセスディレクトリの空き容量（絶対値)", _xlfn.REGEXTEST(C9, "Process Directory Free Space.*Percentage"), "プロセスディレクトリの空き容量割合（%）", _xlfn.REGEXTEST(C9, "Parcel Directory Free Space.*Absolute"), "パーセルディレクトリの空き容量（絶対値）", _xlfn.REGEXTEST(C9, "Parcel Directory Free Space.*Percentage"), "パーセルディレクトリの空き容量割合（%）", _xlfn.REGEXTEST(C9, "Host Network Frame Error Percentage"), "ホストのネットワークフレームエラー割合（%）", _xlfn.REGEXTEST(C9, "Network Interfaces Slow Link Modes"), "ホストのネットワークインターフェースの低速リンクモード検出", _xlfn.REGEXTEST(C9, "Host Memory Swapping"), "ホストのメモリのスワップ発生状態", TRUE, "要手動確認")</f>
        <v>ホストのネットワークインターフェースの低速リンクモード検出</v>
      </c>
      <c r="H9" s="479" t="s">
        <v>700</v>
      </c>
    </row>
    <row r="10" spans="1:8" ht="33.6">
      <c r="A10" s="514"/>
      <c r="B10" s="473"/>
      <c r="C10" s="471" t="s">
        <v>701</v>
      </c>
      <c r="D10" s="471" t="s">
        <v>702</v>
      </c>
      <c r="E10" s="471"/>
      <c r="F10" s="471"/>
      <c r="G10" s="471" t="str" cm="1">
        <f t="array" ref="G10">_xlfn.IFS(C10 = "", "", _xlfn.REGEXTEST(C10, "File Descriptor"), "プロセスのファイルディスクリプタ使用率", _xlfn.REGEXTEST(C10, "Unexpected Exits"), "プロセスの異常終了（予期せぬ停止）", _xlfn.REGEXTEST(C10, "Swap Memory Thresholds"), "プロセスのスワップメモリ使用量", _xlfn.REGEXTEST(C10, "Swap Memory Usage Rate"), "スワップメモリ使用量の変化率（増加速度）", _xlfn.REGEXTEST(C10, "Log Directory Free Space.*Absolute"), "ログディレクトリの空き容量（絶対値）", _xlfn.REGEXTEST(C10, "Log Directory Free Space.*Percentage"), "ログディレクトリの空き容量割合（%）", _xlfn.REGEXTEST(C10, "Heap Dump Directory Free Space.*Absolute"), "ヒープダンプディレクトリの空き容量（絶対値）", _xlfn.REGEXTEST(C10, "Heap Dump Directory Free Space.*Percentage"), "ヒープダンプディレクトリの空き容量割合（%）", _xlfn.REGEXTEST(C10, "Data Directory Free Space.*Absolute"), "データディレクトリの空き容量（絶対値）", _xlfn.REGEXTEST(C10, "Data Directory Free Space.*Percentage"), "データディレクトリの空き容量割合（%）", _xlfn.REGEXTEST(C10, "Transaction Log Directory Free Space.*Absolute"), "トランザクションログディレクトリの空き容量（絶対値）", _xlfn.REGEXTEST(C10, "Logging Threshold|Logger Threshold"), "ログ出力レベルの閾値設定", _xlfn.REGEXTEST(C10, "Enable.*Alerts"), "ヘルスアラートの有効化状態", _xlfn.REGEXTEST(C10, "Triggers"), "カスタムアラート条件（トリガー設定）", _xlfn.REGEXTEST(C10, "Healthy Kafka Broker"), "Kafka Brokerの健全ノード割合（稼働率）", _xlfn.REGEXTEST(C10, "Healthy Kafka Connect"), "Kafka Connectの健全ノード割合（稼働率）", _xlfn.REGEXTEST(C10, "Healthy KRaft Controller"), "KRaft Controllerの健全ノード割合（稼働率）", _xlfn.REGEXTEST(C10, "Healthy Knox IDBroker"), "Knox IDBrokerの健全ノード割合（稼働率）", _xlfn.REGEXTEST(C10, "Healthy Knox Gateway"), "Knox Gatewayの健全ノード割合（稼働率）", _xlfn.REGEXTEST(C10, "Healthy ZooKeeper Server"), "ZooKeeper Serverの健全ノード割合（稼働率）", _xlfn.REGEXTEST(C10, "Healthy NodeManager"), "NodeManagerの健全ノード割合（稼働率）", _xlfn.REGEXTEST(C10, "Maximum Latency"), "リクエストの最大レイテンシ（処理遅延）", _xlfn.REGEXTEST(C10, "Garbage Collection Duration"), "Javaのガベージコレクション（GC）の所要時間", _xlfn.REGEXTEST(C10, "Spool Directory Usage"), "Rangerプラグインのスプールディレクトリ使用量", _xlfn.REGEXTEST(C10, "Process Directory Free Space Monitoring Absolute"), "プロセスディレクトリの空き容量（絶対値)", _xlfn.REGEXTEST(C10, "Process Directory Free Space.*Percentage"), "プロセスディレクトリの空き容量割合（%）", _xlfn.REGEXTEST(C10, "Parcel Directory Free Space.*Absolute"), "パーセルディレクトリの空き容量（絶対値）", _xlfn.REGEXTEST(C10, "Parcel Directory Free Space.*Percentage"), "パーセルディレクトリの空き容量割合（%）", _xlfn.REGEXTEST(C10, "Host Network Frame Error Percentage"), "ホストのネットワークフレームエラー割合（%）", _xlfn.REGEXTEST(C10, "Network Interfaces Slow Link Modes"), "ホストのネットワークインターフェースの低速リンクモード検出", _xlfn.REGEXTEST(C10, "Host Memory Swapping"), "ホストのメモリのスワップ発生状態", TRUE, "要手動確認")</f>
        <v>ホストのメモリのスワップ発生状態</v>
      </c>
      <c r="H10" s="479" t="s">
        <v>703</v>
      </c>
    </row>
    <row r="11" spans="1:8" ht="33.6">
      <c r="A11" s="514"/>
      <c r="B11" s="473"/>
      <c r="C11" s="471" t="s">
        <v>704</v>
      </c>
      <c r="D11" s="471" t="s">
        <v>705</v>
      </c>
      <c r="E11" s="471"/>
      <c r="F11" s="471"/>
      <c r="G11" s="471" t="str" cm="1">
        <f t="array" ref="G11">_xlfn.IFS(C11 = "", "", _xlfn.REGEXTEST(C11, "File Descriptor"), "プロセスのファイルディスクリプタ使用率", _xlfn.REGEXTEST(C11, "Unexpected Exits"), "プロセスの異常終了（予期せぬ停止）", _xlfn.REGEXTEST(C11, "Swap Memory Thresholds"), "プロセスのスワップメモリ使用量", _xlfn.REGEXTEST(C11, "Swap Memory Usage Rate"), "スワップメモリ使用量の変化率（増加速度）", _xlfn.REGEXTEST(C11, "Log Directory Free Space.*Absolute"), "ログディレクトリの空き容量（絶対値）", _xlfn.REGEXTEST(C11, "Log Directory Free Space.*Percentage"), "ログディレクトリの空き容量割合（%）", _xlfn.REGEXTEST(C11, "Heap Dump Directory Free Space.*Absolute"), "ヒープダンプディレクトリの空き容量（絶対値）", _xlfn.REGEXTEST(C11, "Heap Dump Directory Free Space.*Percentage"), "ヒープダンプディレクトリの空き容量割合（%）", _xlfn.REGEXTEST(C11, "Data Directory Free Space.*Absolute"), "データディレクトリの空き容量（絶対値）", _xlfn.REGEXTEST(C11, "Data Directory Free Space.*Percentage"), "データディレクトリの空き容量割合（%）", _xlfn.REGEXTEST(C11, "Transaction Log Directory Free Space.*Absolute"), "トランザクションログディレクトリの空き容量（絶対値）", _xlfn.REGEXTEST(C11, "Logging Threshold|Logger Threshold"), "ログ出力レベルの閾値設定", _xlfn.REGEXTEST(C11, "Enable.*Alerts"), "ヘルスアラートの有効化状態", _xlfn.REGEXTEST(C11, "Triggers"), "カスタムアラート条件（トリガー設定）", _xlfn.REGEXTEST(C11, "Healthy Kafka Broker"), "Kafka Brokerの健全ノード割合（稼働率）", _xlfn.REGEXTEST(C11, "Healthy Kafka Connect"), "Kafka Connectの健全ノード割合（稼働率）", _xlfn.REGEXTEST(C11, "Healthy KRaft Controller"), "KRaft Controllerの健全ノード割合（稼働率）", _xlfn.REGEXTEST(C11, "Healthy Knox IDBroker"), "Knox IDBrokerの健全ノード割合（稼働率）", _xlfn.REGEXTEST(C11, "Healthy Knox Gateway"), "Knox Gatewayの健全ノード割合（稼働率）", _xlfn.REGEXTEST(C11, "Healthy ZooKeeper Server"), "ZooKeeper Serverの健全ノード割合（稼働率）", _xlfn.REGEXTEST(C11, "Healthy NodeManager"), "NodeManagerの健全ノード割合（稼働率）", _xlfn.REGEXTEST(C11, "Maximum Latency"), "リクエストの最大レイテンシ（処理遅延）", _xlfn.REGEXTEST(C11, "Garbage Collection Duration"), "Javaのガベージコレクション（GC）の所要時間", _xlfn.REGEXTEST(C11, "Spool Directory Usage"), "Rangerプラグインのスプールディレクトリ使用量", _xlfn.REGEXTEST(C11, "Process Directory Free Space Monitoring Absolute"), "プロセスディレクトリの空き容量（絶対値)", _xlfn.REGEXTEST(C11, "Process Directory Free Space.*Percentage"), "プロセスディレクトリの空き容量割合（%）", _xlfn.REGEXTEST(C11, "Parcel Directory Free Space.*Absolute"), "パーセルディレクトリの空き容量（絶対値）", _xlfn.REGEXTEST(C11, "Parcel Directory Free Space.*Percentage"), "パーセルディレクトリの空き容量割合（%）", _xlfn.REGEXTEST(C11, "Host Network Frame Error Percentage"), "ホストのネットワークフレームエラー割合（%）", _xlfn.REGEXTEST(C11, "Network Interfaces Slow Link Modes"), "ホストのネットワークインターフェースの低速リンクモード検出", _xlfn.REGEXTEST(C11, "Host Memory Swapping"), "ホストのメモリのスワップ発生状態", TRUE, "要手動確認")</f>
        <v>プロセスのスワップメモリ使用量</v>
      </c>
      <c r="H11" s="479" t="s">
        <v>703</v>
      </c>
    </row>
    <row r="12" spans="1:8" ht="33.6">
      <c r="A12" s="514"/>
      <c r="B12" s="473"/>
      <c r="C12" s="471" t="s">
        <v>706</v>
      </c>
      <c r="D12" s="471" t="s">
        <v>707</v>
      </c>
      <c r="E12" s="471"/>
      <c r="F12" s="471"/>
      <c r="G12" s="471" t="str" cm="1">
        <f t="array" ref="G12">_xlfn.IFS(C12 = "", "", _xlfn.REGEXTEST(C12, "Host Entropy"), "ホストのエントロピー（乱数生成能力）の不足", _xlfn.REGEXTEST(C12, "File Descriptor"), "プロセスのファイルディスクリプタ使用率", _xlfn.REGEXTEST(C12, "Unexpected Exits"), "プロセスの異常終了（予期せぬ停止）", _xlfn.REGEXTEST(C12, "Swap Memory Thresholds"), "プロセスのスワップメモリ使用量", _xlfn.REGEXTEST(C12, "Swap Memory Usage Rate"), "スワップメモリ使用量の変化率（増加速度）", _xlfn.REGEXTEST(C12, "Log Directory Free Space.*Absolute"), "ログディレクトリの空き容量（絶対値）", _xlfn.REGEXTEST(C12, "Log Directory Free Space.*Percentage"), "ログディレクトリの空き容量割合（%）", _xlfn.REGEXTEST(C12, "Heap Dump Directory Free Space.*Absolute"), "ヒープダンプディレクトリの空き容量（絶対値）", _xlfn.REGEXTEST(C12, "Heap Dump Directory Free Space.*Percentage"), "ヒープダンプディレクトリの空き容量割合（%）", _xlfn.REGEXTEST(C12, "Data Directory Free Space.*Absolute"), "データディレクトリの空き容量（絶対値）", _xlfn.REGEXTEST(C12, "Data Directory Free Space.*Percentage"), "データディレクトリの空き容量割合（%）", _xlfn.REGEXTEST(C12, "Transaction Log Directory Free Space.*Absolute"), "トランザクションログディレクトリの空き容量（絶対値）", _xlfn.REGEXTEST(C12, "Logging Threshold|Logger Threshold"), "ログ出力レベルの閾値設定", _xlfn.REGEXTEST(C12, "Enable.*Alerts"), "ヘルスアラートの有効化状態", _xlfn.REGEXTEST(C12, "Triggers"), "カスタムアラート条件（トリガー設定）", _xlfn.REGEXTEST(C12, "Healthy Kafka Broker"), "Kafka Brokerの健全ノード割合（稼働率）", _xlfn.REGEXTEST(C12, "Healthy Kafka Connect"), "Kafka Connectの健全ノード割合（稼働率）", _xlfn.REGEXTEST(C12, "Healthy KRaft Controller"), "KRaft Controllerの健全ノード割合（稼働率）", _xlfn.REGEXTEST(C12, "Healthy Knox IDBroker"), "Knox IDBrokerの健全ノード割合（稼働率）", _xlfn.REGEXTEST(C12, "Healthy Knox Gateway"), "Knox Gatewayの健全ノード割合（稼働率）", _xlfn.REGEXTEST(C12, "Healthy ZooKeeper Server"), "ZooKeeper Serverの健全ノード割合（稼働率）", _xlfn.REGEXTEST(C12, "Healthy NodeManager"), "NodeManagerの健全ノード割合（稼働率）", _xlfn.REGEXTEST(C12, "Maximum Latency"), "リクエストの最大レイテンシ（処理遅延）", _xlfn.REGEXTEST(C12, "Garbage Collection Duration"), "Javaのガベージコレクション（GC）の所要時間", _xlfn.REGEXTEST(C12, "Spool Directory Usage"), "Rangerプラグインのスプールディレクトリ使用量", _xlfn.REGEXTEST(C12, "Process Directory Free Space Monitoring Absolute"), "プロセスディレクトリの空き容量（絶対値)", _xlfn.REGEXTEST(C12, "Process Directory Free Space.*Percentage"), "プロセスディレクトリの空き容量割合（%）", _xlfn.REGEXTEST(C12, "Parcel Directory Free Space.*Absolute"), "パーセルディレクトリの空き容量（絶対値）", _xlfn.REGEXTEST(C12, "Parcel Directory Free Space.*Percentage"), "パーセルディレクトリの空き容量割合（%）", _xlfn.REGEXTEST(C12, "Host Network Frame Error Percentage"), "ホストのネットワークフレームエラー割合（%）", _xlfn.REGEXTEST(C12, "Network Interfaces Slow Link Modes"), "ホストのネットワークインターフェースの低速リンクモード検出", _xlfn.REGEXTEST(C12, "Host Memory Swapping"), "ホストのメモリのスワップ発生状態", TRUE, "要手動確認")</f>
        <v>ホストのエントロピー（乱数生成能力）の不足</v>
      </c>
      <c r="H12" s="479" t="s">
        <v>708</v>
      </c>
    </row>
    <row r="13" spans="1:8" ht="16.899999999999999">
      <c r="A13" s="514"/>
      <c r="B13" s="473"/>
      <c r="C13" s="471" t="s">
        <v>709</v>
      </c>
      <c r="D13" s="471" t="s">
        <v>710</v>
      </c>
      <c r="E13" s="471"/>
      <c r="F13" s="471"/>
      <c r="G13" s="471" t="str" cm="1">
        <f t="array" ref="G13">_xlfn.IFS(C13 = "", "", _xlfn.REGEXTEST(C13, "Host Entropy"), "ホストのエントロピー（乱数生成能力）の不足", _xlfn.REGEXTEST(C13, "File Descriptor"), "プロセスのファイルディスクリプタ使用率", _xlfn.REGEXTEST(C13, "Unexpected Exits"), "プロセスの異常終了（予期せぬ停止）", _xlfn.REGEXTEST(C13, "Swap Memory Thresholds"), "プロセスのスワップメモリ使用量", _xlfn.REGEXTEST(C13, "Swap Memory Usage Rate"), "スワップメモリ使用量の変化率（増加速度）", _xlfn.REGEXTEST(C13, "Log Directory Free Space.*Absolute"), "ログディレクトリの空き容量（絶対値）", _xlfn.REGEXTEST(C13, "Log Directory Free Space.*Percentage"), "ログディレクトリの空き容量割合（%）", _xlfn.REGEXTEST(C13, "Heap Dump Directory Free Space.*Absolute"), "ヒープダンプディレクトリの空き容量（絶対値）", _xlfn.REGEXTEST(C13, "Heap Dump Directory Free Space.*Percentage"), "ヒープダンプディレクトリの空き容量割合（%）", _xlfn.REGEXTEST(C13, "Data Directory Free Space.*Absolute"), "データディレクトリの空き容量（絶対値）", _xlfn.REGEXTEST(C13, "Data Directory Free Space.*Percentage"), "データディレクトリの空き容量割合（%）", _xlfn.REGEXTEST(C13, "Transaction Log Directory Free Space.*Absolute"), "トランザクションログディレクトリの空き容量（絶対値）", _xlfn.REGEXTEST(C13, "Logging Threshold|Logger Threshold"), "ログ出力レベルの閾値設定", _xlfn.REGEXTEST(C13, "Enable.*Alerts"), "ヘルスアラートの有効化状態", _xlfn.REGEXTEST(C13, "Triggers"), "カスタムアラート条件（トリガー設定）", _xlfn.REGEXTEST(C13, "Healthy Kafka Broker"), "Kafka Brokerの健全ノード割合（稼働率）", _xlfn.REGEXTEST(C13, "Healthy Kafka Connect"), "Kafka Connectの健全ノード割合（稼働率）", _xlfn.REGEXTEST(C13, "Healthy KRaft Controller"), "KRaft Controllerの健全ノード割合（稼働率）", _xlfn.REGEXTEST(C13, "Healthy Knox IDBroker"), "Knox IDBrokerの健全ノード割合（稼働率）", _xlfn.REGEXTEST(C13, "Healthy Knox Gateway"), "Knox Gatewayの健全ノード割合（稼働率）", _xlfn.REGEXTEST(C13, "Healthy ZooKeeper Server"), "ZooKeeper Serverの健全ノード割合（稼働率）", _xlfn.REGEXTEST(C13, "Healthy NodeManager"), "NodeManagerの健全ノード割合（稼働率）", _xlfn.REGEXTEST(C13, "Maximum Latency"), "リクエストの最大レイテンシ（処理遅延）", _xlfn.REGEXTEST(C13, "Garbage Collection Duration"), "Javaのガベージコレクション（GC）の所要時間", _xlfn.REGEXTEST(C13, "Spool Directory Usage"), "Rangerプラグインのスプールディレクトリ使用量", _xlfn.REGEXTEST(C13, "Process Directory Free Space Monitoring Absolute"), "プロセスディレクトリの空き容量（絶対値)", _xlfn.REGEXTEST(C13, "Process Directory Free Space.*Percentage"), "プロセスディレクトリの空き容量割合（%）", _xlfn.REGEXTEST(C13, "Parcel Directory Free Space.*Absolute"), "パーセルディレクトリの空き容量（絶対値）", _xlfn.REGEXTEST(C13, "Parcel Directory Free Space.*Percentage"), "パーセルディレクトリの空き容量割合（%）", _xlfn.REGEXTEST(C13, "Host Network Frame Error Percentage"), "ホストのネットワークフレームエラー割合（%）", _xlfn.REGEXTEST(C13, "Network Interfaces Slow Link Modes"), "ホストのネットワークインターフェースの低速リンクモード検出", _xlfn.REGEXTEST(C13, "Host Memory Swapping"), "ホストのメモリのスワップ発生状態", TRUE, "要手動確認")</f>
        <v>ヘルスアラートの有効化状態</v>
      </c>
      <c r="H13" s="479" t="s">
        <v>711</v>
      </c>
    </row>
    <row r="14" spans="1:8" ht="16.899999999999999">
      <c r="A14" s="514"/>
      <c r="B14" s="473"/>
      <c r="C14" s="471" t="s">
        <v>712</v>
      </c>
      <c r="D14" s="471" t="s">
        <v>713</v>
      </c>
      <c r="E14" s="471"/>
      <c r="F14" s="471"/>
      <c r="G14" s="471" t="str" cm="1">
        <f t="array" ref="G14">_xlfn.IFS(C14 = "", "", _xlfn.REGEXTEST(C14, "Host Entropy"), "ホストのエントロピー（乱数生成能力）の不足", _xlfn.REGEXTEST(C14, "File Descriptor"), "プロセスのファイルディスクリプタ使用率", _xlfn.REGEXTEST(C14, "Unexpected Exits"), "プロセスの異常終了（予期せぬ停止）", _xlfn.REGEXTEST(C14, "Swap Memory Thresholds"), "プロセスのスワップメモリ使用量", _xlfn.REGEXTEST(C14, "Swap Memory Usage Rate"), "スワップメモリ使用量の変化率（増加速度）", _xlfn.REGEXTEST(C14, "Log Directory Free Space.*Absolute"), "ログディレクトリの空き容量（絶対値）", _xlfn.REGEXTEST(C14, "Log Directory Free Space.*Percentage"), "ログディレクトリの空き容量割合（%）", _xlfn.REGEXTEST(C14, "Heap Dump Directory Free Space.*Absolute"), "ヒープダンプディレクトリの空き容量（絶対値）", _xlfn.REGEXTEST(C14, "Heap Dump Directory Free Space.*Percentage"), "ヒープダンプディレクトリの空き容量割合（%）", _xlfn.REGEXTEST(C14, "Data Directory Free Space.*Absolute"), "データディレクトリの空き容量（絶対値）", _xlfn.REGEXTEST(C14, "Data Directory Free Space.*Percentage"), "データディレクトリの空き容量割合（%）", _xlfn.REGEXTEST(C14, "Transaction Log Directory Free Space.*Absolute"), "トランザクションログディレクトリの空き容量（絶対値）", _xlfn.REGEXTEST(C14, "Logging Threshold|Logger Threshold"), "ログ出力レベルの閾値設定", _xlfn.REGEXTEST(C14, "Enable.*Alerts"), "ヘルスアラートの有効化状態", _xlfn.REGEXTEST(C14, "Triggers"), "カスタムアラート条件（トリガー設定）", _xlfn.REGEXTEST(C14, "Healthy Kafka Broker"), "Kafka Brokerの健全ノード割合（稼働率）", _xlfn.REGEXTEST(C14, "Healthy Kafka Connect"), "Kafka Connectの健全ノード割合（稼働率）", _xlfn.REGEXTEST(C14, "Healthy KRaft Controller"), "KRaft Controllerの健全ノード割合（稼働率）", _xlfn.REGEXTEST(C14, "Healthy Knox IDBroker"), "Knox IDBrokerの健全ノード割合（稼働率）", _xlfn.REGEXTEST(C14, "Healthy Knox Gateway"), "Knox Gatewayの健全ノード割合（稼働率）", _xlfn.REGEXTEST(C14, "Healthy ZooKeeper Server"), "ZooKeeper Serverの健全ノード割合（稼働率）", _xlfn.REGEXTEST(C14, "Healthy NodeManager"), "NodeManagerの健全ノード割合（稼働率）", _xlfn.REGEXTEST(C14, "Maximum Latency"), "リクエストの最大レイテンシ（処理遅延）", _xlfn.REGEXTEST(C14, "Garbage Collection Duration"), "Javaのガベージコレクション（GC）の所要時間", _xlfn.REGEXTEST(C14, "Spool Directory Usage"), "Rangerプラグインのスプールディレクトリ使用量", _xlfn.REGEXTEST(C14, "Process Directory Free Space Monitoring Absolute"), "プロセスディレクトリの空き容量（絶対値)", _xlfn.REGEXTEST(C14, "Process Directory Free Space.*Percentage"), "プロセスディレクトリの空き容量割合（%）", _xlfn.REGEXTEST(C14, "Parcel Directory Free Space.*Absolute"), "パーセルディレクトリの空き容量（絶対値）", _xlfn.REGEXTEST(C14, "Parcel Directory Free Space.*Percentage"), "パーセルディレクトリの空き容量割合（%）", _xlfn.REGEXTEST(C14, "Host Network Frame Error Percentage"), "ホストのネットワークフレームエラー割合（%）", _xlfn.REGEXTEST(C14, "Network Interfaces Slow Link Modes"), "ホストのネットワークインターフェースの低速リンクモード検出", _xlfn.REGEXTEST(C14, "Host Memory Swapping"), "ホストのメモリのスワップ発生状態", TRUE, "要手動確認")</f>
        <v>カスタムアラート条件（トリガー設定）</v>
      </c>
      <c r="H14" s="479" t="s">
        <v>714</v>
      </c>
    </row>
    <row r="15" spans="1:8" ht="33.6">
      <c r="A15" s="514"/>
      <c r="B15" s="473"/>
      <c r="C15" s="471" t="s">
        <v>715</v>
      </c>
      <c r="D15" s="471" t="s">
        <v>716</v>
      </c>
      <c r="E15" s="471"/>
      <c r="F15" s="471"/>
      <c r="G15" s="471" t="str" cm="1">
        <f t="array" ref="G15">_xlfn.IFS(C15 = "", "", _xlfn.REGEXTEST(C15, "TLS Certificate Expiry"), "TLS証明書の有効期限切れ", _xlfn.REGEXTEST(C15, "Host Entropy"), "ホストのエントロピー（乱数生成能力）の不足", _xlfn.REGEXTEST(C15, "File Descriptor"), "プロセスのファイルディスクリプタ使用率", _xlfn.REGEXTEST(C15, "Unexpected Exits"), "プロセスの異常終了（予期せぬ停止）", _xlfn.REGEXTEST(C15, "Swap Memory Thresholds"), "プロセスのスワップメモリ使用量", _xlfn.REGEXTEST(C15, "Swap Memory Usage Rate"), "スワップメモリ使用量の変化率（増加速度）", _xlfn.REGEXTEST(C15, "Log Directory Free Space.*Absolute"), "ログディレクトリの空き容量（絶対値）", _xlfn.REGEXTEST(C15, "Log Directory Free Space.*Percentage"), "ログディレクトリの空き容量割合（%）", _xlfn.REGEXTEST(C15, "Heap Dump Directory Free Space.*Absolute"), "ヒープダンプディレクトリの空き容量（絶対値）", _xlfn.REGEXTEST(C15, "Heap Dump Directory Free Space.*Percentage"), "ヒープダンプディレクトリの空き容量割合（%）", _xlfn.REGEXTEST(C15, "Data Directory Free Space.*Absolute"), "データディレクトリの空き容量（絶対値）", _xlfn.REGEXTEST(C15, "Data Directory Free Space.*Percentage"), "データディレクトリの空き容量割合（%）", _xlfn.REGEXTEST(C15, "Transaction Log Directory Free Space.*Absolute"), "トランザクションログディレクトリの空き容量（絶対値）", _xlfn.REGEXTEST(C15, "Logging Threshold|Logger Threshold"), "ログ出力レベルの閾値設定", _xlfn.REGEXTEST(C15, "Enable.*Alerts"), "ヘルスアラートの有効化状態", _xlfn.REGEXTEST(C15, "Triggers"), "カスタムアラート条件（トリガー設定）", _xlfn.REGEXTEST(C15, "Healthy Kafka Broker"), "Kafka Brokerの健全ノード割合（稼働率）", _xlfn.REGEXTEST(C15, "Healthy Kafka Connect"), "Kafka Connectの健全ノード割合（稼働率）", _xlfn.REGEXTEST(C15, "Healthy KRaft Controller"), "KRaft Controllerの健全ノード割合（稼働率）", _xlfn.REGEXTEST(C15, "Healthy Knox IDBroker"), "Knox IDBrokerの健全ノード割合（稼働率）", _xlfn.REGEXTEST(C15, "Healthy Knox Gateway"), "Knox Gatewayの健全ノード割合（稼働率）", _xlfn.REGEXTEST(C15, "Healthy ZooKeeper Server"), "ZooKeeper Serverの健全ノード割合（稼働率）", _xlfn.REGEXTEST(C15, "Healthy NodeManager"), "NodeManagerの健全ノード割合（稼働率）", _xlfn.REGEXTEST(C15, "Maximum Latency"), "リクエストの最大レイテンシ（処理遅延）", _xlfn.REGEXTEST(C15, "Garbage Collection Duration"), "Javaのガベージコレクション（GC）の所要時間", _xlfn.REGEXTEST(C15, "Spool Directory Usage"), "Rangerプラグインのスプールディレクトリ使用量", _xlfn.REGEXTEST(C15, "Process Directory Free Space Monitoring Absolute"), "プロセスディレクトリの空き容量（絶対値)", _xlfn.REGEXTEST(C15, "Process Directory Free Space.*Percentage"), "プロセスディレクトリの空き容量割合（%）", _xlfn.REGEXTEST(C15, "Parcel Directory Free Space.*Absolute"), "パーセルディレクトリの空き容量（絶対値）", _xlfn.REGEXTEST(C15, "Parcel Directory Free Space.*Percentage"), "パーセルディレクトリの空き容量割合（%）", _xlfn.REGEXTEST(C15, "Host Network Frame Error Percentage"), "ホストのネットワークフレームエラー割合（%）", _xlfn.REGEXTEST(C15, "Network Interfaces Slow Link Modes"), "ホストのネットワークインターフェースの低速リンクモード検出", _xlfn.REGEXTEST(C15, "Host Memory Swapping"), "ホストのメモリのスワップ発生状態", TRUE, "要手動確認")</f>
        <v>TLS証明書の有効期限切れ</v>
      </c>
      <c r="H15" s="479" t="s">
        <v>717</v>
      </c>
    </row>
    <row r="16" spans="1:8" ht="33.6">
      <c r="A16" s="514"/>
      <c r="B16" s="473"/>
      <c r="C16" s="471" t="s">
        <v>718</v>
      </c>
      <c r="D16" s="471" t="s">
        <v>719</v>
      </c>
      <c r="E16" s="471"/>
      <c r="F16" s="471"/>
      <c r="G16" s="471" t="str" cm="1">
        <f t="array" ref="G16">_xlfn.IFS(C16 = "", "", _xlfn.REGEXTEST(C16, "Host DNS Resolution Duration"), "ホストのDNS名前解決の所要時間", _xlfn.REGEXTEST(C16, "TLS Certificate Expiry"), "TLS証明書の有効期限切れ", _xlfn.REGEXTEST(C16, "Host Entropy"), "ホストのエントロピー（乱数生成能力）の不足", _xlfn.REGEXTEST(C16, "File Descriptor"), "プロセスのファイルディスクリプタ使用率", _xlfn.REGEXTEST(C16, "Unexpected Exits"), "プロセスの異常終了（予期せぬ停止）", _xlfn.REGEXTEST(C16, "Swap Memory Thresholds"), "プロセスのスワップメモリ使用量", _xlfn.REGEXTEST(C16, "Swap Memory Usage Rate"), "スワップメモリ使用量の変化率（増加速度）", _xlfn.REGEXTEST(C16, "Log Directory Free Space.*Absolute"), "ログディレクトリの空き容量（絶対値）", _xlfn.REGEXTEST(C16, "Log Directory Free Space.*Percentage"), "ログディレクトリの空き容量割合（%）", _xlfn.REGEXTEST(C16, "Heap Dump Directory Free Space.*Absolute"), "ヒープダンプディレクトリの空き容量（絶対値）", _xlfn.REGEXTEST(C16, "Heap Dump Directory Free Space.*Percentage"), "ヒープダンプディレクトリの空き容量割合（%）", _xlfn.REGEXTEST(C16, "Data Directory Free Space.*Absolute"), "データディレクトリの空き容量（絶対値）", _xlfn.REGEXTEST(C16, "Data Directory Free Space.*Percentage"), "データディレクトリの空き容量割合（%）", _xlfn.REGEXTEST(C16, "Transaction Log Directory Free Space.*Absolute"), "トランザクションログディレクトリの空き容量（絶対値）", _xlfn.REGEXTEST(C16, "Logging Threshold|Logger Threshold"), "ログ出力レベルの閾値設定", _xlfn.REGEXTEST(C16, "Enable.*Alerts"), "ヘルスアラートの有効化状態", _xlfn.REGEXTEST(C16, "Triggers"), "カスタムアラート条件（トリガー設定）", _xlfn.REGEXTEST(C16, "Healthy Kafka Broker"), "Kafka Brokerの健全ノード割合（稼働率）", _xlfn.REGEXTEST(C16, "Healthy Kafka Connect"), "Kafka Connectの健全ノード割合（稼働率）", _xlfn.REGEXTEST(C16, "Healthy KRaft Controller"), "KRaft Controllerの健全ノード割合（稼働率）", _xlfn.REGEXTEST(C16, "Healthy Knox IDBroker"), "Knox IDBrokerの健全ノード割合（稼働率）", _xlfn.REGEXTEST(C16, "Healthy Knox Gateway"), "Knox Gatewayの健全ノード割合（稼働率）", _xlfn.REGEXTEST(C16, "Healthy ZooKeeper Server"), "ZooKeeper Serverの健全ノード割合（稼働率）", _xlfn.REGEXTEST(C16, "Healthy NodeManager"), "NodeManagerの健全ノード割合（稼働率）", _xlfn.REGEXTEST(C16, "Maximum Latency"), "リクエストの最大レイテンシ（処理遅延）", _xlfn.REGEXTEST(C16, "Garbage Collection Duration"), "Javaのガベージコレクション（GC）の所要時間", _xlfn.REGEXTEST(C16, "Spool Directory Usage"), "Rangerプラグインのスプールディレクトリ使用量", _xlfn.REGEXTEST(C16, "Process Directory Free Space Monitoring Absolute"), "プロセスディレクトリの空き容量（絶対値)", _xlfn.REGEXTEST(C16, "Process Directory Free Space.*Percentage"), "プロセスディレクトリの空き容量割合（%）", _xlfn.REGEXTEST(C16, "Parcel Directory Free Space.*Absolute"), "パーセルディレクトリの空き容量（絶対値）", _xlfn.REGEXTEST(C16, "Parcel Directory Free Space.*Percentage"), "パーセルディレクトリの空き容量割合（%）", _xlfn.REGEXTEST(C16, "Host Network Frame Error Percentage"), "ホストのネットワークフレームエラー割合（%）", _xlfn.REGEXTEST(C16, "Network Interfaces Slow Link Modes"), "ホストのネットワークインターフェースの低速リンクモード検出", _xlfn.REGEXTEST(C16, "Host Memory Swapping"), "ホストのメモリのスワップ発生状態", TRUE, "要手動確認")</f>
        <v>ホストのDNS名前解決の所要時間</v>
      </c>
      <c r="H16" s="479" t="s">
        <v>720</v>
      </c>
    </row>
    <row r="17" spans="1:8" ht="33.6">
      <c r="A17" s="514"/>
      <c r="B17" s="473"/>
      <c r="C17" s="471" t="s">
        <v>721</v>
      </c>
      <c r="D17" s="471" t="s">
        <v>722</v>
      </c>
      <c r="E17" s="471"/>
      <c r="F17" s="471"/>
      <c r="G17" s="471" t="str" cm="1">
        <f t="array" ref="G17">_xlfn.IFS(C17 = "", "", _xlfn.REGEXTEST(C17, "Host Clock Offset"), "ホストのクロックオフセット（時刻同期のズレ）", _xlfn.REGEXTEST(C17, "Memory Overcommit Validation"), "メモリオーバーコミット設定の検証", _xlfn.REGEXTEST(C17, "Gateway Logging"), "ゲートウェイのログ出力設定", _xlfn.REGEXTEST(C17, "CPU Balance"), "CPU使用率の分散バランス状態", _xlfn.REGEXTEST(C17, "Disk Balance"), "ディスク使用量の分散バランス状態", _xlfn.REGEXTEST(C17, "Network Inbound Balance"), "ネットワークインバウンド（受信）の分散バランス状態", _xlfn.REGEXTEST(C17, "Network Outbound Balance"), "ネットワークアウトバウンド（送信）の分散バランス状態", _xlfn.REGEXTEST(C17, "Replica Count Balance"), "レプリカ数の分散バランス状態", _xlfn.REGEXTEST(C17, "Disk Capacity"), "ディスク総容量の限界・使用容量", _xlfn.REGEXTEST(C17, "CPU Capacity"), "CPU総処理能力の限界・使用量", _xlfn.REGEXTEST(C17, "Network Inbound Capacity"), "ネットワークインバウンド（受信）帯域の限界・使用量", _xlfn.REGEXTEST(C17, "Network Outbound Capacity"), "ネットワークアウトバウンド（送信）帯域の限界・使用量", _xlfn.REGEXTEST(C17, "Leader Replica Count Balance"), "リーダーレプリカ数の分散バランス状態", _xlfn.REGEXTEST(C17, "Host DNS Resolution Duration"), "ホストのDNS名前解決の所要時間", _xlfn.REGEXTEST(C17, "TLS Certificate Expiry"), "TLS証明書の有効期限切れ", _xlfn.REGEXTEST(C17, "Host Entropy"), "ホストのエントロピー（乱数生成能力）の不足", _xlfn.REGEXTEST(C17, "File Descriptor"), "プロセスのファイルディスクリプタ使用率", _xlfn.REGEXTEST(C17, "Unexpected Exits"), "プロセスの異常終了（予期せぬ停止）", _xlfn.REGEXTEST(C17, "Swap Memory Thresholds"), "プロセスのスワップメモリ使用量", _xlfn.REGEXTEST(C17, "Swap Memory Usage Rate"), "スワップメモリ使用量の変化率（増加速度）", _xlfn.REGEXTEST(C17, "Log Directory Free Space.*Absolute"), "ログディレクトリの空き容量（絶対値）", _xlfn.REGEXTEST(C17, "Log Directory Free Space.*Percentage"), "ログディレクトリの空き容量割合（%）", _xlfn.REGEXTEST(C17, "Heap Dump Directory Free Space.*Absolute"), "ヒープダンプディレクトリの空き容量（絶対値）", _xlfn.REGEXTEST(C17, "Heap Dump Directory Free Space.*Percentage"), "ヒープダンプディレクトリの空き容量割合（%）", _xlfn.REGEXTEST(C17, "Data Directory Free Space.*Absolute"), "データディレクトリの空き容量（絶対値）", _xlfn.REGEXTEST(C17, "Data Directory Free Space.*Percentage"), "データディレクトリの空き容量割合（%）", _xlfn.REGEXTEST(C17, "Transaction Log Directory Free Space.*Absolute"), "トランザクションログディレクトリの空き容量（絶対値）", _xlfn.REGEXTEST(C17, "Logging Threshold|Logger Threshold"), "ログ出力レベルの閾値設定", _xlfn.REGEXTEST(C17, "Enable.*Alerts"), "ヘルスアラートの有効化状態", _xlfn.REGEXTEST(C17, "Triggers"), "カスタムアラート条件（トリガー設定）", _xlfn.REGEXTEST(C17, "Healthy Kafka Broker"), "Kafka Brokerの健全ノード割合（稼働率）", _xlfn.REGEXTEST(C17, "Healthy Kafka Connect"), "Kafka Connectの健全ノード割合（稼働率）", _xlfn.REGEXTEST(C17, "Healthy KRaft Controller"), "KRaft Controllerの健全ノード割合（稼働率）", _xlfn.REGEXTEST(C17, "Healthy Knox IDBroker"), "Knox IDBrokerの健全ノード割合（稼働率）", _xlfn.REGEXTEST(C17, "Healthy Knox Gateway"), "Knox Gatewayの健全ノード割合（稼働率）", _xlfn.REGEXTEST(C17, "Healthy ZooKeeper Server"), "ZooKeeper Serverの健全ノード割合（稼働率）", _xlfn.REGEXTEST(C17, "Healthy NodeManager"), "NodeManagerの健全ノード割合（稼働率）", _xlfn.REGEXTEST(C17, "Maximum Latency"), "リクエストの最大レイテンシ（処理遅延）", _xlfn.REGEXTEST(C17, "Garbage Collection Duration"), "Javaのガベージコレクション（GC）の所要時間", _xlfn.REGEXTEST(C17, "Spool Directory Usage"), "Rangerプラグインのスプールディレクトリ使用量", _xlfn.REGEXTEST(C17, "Process Directory Free Space Monitoring Absolute"), "プロセスディレクトリの空き容量（絶対値)", _xlfn.REGEXTEST(C17, "Process Directory Free Space.*Percentage"), "プロセスディレクトリの空き容量割合（%）", _xlfn.REGEXTEST(C17, "Parcel Directory Free Space.*Absolute"), "パーセルディレクトリの空き容量（絶対値）", _xlfn.REGEXTEST(C17, "Parcel Directory Free Space.*Percentage"), "パーセルディレクトリの空き容量割合（%）", _xlfn.REGEXTEST(C17, "Host Network Frame Error Percentage"), "ホストのネットワークフレームエラー割合（%）", _xlfn.REGEXTEST(C17, "Network Interfaces Slow Link Modes"), "ホストのネットワークインターフェースの低速リンクモード検出", _xlfn.REGEXTEST(C17, "Host Memory Swapping"), "ホストのメモリのスワップ発生状態", TRUE, "要手動確認")</f>
        <v>ホストのクロックオフセット（時刻同期のズレ）</v>
      </c>
      <c r="H17" s="479" t="s">
        <v>723</v>
      </c>
    </row>
    <row r="18" spans="1:8" ht="16.899999999999999">
      <c r="A18" s="514"/>
      <c r="B18" s="473"/>
      <c r="C18" s="471" t="s">
        <v>724</v>
      </c>
      <c r="D18" s="471" t="s">
        <v>725</v>
      </c>
      <c r="E18" s="471"/>
      <c r="F18" s="471"/>
      <c r="G18" s="471" t="str" cm="1">
        <f t="array" ref="G18">_xlfn.IFS(C18 = "", "", _xlfn.REGEXTEST(C18, "Host Clock Offset"), "ホストのクロックオフセット（時刻同期のズレ）", _xlfn.REGEXTEST(C18, "Memory Overcommit Validation"), "メモリオーバーコミット設定の検証", _xlfn.REGEXTEST(C18, "Gateway Logging"), "ゲートウェイのログ出力設定", _xlfn.REGEXTEST(C18, "CPU Balance"), "CPU使用率の分散バランス状態", _xlfn.REGEXTEST(C18, "Disk Balance"), "ディスク使用量の分散バランス状態", _xlfn.REGEXTEST(C18, "Network Inbound Balance"), "ネットワークインバウンド（受信）の分散バランス状態", _xlfn.REGEXTEST(C18, "Network Outbound Balance"), "ネットワークアウトバウンド（送信）の分散バランス状態", _xlfn.REGEXTEST(C18, "Replica Count Balance"), "レプリカ数の分散バランス状態", _xlfn.REGEXTEST(C18, "Disk Capacity"), "ディスク総容量の限界・使用容量", _xlfn.REGEXTEST(C18, "CPU Capacity"), "CPU総処理能力の限界・使用量", _xlfn.REGEXTEST(C18, "Network Inbound Capacity"), "ネットワークインバウンド（受信）帯域の限界・使用量", _xlfn.REGEXTEST(C18, "Network Outbound Capacity"), "ネットワークアウトバウンド（送信）帯域の限界・使用量", _xlfn.REGEXTEST(C18, "Leader Replica Count Balance"), "リーダーレプリカ数の分散バランス状態", _xlfn.REGEXTEST(C18, "Host DNS Resolution Duration"), "ホストのDNS名前解決の所要時間", _xlfn.REGEXTEST(C18, "TLS Certificate Expiry"), "TLS証明書の有効期限切れ", _xlfn.REGEXTEST(C18, "Host Entropy"), "ホストのエントロピー（乱数生成能力）の不足", _xlfn.REGEXTEST(C18, "File Descriptor"), "プロセスのファイルディスクリプタ使用率", _xlfn.REGEXTEST(C18, "Unexpected Exits"), "プロセスの異常終了（予期せぬ停止）", _xlfn.REGEXTEST(C18, "Swap Memory Thresholds"), "プロセスのスワップメモリ使用量", _xlfn.REGEXTEST(C18, "Swap Memory Usage Rate"), "スワップメモリ使用量の変化率（増加速度）", _xlfn.REGEXTEST(C18, "Log Directory Free Space.*Absolute"), "ログディレクトリの空き容量（絶対値）", _xlfn.REGEXTEST(C18, "Log Directory Free Space.*Percentage"), "ログディレクトリの空き容量割合（%）", _xlfn.REGEXTEST(C18, "Heap Dump Directory Free Space.*Absolute"), "ヒープダンプディレクトリの空き容量（絶対値）", _xlfn.REGEXTEST(C18, "Heap Dump Directory Free Space.*Percentage"), "ヒープダンプディレクトリの空き容量割合（%）", _xlfn.REGEXTEST(C18, "Data Directory Free Space.*Absolute"), "データディレクトリの空き容量（絶対値）", _xlfn.REGEXTEST(C18, "Data Directory Free Space.*Percentage"), "データディレクトリの空き容量割合（%）", _xlfn.REGEXTEST(C18, "Transaction Log Directory Free Space.*Absolute"), "トランザクションログディレクトリの空き容量（絶対値）", _xlfn.REGEXTEST(C18, "Logging Threshold|Logger Threshold"), "ログ出力レベルの閾値設定", _xlfn.REGEXTEST(C18, "Enable.*Alerts"), "ヘルスアラートの有効化状態", _xlfn.REGEXTEST(C18, "Triggers"), "カスタムアラート条件（トリガー設定）", _xlfn.REGEXTEST(C18, "Healthy Kafka Broker"), "Kafka Brokerの健全ノード割合（稼働率）", _xlfn.REGEXTEST(C18, "Healthy Kafka Connect"), "Kafka Connectの健全ノード割合（稼働率）", _xlfn.REGEXTEST(C18, "Healthy KRaft Controller"), "KRaft Controllerの健全ノード割合（稼働率）", _xlfn.REGEXTEST(C18, "Healthy Knox IDBroker"), "Knox IDBrokerの健全ノード割合（稼働率）", _xlfn.REGEXTEST(C18, "Healthy Knox Gateway"), "Knox Gatewayの健全ノード割合（稼働率）", _xlfn.REGEXTEST(C18, "Healthy ZooKeeper Server"), "ZooKeeper Serverの健全ノード割合（稼働率）", _xlfn.REGEXTEST(C18, "Healthy NodeManager"), "NodeManagerの健全ノード割合（稼働率）", _xlfn.REGEXTEST(C18, "Maximum Latency"), "リクエストの最大レイテンシ（処理遅延）", _xlfn.REGEXTEST(C18, "Garbage Collection Duration"), "Javaのガベージコレクション（GC）の所要時間", _xlfn.REGEXTEST(C18, "Spool Directory Usage"), "Rangerプラグインのスプールディレクトリ使用量", _xlfn.REGEXTEST(C18, "Process Directory Free Space Monitoring Absolute"), "プロセスディレクトリの空き容量（絶対値)", _xlfn.REGEXTEST(C18, "Process Directory Free Space.*Percentage"), "プロセスディレクトリの空き容量割合（%）", _xlfn.REGEXTEST(C18, "Parcel Directory Free Space.*Absolute"), "パーセルディレクトリの空き容量（絶対値）", _xlfn.REGEXTEST(C18, "Parcel Directory Free Space.*Percentage"), "パーセルディレクトリの空き容量割合（%）", _xlfn.REGEXTEST(C18, "Host Network Frame Error Percentage"), "ホストのネットワークフレームエラー割合（%）", _xlfn.REGEXTEST(C18, "Network Interfaces Slow Link Modes"), "ホストのネットワークインターフェースの低速リンクモード検出", _xlfn.REGEXTEST(C18, "Host Memory Swapping"), "ホストのメモリのスワップ発生状態", TRUE, "要手動確認")</f>
        <v>メモリオーバーコミット設定の検証</v>
      </c>
      <c r="H18" s="479">
        <v>0.8</v>
      </c>
    </row>
    <row r="19" spans="1:8" ht="151.15">
      <c r="A19" s="514"/>
      <c r="B19" s="472" t="s">
        <v>309</v>
      </c>
      <c r="C19" s="471" t="s">
        <v>726</v>
      </c>
      <c r="D19" s="471" t="s">
        <v>727</v>
      </c>
      <c r="E19" s="471" t="s">
        <v>728</v>
      </c>
      <c r="F19" s="471" t="s">
        <v>729</v>
      </c>
      <c r="G19" s="471" t="str" cm="1">
        <f t="array" ref="G19">_xlfn.IFS(C19 = "", "", _xlfn.REGEXTEST(C19, "Host Clock Offset"), "ホストのクロックオフセット（時刻同期のズレ）", _xlfn.REGEXTEST(C19, "Memory Overcommit Validation"), "メモリオーバーコミット設定の検証", _xlfn.REGEXTEST(C19, "Gateway Logging"), "ゲートウェイのログ出力設定", _xlfn.REGEXTEST(C19, "CPU Balance"), "CPU使用率の分散バランス状態", _xlfn.REGEXTEST(C19, "Disk Balance"), "ディスク使用量の分散バランス状態", _xlfn.REGEXTEST(C19, "Network Inbound Balance"), "ネットワークインバウンド（受信）の分散バランス状態", _xlfn.REGEXTEST(C19, "Network Outbound Balance"), "ネットワークアウトバウンド（送信）の分散バランス状態", _xlfn.REGEXTEST(C19, "Replica Count Balance"), "レプリカ数の分散バランス状態", _xlfn.REGEXTEST(C19, "Disk Capacity"), "ディスク総容量の限界・使用容量", _xlfn.REGEXTEST(C19, "CPU Capacity"), "CPU総処理能力の限界・使用量", _xlfn.REGEXTEST(C19, "Network Inbound Capacity"), "ネットワークインバウンド（受信）帯域の限界・使用量", _xlfn.REGEXTEST(C19, "Network Outbound Capacity"), "ネットワークアウトバウンド（送信）帯域の限界・使用量", _xlfn.REGEXTEST(C19, "Leader Replica Count Balance"), "リーダーレプリカ数の分散バランス状態", _xlfn.REGEXTEST(C19, "Host DNS Resolution Duration"), "ホストのDNS名前解決の所要時間", _xlfn.REGEXTEST(C19, "TLS Certificate Expiry"), "TLS証明書の有効期限切れ", _xlfn.REGEXTEST(C19, "Host Entropy"), "ホストのエントロピー（乱数生成能力）の不足", _xlfn.REGEXTEST(C19, "File Descriptor"), "プロセスのファイルディスクリプタ使用率", _xlfn.REGEXTEST(C19, "Unexpected Exits"), "プロセスの異常終了（予期せぬ停止）", _xlfn.REGEXTEST(C19, "Swap Memory Thresholds"), "プロセスのスワップメモリ使用量", _xlfn.REGEXTEST(C19, "Swap Memory Usage Rate"), "スワップメモリ使用量の変化率（増加速度）", _xlfn.REGEXTEST(C19, "Log Directory Free Space.*Absolute"), "ログディレクトリの空き容量（絶対値）", _xlfn.REGEXTEST(C19, "Log Directory Free Space.*Percentage"), "ログディレクトリの空き容量割合（%）", _xlfn.REGEXTEST(C19, "Heap Dump Directory Free Space.*Absolute"), "ヒープダンプディレクトリの空き容量（絶対値）", _xlfn.REGEXTEST(C19, "Heap Dump Directory Free Space.*Percentage"), "ヒープダンプディレクトリの空き容量割合（%）", _xlfn.REGEXTEST(C19, "Data Directory Free Space.*Absolute"), "データディレクトリの空き容量（絶対値）", _xlfn.REGEXTEST(C19, "Data Directory Free Space.*Percentage"), "データディレクトリの空き容量割合（%）", _xlfn.REGEXTEST(C19, "Transaction Log Directory Free Space.*Absolute"), "トランザクションログディレクトリの空き容量（絶対値）", _xlfn.REGEXTEST(C19, "Logging Threshold|Logger Threshold"), "ログ出力レベルの閾値設定", _xlfn.REGEXTEST(C19, "Enable.*Alerts"), "ヘルスアラートの有効化状態", _xlfn.REGEXTEST(C19, "Triggers"), "カスタムアラート条件（トリガー設定）", _xlfn.REGEXTEST(C19, "Healthy Kafka Broker"), "Kafka Brokerの健全ノード割合（稼働率）", _xlfn.REGEXTEST(C19, "Healthy Kafka Connect"), "Kafka Connectの健全ノード割合（稼働率）", _xlfn.REGEXTEST(C19, "Healthy KRaft Controller"), "KRaft Controllerの健全ノード割合（稼働率）", _xlfn.REGEXTEST(C19, "Healthy Knox IDBroker"), "Knox IDBrokerの健全ノード割合（稼働率）", _xlfn.REGEXTEST(C19, "Healthy Knox Gateway"), "Knox Gatewayの健全ノード割合（稼働率）", _xlfn.REGEXTEST(C19, "Healthy ZooKeeper Server"), "ZooKeeper Serverの健全ノード割合（稼働率）", _xlfn.REGEXTEST(C19, "Healthy NodeManager"), "NodeManagerの健全ノード割合（稼働率）", _xlfn.REGEXTEST(C19, "Maximum Latency"), "リクエストの最大レイテンシ（処理遅延）", _xlfn.REGEXTEST(C19, "Garbage Collection Duration"), "Javaのガベージコレクション（GC）の所要時間", _xlfn.REGEXTEST(C19, "Spool Directory Usage"), "Rangerプラグインのスプールディレクトリ使用量", _xlfn.REGEXTEST(C19, "Process Directory Free Space Monitoring Absolute"), "プロセスディレクトリの空き容量（絶対値)", _xlfn.REGEXTEST(C19, "Process Directory Free Space.*Percentage"), "プロセスディレクトリの空き容量割合（%）", _xlfn.REGEXTEST(C19, "Parcel Directory Free Space.*Absolute"), "パーセルディレクトリの空き容量（絶対値）", _xlfn.REGEXTEST(C19, "Parcel Directory Free Space.*Percentage"), "パーセルディレクトリの空き容量割合（%）", _xlfn.REGEXTEST(C19, "Host Network Frame Error Percentage"), "ホストのネットワークフレームエラー割合（%）", _xlfn.REGEXTEST(C19, "Network Interfaces Slow Link Modes"), "ホストのネットワークインターフェースの低速リンクモード検出", _xlfn.REGEXTEST(C19, "Host Memory Swapping"), "ホストのメモリのスワップ発生状態", TRUE, "要手動確認")</f>
        <v>Kafka Brokerの健全ノード割合（稼働率）</v>
      </c>
      <c r="H19" s="479" t="s">
        <v>730</v>
      </c>
    </row>
    <row r="20" spans="1:8" ht="33.6">
      <c r="A20" s="468"/>
      <c r="B20" s="473"/>
      <c r="C20" s="471" t="s">
        <v>731</v>
      </c>
      <c r="D20" s="471" t="s">
        <v>732</v>
      </c>
      <c r="E20" s="471" t="s">
        <v>728</v>
      </c>
      <c r="F20" s="471"/>
      <c r="G20" s="471" t="str" cm="1">
        <f t="array" ref="G20">_xlfn.IFS(C20 = "", "", _xlfn.REGEXTEST(C20, "Host Clock Offset"), "ホストのクロックオフセット（時刻同期のズレ）", _xlfn.REGEXTEST(C20, "Memory Overcommit Validation"), "メモリオーバーコミット設定の検証", _xlfn.REGEXTEST(C20, "Gateway Logging"), "ゲートウェイのログ出力設定", _xlfn.REGEXTEST(C20, "CPU Balance"), "CPU使用率の分散バランス状態", _xlfn.REGEXTEST(C20, "Disk Balance"), "ディスク使用量の分散バランス状態", _xlfn.REGEXTEST(C20, "Network Inbound Balance"), "ネットワークインバウンド（受信）の分散バランス状態", _xlfn.REGEXTEST(C20, "Network Outbound Balance"), "ネットワークアウトバウンド（送信）の分散バランス状態", _xlfn.REGEXTEST(C20, "Replica Count Balance"), "レプリカ数の分散バランス状態", _xlfn.REGEXTEST(C20, "Disk Capacity"), "ディスク総容量の限界・使用容量", _xlfn.REGEXTEST(C20, "CPU Capacity"), "CPU総処理能力の限界・使用量", _xlfn.REGEXTEST(C20, "Network Inbound Capacity"), "ネットワークインバウンド（受信）帯域の限界・使用量", _xlfn.REGEXTEST(C20, "Network Outbound Capacity"), "ネットワークアウトバウンド（送信）帯域の限界・使用量", _xlfn.REGEXTEST(C20, "Leader Replica Count Balance"), "リーダーレプリカ数の分散バランス状態", _xlfn.REGEXTEST(C20, "Host DNS Resolution Duration"), "ホストのDNS名前解決の所要時間", _xlfn.REGEXTEST(C20, "TLS Certificate Expiry"), "TLS証明書の有効期限切れ", _xlfn.REGEXTEST(C20, "Host Entropy"), "ホストのエントロピー（乱数生成能力）の不足", _xlfn.REGEXTEST(C20, "File Descriptor"), "プロセスのファイルディスクリプタ使用率", _xlfn.REGEXTEST(C20, "Unexpected Exits"), "プロセスの異常終了（予期せぬ停止）", _xlfn.REGEXTEST(C20, "Swap Memory Thresholds"), "プロセスのスワップメモリ使用量", _xlfn.REGEXTEST(C20, "Swap Memory Usage Rate"), "スワップメモリ使用量の変化率（増加速度）", _xlfn.REGEXTEST(C20, "Log Directory Free Space.*Absolute"), "ログディレクトリの空き容量（絶対値）", _xlfn.REGEXTEST(C20, "Log Directory Free Space.*Percentage"), "ログディレクトリの空き容量割合（%）", _xlfn.REGEXTEST(C20, "Heap Dump Directory Free Space.*Absolute"), "ヒープダンプディレクトリの空き容量（絶対値）", _xlfn.REGEXTEST(C20, "Heap Dump Directory Free Space.*Percentage"), "ヒープダンプディレクトリの空き容量割合（%）", _xlfn.REGEXTEST(C20, "Data Directory Free Space.*Absolute"), "データディレクトリの空き容量（絶対値）", _xlfn.REGEXTEST(C20, "Data Directory Free Space.*Percentage"), "データディレクトリの空き容量割合（%）", _xlfn.REGEXTEST(C20, "Transaction Log Directory Free Space.*Absolute"), "トランザクションログディレクトリの空き容量（絶対値）", _xlfn.REGEXTEST(C20, "Logging Threshold|Logger Threshold"), "ログ出力レベルの閾値設定", _xlfn.REGEXTEST(C20, "Enable.*Alerts"), "ヘルスアラートの有効化状態", _xlfn.REGEXTEST(C20, "Triggers"), "カスタムアラート条件（トリガー設定）", _xlfn.REGEXTEST(C20, "Healthy Kafka Broker"), "Kafka Brokerの健全ノード割合（稼働率）", _xlfn.REGEXTEST(C20, "Healthy Kafka Connect"), "Kafka Connectの健全ノード割合（稼働率）", _xlfn.REGEXTEST(C20, "Healthy KRaft Controller"), "KRaft Controllerの健全ノード割合（稼働率）", _xlfn.REGEXTEST(C20, "Healthy Knox IDBroker"), "Knox IDBrokerの健全ノード割合（稼働率）", _xlfn.REGEXTEST(C20, "Healthy Knox Gateway"), "Knox Gatewayの健全ノード割合（稼働率）", _xlfn.REGEXTEST(C20, "Healthy ZooKeeper Server"), "ZooKeeper Serverの健全ノード割合（稼働率）", _xlfn.REGEXTEST(C20, "Healthy NodeManager"), "NodeManagerの健全ノード割合（稼働率）", _xlfn.REGEXTEST(C20, "Maximum Latency"), "リクエストの最大レイテンシ（処理遅延）", _xlfn.REGEXTEST(C20, "Garbage Collection Duration"), "Javaのガベージコレクション（GC）の所要時間", _xlfn.REGEXTEST(C20, "Spool Directory Usage"), "Rangerプラグインのスプールディレクトリ使用量", _xlfn.REGEXTEST(C20, "Process Directory Free Space Monitoring Absolute"), "プロセスディレクトリの空き容量（絶対値)", _xlfn.REGEXTEST(C20, "Process Directory Free Space.*Percentage"), "プロセスディレクトリの空き容量割合（%）", _xlfn.REGEXTEST(C20, "Parcel Directory Free Space.*Absolute"), "パーセルディレクトリの空き容量（絶対値）", _xlfn.REGEXTEST(C20, "Parcel Directory Free Space.*Percentage"), "パーセルディレクトリの空き容量割合（%）", _xlfn.REGEXTEST(C20, "Host Network Frame Error Percentage"), "ホストのネットワークフレームエラー割合（%）", _xlfn.REGEXTEST(C20, "Network Interfaces Slow Link Modes"), "ホストのネットワークインターフェースの低速リンクモード検出", _xlfn.REGEXTEST(C20, "Host Memory Swapping"), "ホストのメモリのスワップ発生状態", TRUE, "要手動確認")</f>
        <v>Kafka Connectの健全ノード割合（稼働率）</v>
      </c>
      <c r="H20" s="479" t="s">
        <v>730</v>
      </c>
    </row>
    <row r="21" spans="1:8" ht="33.6">
      <c r="A21" s="468"/>
      <c r="B21" s="473"/>
      <c r="C21" s="471" t="s">
        <v>733</v>
      </c>
      <c r="D21" s="471" t="s">
        <v>734</v>
      </c>
      <c r="E21" s="471" t="s">
        <v>728</v>
      </c>
      <c r="F21" s="471"/>
      <c r="G21" s="471" t="str" cm="1">
        <f t="array" ref="G21">_xlfn.IFS(C21 = "", "", _xlfn.REGEXTEST(C21, "Host Clock Offset"), "ホストのクロックオフセット（時刻同期のズレ）", _xlfn.REGEXTEST(C21, "Memory Overcommit Validation"), "メモリオーバーコミット設定の検証", _xlfn.REGEXTEST(C21, "Gateway Logging"), "ゲートウェイのログ出力設定", _xlfn.REGEXTEST(C21, "CPU Balance"), "CPU使用率の分散バランス状態", _xlfn.REGEXTEST(C21, "Disk Balance"), "ディスク使用量の分散バランス状態", _xlfn.REGEXTEST(C21, "Network Inbound Balance"), "ネットワークインバウンド（受信）の分散バランス状態", _xlfn.REGEXTEST(C21, "Network Outbound Balance"), "ネットワークアウトバウンド（送信）の分散バランス状態", _xlfn.REGEXTEST(C21, "Replica Count Balance"), "レプリカ数の分散バランス状態", _xlfn.REGEXTEST(C21, "Disk Capacity"), "ディスク総容量の限界・使用容量", _xlfn.REGEXTEST(C21, "CPU Capacity"), "CPU総処理能力の限界・使用量", _xlfn.REGEXTEST(C21, "Network Inbound Capacity"), "ネットワークインバウンド（受信）帯域の限界・使用量", _xlfn.REGEXTEST(C21, "Network Outbound Capacity"), "ネットワークアウトバウンド（送信）帯域の限界・使用量", _xlfn.REGEXTEST(C21, "Leader Replica Count Balance"), "リーダーレプリカ数の分散バランス状態", _xlfn.REGEXTEST(C21, "Host DNS Resolution Duration"), "ホストのDNS名前解決の所要時間", _xlfn.REGEXTEST(C21, "TLS Certificate Expiry"), "TLS証明書の有効期限切れ", _xlfn.REGEXTEST(C21, "Host Entropy"), "ホストのエントロピー（乱数生成能力）の不足", _xlfn.REGEXTEST(C21, "File Descriptor"), "プロセスのファイルディスクリプタ使用率", _xlfn.REGEXTEST(C21, "Unexpected Exits"), "プロセスの異常終了（予期せぬ停止）", _xlfn.REGEXTEST(C21, "Swap Memory Thresholds"), "プロセスのスワップメモリ使用量", _xlfn.REGEXTEST(C21, "Swap Memory Usage Rate"), "スワップメモリ使用量の変化率（増加速度）", _xlfn.REGEXTEST(C21, "Log Directory Free Space.*Absolute"), "ログディレクトリの空き容量（絶対値）", _xlfn.REGEXTEST(C21, "Log Directory Free Space.*Percentage"), "ログディレクトリの空き容量割合（%）", _xlfn.REGEXTEST(C21, "Heap Dump Directory Free Space.*Absolute"), "ヒープダンプディレクトリの空き容量（絶対値）", _xlfn.REGEXTEST(C21, "Heap Dump Directory Free Space.*Percentage"), "ヒープダンプディレクトリの空き容量割合（%）", _xlfn.REGEXTEST(C21, "Data Directory Free Space.*Absolute"), "データディレクトリの空き容量（絶対値）", _xlfn.REGEXTEST(C21, "Data Directory Free Space.*Percentage"), "データディレクトリの空き容量割合（%）", _xlfn.REGEXTEST(C21, "Transaction Log Directory Free Space.*Absolute"), "トランザクションログディレクトリの空き容量（絶対値）", _xlfn.REGEXTEST(C21, "Logging Threshold|Logger Threshold"), "ログ出力レベルの閾値設定", _xlfn.REGEXTEST(C21, "Enable.*Alerts"), "ヘルスアラートの有効化状態", _xlfn.REGEXTEST(C21, "Triggers"), "カスタムアラート条件（トリガー設定）", _xlfn.REGEXTEST(C21, "Healthy Kafka Broker"), "Kafka Brokerの健全ノード割合（稼働率）", _xlfn.REGEXTEST(C21, "Healthy Kafka Connect"), "Kafka Connectの健全ノード割合（稼働率）", _xlfn.REGEXTEST(C21, "Healthy KRaft Controller"), "KRaft Controllerの健全ノード割合（稼働率）", _xlfn.REGEXTEST(C21, "Healthy Knox IDBroker"), "Knox IDBrokerの健全ノード割合（稼働率）", _xlfn.REGEXTEST(C21, "Healthy Knox Gateway"), "Knox Gatewayの健全ノード割合（稼働率）", _xlfn.REGEXTEST(C21, "Healthy ZooKeeper Server"), "ZooKeeper Serverの健全ノード割合（稼働率）", _xlfn.REGEXTEST(C21, "Healthy NodeManager"), "NodeManagerの健全ノード割合（稼働率）", _xlfn.REGEXTEST(C21, "Maximum Latency"), "リクエストの最大レイテンシ（処理遅延）", _xlfn.REGEXTEST(C21, "Garbage Collection Duration"), "Javaのガベージコレクション（GC）の所要時間", _xlfn.REGEXTEST(C21, "Spool Directory Usage"), "Rangerプラグインのスプールディレクトリ使用量", _xlfn.REGEXTEST(C21, "Process Directory Free Space Monitoring Absolute"), "プロセスディレクトリの空き容量（絶対値)", _xlfn.REGEXTEST(C21, "Process Directory Free Space.*Percentage"), "プロセスディレクトリの空き容量割合（%）", _xlfn.REGEXTEST(C21, "Parcel Directory Free Space.*Absolute"), "パーセルディレクトリの空き容量（絶対値）", _xlfn.REGEXTEST(C21, "Parcel Directory Free Space.*Percentage"), "パーセルディレクトリの空き容量割合（%）", _xlfn.REGEXTEST(C21, "Host Network Frame Error Percentage"), "ホストのネットワークフレームエラー割合（%）", _xlfn.REGEXTEST(C21, "Network Interfaces Slow Link Modes"), "ホストのネットワークインターフェースの低速リンクモード検出", _xlfn.REGEXTEST(C21, "Host Memory Swapping"), "ホストのメモリのスワップ発生状態", TRUE, "要手動確認")</f>
        <v>KRaft Controllerの健全ノード割合（稼働率）</v>
      </c>
      <c r="H21" s="479" t="s">
        <v>735</v>
      </c>
    </row>
    <row r="22" spans="1:8" ht="33.6">
      <c r="A22" s="468"/>
      <c r="B22" s="473"/>
      <c r="C22" s="471" t="s">
        <v>736</v>
      </c>
      <c r="D22" s="471" t="s">
        <v>737</v>
      </c>
      <c r="E22" s="471" t="s">
        <v>738</v>
      </c>
      <c r="F22" s="471" t="s">
        <v>739</v>
      </c>
      <c r="G22" s="471" t="str" cm="1">
        <f t="array" ref="G22">_xlfn.IFS(C22 = "", "", _xlfn.REGEXTEST(C22, "Host Clock Offset"), "ホストのクロックオフセット（時刻同期のズレ）", _xlfn.REGEXTEST(C22, "Memory Overcommit Validation"), "メモリオーバーコミット設定の検証", _xlfn.REGEXTEST(C22, "Gateway Logging"), "ゲートウェイのログ出力設定", _xlfn.REGEXTEST(C22, "CPU Balance"), "CPU使用率の分散バランス状態", _xlfn.REGEXTEST(C22, "Disk Balance"), "ディスク使用量の分散バランス状態", _xlfn.REGEXTEST(C22, "Network Inbound Balance"), "ネットワークインバウンド（受信）の分散バランス状態", _xlfn.REGEXTEST(C22, "Network Outbound Balance"), "ネットワークアウトバウンド（送信）の分散バランス状態", _xlfn.REGEXTEST(C22, "Replica Count Balance"), "レプリカ数の分散バランス状態", _xlfn.REGEXTEST(C22, "Disk Capacity"), "ディスク総容量の限界・使用容量", _xlfn.REGEXTEST(C22, "CPU Capacity"), "CPU総処理能力の限界・使用量", _xlfn.REGEXTEST(C22, "Network Inbound Capacity"), "ネットワークインバウンド（受信）帯域の限界・使用量", _xlfn.REGEXTEST(C22, "Network Outbound Capacity"), "ネットワークアウトバウンド（送信）帯域の限界・使用量", _xlfn.REGEXTEST(C22, "Leader Replica Count Balance"), "リーダーレプリカ数の分散バランス状態", _xlfn.REGEXTEST(C22, "Host DNS Resolution Duration"), "ホストのDNS名前解決の所要時間", _xlfn.REGEXTEST(C22, "TLS Certificate Expiry"), "TLS証明書の有効期限切れ", _xlfn.REGEXTEST(C22, "Host Entropy"), "ホストのエントロピー（乱数生成能力）の不足", _xlfn.REGEXTEST(C22, "File Descriptor"), "プロセスのファイルディスクリプタ使用率", _xlfn.REGEXTEST(C22, "Unexpected Exits"), "プロセスの異常終了（予期せぬ停止）", _xlfn.REGEXTEST(C22, "Swap Memory Thresholds"), "プロセスのスワップメモリ使用量", _xlfn.REGEXTEST(C22, "Swap Memory Usage Rate"), "スワップメモリ使用量の変化率（増加速度）", _xlfn.REGEXTEST(C22, "Log Directory Free Space.*Absolute"), "ログディレクトリの空き容量（絶対値）", _xlfn.REGEXTEST(C22, "Log Directory Free Space.*Percentage"), "ログディレクトリの空き容量割合（%）", _xlfn.REGEXTEST(C22, "Heap Dump Directory Free Space.*Absolute"), "ヒープダンプディレクトリの空き容量（絶対値）", _xlfn.REGEXTEST(C22, "Heap Dump Directory Free Space.*Percentage"), "ヒープダンプディレクトリの空き容量割合（%）", _xlfn.REGEXTEST(C22, "Data Directory Free Space.*Absolute"), "データディレクトリの空き容量（絶対値）", _xlfn.REGEXTEST(C22, "Data Directory Free Space.*Percentage"), "データディレクトリの空き容量割合（%）", _xlfn.REGEXTEST(C22, "Transaction Log Directory Free Space.*Absolute"), "トランザクションログディレクトリの空き容量（絶対値）", _xlfn.REGEXTEST(C22, "Logging Threshold|Logger Threshold"), "ログ出力レベルの閾値設定", _xlfn.REGEXTEST(C22, "Enable.*Alerts"), "ヘルスアラートの有効化状態", _xlfn.REGEXTEST(C22, "Triggers"), "カスタムアラート条件（トリガー設定）", _xlfn.REGEXTEST(C22, "Healthy Kafka Broker"), "Kafka Brokerの健全ノード割合（稼働率）", _xlfn.REGEXTEST(C22, "Healthy Kafka Connect"), "Kafka Connectの健全ノード割合（稼働率）", _xlfn.REGEXTEST(C22, "Healthy KRaft Controller"), "KRaft Controllerの健全ノード割合（稼働率）", _xlfn.REGEXTEST(C22, "Healthy Knox IDBroker"), "Knox IDBrokerの健全ノード割合（稼働率）", _xlfn.REGEXTEST(C22, "Healthy Knox Gateway"), "Knox Gatewayの健全ノード割合（稼働率）", _xlfn.REGEXTEST(C22, "Healthy ZooKeeper Server"), "ZooKeeper Serverの健全ノード割合（稼働率）", _xlfn.REGEXTEST(C22, "Healthy NodeManager"), "NodeManagerの健全ノード割合（稼働率）", _xlfn.REGEXTEST(C22, "Maximum Latency"), "リクエストの最大レイテンシ（処理遅延）", _xlfn.REGEXTEST(C22, "Garbage Collection Duration"), "Javaのガベージコレクション（GC）の所要時間", _xlfn.REGEXTEST(C22, "Spool Directory Usage"), "Rangerプラグインのスプールディレクトリ使用量", _xlfn.REGEXTEST(C22, "Process Directory Free Space Monitoring Absolute"), "プロセスディレクトリの空き容量（絶対値)", _xlfn.REGEXTEST(C22, "Process Directory Free Space.*Percentage"), "プロセスディレクトリの空き容量割合（%）", _xlfn.REGEXTEST(C22, "Parcel Directory Free Space.*Absolute"), "パーセルディレクトリの空き容量（絶対値）", _xlfn.REGEXTEST(C22, "Parcel Directory Free Space.*Percentage"), "パーセルディレクトリの空き容量割合（%）", _xlfn.REGEXTEST(C22, "Host Network Frame Error Percentage"), "ホストのネットワークフレームエラー割合（%）", _xlfn.REGEXTEST(C22, "Network Interfaces Slow Link Modes"), "ホストのネットワークインターフェースの低速リンクモード検出", _xlfn.REGEXTEST(C22, "Host Memory Swapping"), "ホストのメモリのスワップ発生状態", TRUE, "要手動確認")</f>
        <v>プロセスのファイルディスクリプタ使用率</v>
      </c>
      <c r="H22" s="479" t="s">
        <v>740</v>
      </c>
    </row>
    <row r="23" spans="1:8" ht="67.150000000000006">
      <c r="A23" s="468"/>
      <c r="B23" s="473"/>
      <c r="C23" s="471" t="s">
        <v>741</v>
      </c>
      <c r="D23" s="471" t="s">
        <v>742</v>
      </c>
      <c r="E23" s="471" t="s">
        <v>743</v>
      </c>
      <c r="F23" s="471" t="s">
        <v>744</v>
      </c>
      <c r="G23" s="471" t="str" cm="1">
        <f t="array" ref="G23">_xlfn.IFS(C23 = "", "", _xlfn.REGEXTEST(C23, "Host Clock Offset"), "ホストのクロックオフセット（時刻同期のズレ）", _xlfn.REGEXTEST(C23, "Memory Overcommit Validation"), "メモリオーバーコミット設定の検証", _xlfn.REGEXTEST(C23, "Gateway Logging"), "ゲートウェイのログ出力設定", _xlfn.REGEXTEST(C23, "CPU Balance"), "CPU使用率の分散バランス状態", _xlfn.REGEXTEST(C23, "Disk Balance"), "ディスク使用量の分散バランス状態", _xlfn.REGEXTEST(C23, "Network Inbound Balance"), "ネットワークインバウンド（受信）の分散バランス状態", _xlfn.REGEXTEST(C23, "Network Outbound Balance"), "ネットワークアウトバウンド（送信）の分散バランス状態", _xlfn.REGEXTEST(C23, "Replica Count Balance"), "レプリカ数の分散バランス状態", _xlfn.REGEXTEST(C23, "Disk Capacity"), "ディスク総容量の限界・使用容量", _xlfn.REGEXTEST(C23, "CPU Capacity"), "CPU総処理能力の限界・使用量", _xlfn.REGEXTEST(C23, "Network Inbound Capacity"), "ネットワークインバウンド（受信）帯域の限界・使用量", _xlfn.REGEXTEST(C23, "Network Outbound Capacity"), "ネットワークアウトバウンド（送信）帯域の限界・使用量", _xlfn.REGEXTEST(C23, "Leader Replica Count Balance"), "リーダーレプリカ数の分散バランス状態", _xlfn.REGEXTEST(C23, "Host DNS Resolution Duration"), "ホストのDNS名前解決の所要時間", _xlfn.REGEXTEST(C23, "TLS Certificate Expiry"), "TLS証明書の有効期限切れ", _xlfn.REGEXTEST(C23, "Host Entropy"), "ホストのエントロピー（乱数生成能力）の不足", _xlfn.REGEXTEST(C23, "File Descriptor"), "プロセスのファイルディスクリプタ使用率", _xlfn.REGEXTEST(C23, "Unexpected Exits"), "プロセスの異常終了（予期せぬ停止）", _xlfn.REGEXTEST(C23, "Swap Memory Thresholds"), "プロセスのスワップメモリ使用量", _xlfn.REGEXTEST(C23, "Swap Memory Usage Rate"), "スワップメモリ使用量の変化率（増加速度）", _xlfn.REGEXTEST(C23, "Log Directory Free Space.*Absolute"), "ログディレクトリの空き容量（絶対値）", _xlfn.REGEXTEST(C23, "Log Directory Free Space.*Percentage"), "ログディレクトリの空き容量割合（%）", _xlfn.REGEXTEST(C23, "Heap Dump Directory Free Space.*Absolute"), "ヒープダンプディレクトリの空き容量（絶対値）", _xlfn.REGEXTEST(C23, "Heap Dump Directory Free Space.*Percentage"), "ヒープダンプディレクトリの空き容量割合（%）", _xlfn.REGEXTEST(C23, "Data Directory Free Space.*Absolute"), "データディレクトリの空き容量（絶対値）", _xlfn.REGEXTEST(C23, "Data Directory Free Space.*Percentage"), "データディレクトリの空き容量割合（%）", _xlfn.REGEXTEST(C23, "Transaction Log Directory Free Space.*Absolute"), "トランザクションログディレクトリの空き容量（絶対値）", _xlfn.REGEXTEST(C23, "Logging Threshold|Logger Threshold"), "ログ出力レベルの閾値設定", _xlfn.REGEXTEST(C23, "Enable.*Alerts"), "ヘルスアラートの有効化状態", _xlfn.REGEXTEST(C23, "Triggers"), "カスタムアラート条件（トリガー設定）", _xlfn.REGEXTEST(C23, "Healthy Kafka Broker"), "Kafka Brokerの健全ノード割合（稼働率）", _xlfn.REGEXTEST(C23, "Healthy Kafka Connect"), "Kafka Connectの健全ノード割合（稼働率）", _xlfn.REGEXTEST(C23, "Healthy KRaft Controller"), "KRaft Controllerの健全ノード割合（稼働率）", _xlfn.REGEXTEST(C23, "Healthy Knox IDBroker"), "Knox IDBrokerの健全ノード割合（稼働率）", _xlfn.REGEXTEST(C23, "Healthy Knox Gateway"), "Knox Gatewayの健全ノード割合（稼働率）", _xlfn.REGEXTEST(C23, "Healthy ZooKeeper Server"), "ZooKeeper Serverの健全ノード割合（稼働率）", _xlfn.REGEXTEST(C23, "Healthy NodeManager"), "NodeManagerの健全ノード割合（稼働率）", _xlfn.REGEXTEST(C23, "Maximum Latency"), "リクエストの最大レイテンシ（処理遅延）", _xlfn.REGEXTEST(C23, "Garbage Collection Duration"), "Javaのガベージコレクション（GC）の所要時間", _xlfn.REGEXTEST(C23, "Spool Directory Usage"), "Rangerプラグインのスプールディレクトリ使用量", _xlfn.REGEXTEST(C23, "Process Directory Free Space Monitoring Absolute"), "プロセスディレクトリの空き容量（絶対値)", _xlfn.REGEXTEST(C23, "Process Directory Free Space.*Percentage"), "プロセスディレクトリの空き容量割合（%）", _xlfn.REGEXTEST(C23, "Parcel Directory Free Space.*Absolute"), "パーセルディレクトリの空き容量（絶対値）", _xlfn.REGEXTEST(C23, "Parcel Directory Free Space.*Percentage"), "パーセルディレクトリの空き容量割合（%）", _xlfn.REGEXTEST(C23, "Host Network Frame Error Percentage"), "ホストのネットワークフレームエラー割合（%）", _xlfn.REGEXTEST(C23, "Network Interfaces Slow Link Modes"), "ホストのネットワークインターフェースの低速リンクモード検出", _xlfn.REGEXTEST(C23, "Host Memory Swapping"), "ホストのメモリのスワップ発生状態", TRUE, "要手動確認")</f>
        <v>ログディレクトリの空き容量（絶対値）</v>
      </c>
      <c r="H23" s="479" t="s">
        <v>745</v>
      </c>
    </row>
    <row r="24" spans="1:8" ht="67.150000000000006">
      <c r="A24" s="468"/>
      <c r="B24" s="473"/>
      <c r="C24" s="471" t="s">
        <v>746</v>
      </c>
      <c r="D24" s="471" t="s">
        <v>747</v>
      </c>
      <c r="E24" s="471" t="s">
        <v>743</v>
      </c>
      <c r="F24" s="471" t="s">
        <v>748</v>
      </c>
      <c r="G24" s="471" t="str" cm="1">
        <f t="array" ref="G24">_xlfn.IFS(C24 = "", "", _xlfn.REGEXTEST(C24, "Host Clock Offset"), "ホストのクロックオフセット（時刻同期のズレ）", _xlfn.REGEXTEST(C24, "Memory Overcommit Validation"), "メモリオーバーコミット設定の検証", _xlfn.REGEXTEST(C24, "Gateway Logging"), "ゲートウェイのログ出力設定", _xlfn.REGEXTEST(C24, "CPU Balance"), "CPU使用率の分散バランス状態", _xlfn.REGEXTEST(C24, "Disk Balance"), "ディスク使用量の分散バランス状態", _xlfn.REGEXTEST(C24, "Network Inbound Balance"), "ネットワークインバウンド（受信）の分散バランス状態", _xlfn.REGEXTEST(C24, "Network Outbound Balance"), "ネットワークアウトバウンド（送信）の分散バランス状態", _xlfn.REGEXTEST(C24, "Replica Count Balance"), "レプリカ数の分散バランス状態", _xlfn.REGEXTEST(C24, "Disk Capacity"), "ディスク総容量の限界・使用容量", _xlfn.REGEXTEST(C24, "CPU Capacity"), "CPU総処理能力の限界・使用量", _xlfn.REGEXTEST(C24, "Network Inbound Capacity"), "ネットワークインバウンド（受信）帯域の限界・使用量", _xlfn.REGEXTEST(C24, "Network Outbound Capacity"), "ネットワークアウトバウンド（送信）帯域の限界・使用量", _xlfn.REGEXTEST(C24, "Leader Replica Count Balance"), "リーダーレプリカ数の分散バランス状態", _xlfn.REGEXTEST(C24, "Host DNS Resolution Duration"), "ホストのDNS名前解決の所要時間", _xlfn.REGEXTEST(C24, "TLS Certificate Expiry"), "TLS証明書の有効期限切れ", _xlfn.REGEXTEST(C24, "Host Entropy"), "ホストのエントロピー（乱数生成能力）の不足", _xlfn.REGEXTEST(C24, "File Descriptor"), "プロセスのファイルディスクリプタ使用率", _xlfn.REGEXTEST(C24, "Unexpected Exits"), "プロセスの異常終了（予期せぬ停止）", _xlfn.REGEXTEST(C24, "Swap Memory Thresholds"), "プロセスのスワップメモリ使用量", _xlfn.REGEXTEST(C24, "Swap Memory Usage Rate"), "スワップメモリ使用量の変化率（増加速度）", _xlfn.REGEXTEST(C24, "Log Directory Free Space.*Absolute"), "ログディレクトリの空き容量（絶対値）", _xlfn.REGEXTEST(C24, "Log Directory Free Space.*Percentage"), "ログディレクトリの空き容量割合（%）", _xlfn.REGEXTEST(C24, "Heap Dump Directory Free Space.*Absolute"), "ヒープダンプディレクトリの空き容量（絶対値）", _xlfn.REGEXTEST(C24, "Heap Dump Directory Free Space.*Percentage"), "ヒープダンプディレクトリの空き容量割合（%）", _xlfn.REGEXTEST(C24, "Data Directory Free Space.*Absolute"), "データディレクトリの空き容量（絶対値）", _xlfn.REGEXTEST(C24, "Data Directory Free Space.*Percentage"), "データディレクトリの空き容量割合（%）", _xlfn.REGEXTEST(C24, "Transaction Log Directory Free Space.*Absolute"), "トランザクションログディレクトリの空き容量（絶対値）", _xlfn.REGEXTEST(C24, "Logging Threshold|Logger Threshold"), "ログ出力レベルの閾値設定", _xlfn.REGEXTEST(C24, "Enable.*Alerts"), "ヘルスアラートの有効化状態", _xlfn.REGEXTEST(C24, "Triggers"), "カスタムアラート条件（トリガー設定）", _xlfn.REGEXTEST(C24, "Healthy Kafka Broker"), "Kafka Brokerの健全ノード割合（稼働率）", _xlfn.REGEXTEST(C24, "Healthy Kafka Connect"), "Kafka Connectの健全ノード割合（稼働率）", _xlfn.REGEXTEST(C24, "Healthy KRaft Controller"), "KRaft Controllerの健全ノード割合（稼働率）", _xlfn.REGEXTEST(C24, "Healthy Knox IDBroker"), "Knox IDBrokerの健全ノード割合（稼働率）", _xlfn.REGEXTEST(C24, "Healthy Knox Gateway"), "Knox Gatewayの健全ノード割合（稼働率）", _xlfn.REGEXTEST(C24, "Healthy ZooKeeper Server"), "ZooKeeper Serverの健全ノード割合（稼働率）", _xlfn.REGEXTEST(C24, "Healthy NodeManager"), "NodeManagerの健全ノード割合（稼働率）", _xlfn.REGEXTEST(C24, "Maximum Latency"), "リクエストの最大レイテンシ（処理遅延）", _xlfn.REGEXTEST(C24, "Garbage Collection Duration"), "Javaのガベージコレクション（GC）の所要時間", _xlfn.REGEXTEST(C24, "Spool Directory Usage"), "Rangerプラグインのスプールディレクトリ使用量", _xlfn.REGEXTEST(C24, "Process Directory Free Space Monitoring Absolute"), "プロセスディレクトリの空き容量（絶対値)", _xlfn.REGEXTEST(C24, "Process Directory Free Space.*Percentage"), "プロセスディレクトリの空き容量割合（%）", _xlfn.REGEXTEST(C24, "Parcel Directory Free Space.*Absolute"), "パーセルディレクトリの空き容量（絶対値）", _xlfn.REGEXTEST(C24, "Parcel Directory Free Space.*Percentage"), "パーセルディレクトリの空き容量割合（%）", _xlfn.REGEXTEST(C24, "Host Network Frame Error Percentage"), "ホストのネットワークフレームエラー割合（%）", _xlfn.REGEXTEST(C24, "Network Interfaces Slow Link Modes"), "ホストのネットワークインターフェースの低速リンクモード検出", _xlfn.REGEXTEST(C24, "Host Memory Swapping"), "ホストのメモリのスワップ発生状態", TRUE, "要手動確認")</f>
        <v>ログディレクトリの空き容量割合（%）</v>
      </c>
      <c r="H24" s="479" t="s">
        <v>683</v>
      </c>
    </row>
    <row r="25" spans="1:8" ht="67.150000000000006">
      <c r="A25" s="468"/>
      <c r="B25" s="473"/>
      <c r="C25" s="471" t="s">
        <v>749</v>
      </c>
      <c r="D25" s="471" t="s">
        <v>750</v>
      </c>
      <c r="E25" s="471" t="s">
        <v>743</v>
      </c>
      <c r="F25" s="471"/>
      <c r="G25" s="471" t="str" cm="1">
        <f t="array" ref="G25">_xlfn.IFS(C25 = "", "", _xlfn.REGEXTEST(C25, "Host Clock Offset"), "ホストのクロックオフセット（時刻同期のズレ）", _xlfn.REGEXTEST(C25, "Memory Overcommit Validation"), "メモリオーバーコミット設定の検証", _xlfn.REGEXTEST(C25, "Gateway Logging"), "ゲートウェイのログ出力設定", _xlfn.REGEXTEST(C25, "CPU Balance"), "CPU使用率の分散バランス状態", _xlfn.REGEXTEST(C25, "Disk Balance"), "ディスク使用量の分散バランス状態", _xlfn.REGEXTEST(C25, "Network Inbound Balance"), "ネットワークインバウンド（受信）の分散バランス状態", _xlfn.REGEXTEST(C25, "Network Outbound Balance"), "ネットワークアウトバウンド（送信）の分散バランス状態", _xlfn.REGEXTEST(C25, "Replica Count Balance"), "レプリカ数の分散バランス状態", _xlfn.REGEXTEST(C25, "Disk Capacity"), "ディスク総容量の限界・使用容量", _xlfn.REGEXTEST(C25, "CPU Capacity"), "CPU総処理能力の限界・使用量", _xlfn.REGEXTEST(C25, "Network Inbound Capacity"), "ネットワークインバウンド（受信）帯域の限界・使用量", _xlfn.REGEXTEST(C25, "Network Outbound Capacity"), "ネットワークアウトバウンド（送信）帯域の限界・使用量", _xlfn.REGEXTEST(C25, "Leader Replica Count Balance"), "リーダーレプリカ数の分散バランス状態", _xlfn.REGEXTEST(C25, "Host DNS Resolution Duration"), "ホストのDNS名前解決の所要時間", _xlfn.REGEXTEST(C25, "TLS Certificate Expiry"), "TLS証明書の有効期限切れ", _xlfn.REGEXTEST(C25, "Host Entropy"), "ホストのエントロピー（乱数生成能力）の不足", _xlfn.REGEXTEST(C25, "File Descriptor"), "プロセスのファイルディスクリプタ使用率", _xlfn.REGEXTEST(C25, "Unexpected Exits"), "プロセスの異常終了（予期せぬ停止）", _xlfn.REGEXTEST(C25, "Swap Memory Thresholds"), "プロセスのスワップメモリ使用量", _xlfn.REGEXTEST(C25, "Swap Memory Usage Rate"), "スワップメモリ使用量の変化率（増加速度）", _xlfn.REGEXTEST(C25, "Log Directory Free Space.*Absolute"), "ログディレクトリの空き容量（絶対値）", _xlfn.REGEXTEST(C25, "Log Directory Free Space.*Percentage"), "ログディレクトリの空き容量割合（%）", _xlfn.REGEXTEST(C25, "Heap Dump Directory Free Space.*Absolute"), "ヒープダンプディレクトリの空き容量（絶対値）", _xlfn.REGEXTEST(C25, "Heap Dump Directory Free Space.*Percentage"), "ヒープダンプディレクトリの空き容量割合（%）", _xlfn.REGEXTEST(C25, "Data Directory Free Space.*Absolute"), "データディレクトリの空き容量（絶対値）", _xlfn.REGEXTEST(C25, "Data Directory Free Space.*Percentage"), "データディレクトリの空き容量割合（%）", _xlfn.REGEXTEST(C25, "Transaction Log Directory Free Space.*Absolute"), "トランザクションログディレクトリの空き容量（絶対値）", _xlfn.REGEXTEST(C25, "Logging Threshold|Logger Threshold"), "ログ出力レベルの閾値設定", _xlfn.REGEXTEST(C25, "Enable.*Alerts"), "ヘルスアラートの有効化状態", _xlfn.REGEXTEST(C25, "Triggers"), "カスタムアラート条件（トリガー設定）", _xlfn.REGEXTEST(C25, "Healthy Kafka Broker"), "Kafka Brokerの健全ノード割合（稼働率）", _xlfn.REGEXTEST(C25, "Healthy Kafka Connect"), "Kafka Connectの健全ノード割合（稼働率）", _xlfn.REGEXTEST(C25, "Healthy KRaft Controller"), "KRaft Controllerの健全ノード割合（稼働率）", _xlfn.REGEXTEST(C25, "Healthy Knox IDBroker"), "Knox IDBrokerの健全ノード割合（稼働率）", _xlfn.REGEXTEST(C25, "Healthy Knox Gateway"), "Knox Gatewayの健全ノード割合（稼働率）", _xlfn.REGEXTEST(C25, "Healthy ZooKeeper Server"), "ZooKeeper Serverの健全ノード割合（稼働率）", _xlfn.REGEXTEST(C25, "Healthy NodeManager"), "NodeManagerの健全ノード割合（稼働率）", _xlfn.REGEXTEST(C25, "Maximum Latency"), "リクエストの最大レイテンシ（処理遅延）", _xlfn.REGEXTEST(C25, "Garbage Collection Duration"), "Javaのガベージコレクション（GC）の所要時間", _xlfn.REGEXTEST(C25, "Spool Directory Usage"), "Rangerプラグインのスプールディレクトリ使用量", _xlfn.REGEXTEST(C25, "Process Directory Free Space Monitoring Absolute"), "プロセスディレクトリの空き容量（絶対値)", _xlfn.REGEXTEST(C25, "Process Directory Free Space.*Percentage"), "プロセスディレクトリの空き容量割合（%）", _xlfn.REGEXTEST(C25, "Parcel Directory Free Space.*Absolute"), "パーセルディレクトリの空き容量（絶対値）", _xlfn.REGEXTEST(C25, "Parcel Directory Free Space.*Percentage"), "パーセルディレクトリの空き容量割合（%）", _xlfn.REGEXTEST(C25, "Host Network Frame Error Percentage"), "ホストのネットワークフレームエラー割合（%）", _xlfn.REGEXTEST(C25, "Network Interfaces Slow Link Modes"), "ホストのネットワークインターフェースの低速リンクモード検出", _xlfn.REGEXTEST(C25, "Host Memory Swapping"), "ホストのメモリのスワップ発生状態", TRUE, "要手動確認")</f>
        <v>プロセスの異常終了（予期せぬ停止）</v>
      </c>
      <c r="H25" s="479" t="s">
        <v>751</v>
      </c>
    </row>
    <row r="26" spans="1:8" ht="67.150000000000006">
      <c r="A26" s="468"/>
      <c r="B26" s="473"/>
      <c r="C26" s="471" t="s">
        <v>752</v>
      </c>
      <c r="D26" s="471" t="s">
        <v>753</v>
      </c>
      <c r="E26" s="471" t="s">
        <v>743</v>
      </c>
      <c r="F26" s="471"/>
      <c r="G26" s="471" t="str" cm="1">
        <f t="array" ref="G26">_xlfn.IFS(C26 = "", "", _xlfn.REGEXTEST(C26, "Host Clock Offset"), "ホストのクロックオフセット（時刻同期のズレ）", _xlfn.REGEXTEST(C26, "Memory Overcommit Validation"), "メモリオーバーコミット設定の検証", _xlfn.REGEXTEST(C26, "Gateway Logging"), "ゲートウェイのログ出力設定", _xlfn.REGEXTEST(C26, "CPU Balance"), "CPU使用率の分散バランス状態", _xlfn.REGEXTEST(C26, "Disk Balance"), "ディスク使用量の分散バランス状態", _xlfn.REGEXTEST(C26, "Network Inbound Balance"), "ネットワークインバウンド（受信）の分散バランス状態", _xlfn.REGEXTEST(C26, "Network Outbound Balance"), "ネットワークアウトバウンド（送信）の分散バランス状態", _xlfn.REGEXTEST(C26, "Replica Count Balance"), "レプリカ数の分散バランス状態", _xlfn.REGEXTEST(C26, "Disk Capacity"), "ディスク総容量の限界・使用容量", _xlfn.REGEXTEST(C26, "CPU Capacity"), "CPU総処理能力の限界・使用量", _xlfn.REGEXTEST(C26, "Network Inbound Capacity"), "ネットワークインバウンド（受信）帯域の限界・使用量", _xlfn.REGEXTEST(C26, "Network Outbound Capacity"), "ネットワークアウトバウンド（送信）帯域の限界・使用量", _xlfn.REGEXTEST(C26, "Leader Replica Count Balance"), "リーダーレプリカ数の分散バランス状態", _xlfn.REGEXTEST(C26, "Host DNS Resolution Duration"), "ホストのDNS名前解決の所要時間", _xlfn.REGEXTEST(C26, "TLS Certificate Expiry"), "TLS証明書の有効期限切れ", _xlfn.REGEXTEST(C26, "Host Entropy"), "ホストのエントロピー（乱数生成能力）の不足", _xlfn.REGEXTEST(C26, "File Descriptor"), "プロセスのファイルディスクリプタ使用率", _xlfn.REGEXTEST(C26, "Unexpected Exits"), "プロセスの異常終了（予期せぬ停止）", _xlfn.REGEXTEST(C26, "Swap Memory Thresholds"), "プロセスのスワップメモリ使用量", _xlfn.REGEXTEST(C26, "Swap Memory Usage Rate"), "スワップメモリ使用量の変化率（増加速度）", _xlfn.REGEXTEST(C26, "Log Directory Free Space.*Absolute"), "ログディレクトリの空き容量（絶対値）", _xlfn.REGEXTEST(C26, "Log Directory Free Space.*Percentage"), "ログディレクトリの空き容量割合（%）", _xlfn.REGEXTEST(C26, "Heap Dump Directory Free Space.*Absolute"), "ヒープダンプディレクトリの空き容量（絶対値）", _xlfn.REGEXTEST(C26, "Heap Dump Directory Free Space.*Percentage"), "ヒープダンプディレクトリの空き容量割合（%）", _xlfn.REGEXTEST(C26, "Data Directory Free Space.*Absolute"), "データディレクトリの空き容量（絶対値）", _xlfn.REGEXTEST(C26, "Data Directory Free Space.*Percentage"), "データディレクトリの空き容量割合（%）", _xlfn.REGEXTEST(C26, "Transaction Log Directory Free Space.*Absolute"), "トランザクションログディレクトリの空き容量（絶対値）", _xlfn.REGEXTEST(C26, "Logging Threshold|Logger Threshold"), "ログ出力レベルの閾値設定", _xlfn.REGEXTEST(C26, "Enable.*Alerts"), "ヘルスアラートの有効化状態", _xlfn.REGEXTEST(C26, "Triggers"), "カスタムアラート条件（トリガー設定）", _xlfn.REGEXTEST(C26, "Healthy Kafka Broker"), "Kafka Brokerの健全ノード割合（稼働率）", _xlfn.REGEXTEST(C26, "Healthy Kafka Connect"), "Kafka Connectの健全ノード割合（稼働率）", _xlfn.REGEXTEST(C26, "Healthy KRaft Controller"), "KRaft Controllerの健全ノード割合（稼働率）", _xlfn.REGEXTEST(C26, "Healthy Knox IDBroker"), "Knox IDBrokerの健全ノード割合（稼働率）", _xlfn.REGEXTEST(C26, "Healthy Knox Gateway"), "Knox Gatewayの健全ノード割合（稼働率）", _xlfn.REGEXTEST(C26, "Healthy ZooKeeper Server"), "ZooKeeper Serverの健全ノード割合（稼働率）", _xlfn.REGEXTEST(C26, "Healthy NodeManager"), "NodeManagerの健全ノード割合（稼働率）", _xlfn.REGEXTEST(C26, "Maximum Latency"), "リクエストの最大レイテンシ（処理遅延）", _xlfn.REGEXTEST(C26, "Garbage Collection Duration"), "Javaのガベージコレクション（GC）の所要時間", _xlfn.REGEXTEST(C26, "Spool Directory Usage"), "Rangerプラグインのスプールディレクトリ使用量", _xlfn.REGEXTEST(C26, "Process Directory Free Space Monitoring Absolute"), "プロセスディレクトリの空き容量（絶対値)", _xlfn.REGEXTEST(C26, "Process Directory Free Space.*Percentage"), "プロセスディレクトリの空き容量割合（%）", _xlfn.REGEXTEST(C26, "Parcel Directory Free Space.*Absolute"), "パーセルディレクトリの空き容量（絶対値）", _xlfn.REGEXTEST(C26, "Parcel Directory Free Space.*Percentage"), "パーセルディレクトリの空き容量割合（%）", _xlfn.REGEXTEST(C26, "Host Network Frame Error Percentage"), "ホストのネットワークフレームエラー割合（%）", _xlfn.REGEXTEST(C26, "Network Interfaces Slow Link Modes"), "ホストのネットワークインターフェースの低速リンクモード検出", _xlfn.REGEXTEST(C26, "Host Memory Swapping"), "ホストのメモリのスワップ発生状態", TRUE, "要手動確認")</f>
        <v>カスタムアラート条件（トリガー設定）</v>
      </c>
      <c r="H26" s="479" t="s">
        <v>754</v>
      </c>
    </row>
    <row r="27" spans="1:8" ht="67.150000000000006">
      <c r="A27" s="468"/>
      <c r="B27" s="473"/>
      <c r="C27" s="471" t="s">
        <v>755</v>
      </c>
      <c r="D27" s="471" t="s">
        <v>756</v>
      </c>
      <c r="E27" s="471" t="s">
        <v>743</v>
      </c>
      <c r="F27" s="471"/>
      <c r="G27" s="471" t="str" cm="1">
        <f t="array" ref="G27">_xlfn.IFS(C27 = "", "", _xlfn.REGEXTEST(C27, "Host Clock Offset"), "ホストのクロックオフセット（時刻同期のズレ）", _xlfn.REGEXTEST(C27, "Memory Overcommit Validation"), "メモリオーバーコミット設定の検証", _xlfn.REGEXTEST(C27, "Gateway Logging"), "ゲートウェイのログ出力設定", _xlfn.REGEXTEST(C27, "CPU Balance"), "CPU使用率の分散バランス状態", _xlfn.REGEXTEST(C27, "Disk Balance"), "ディスク使用量の分散バランス状態", _xlfn.REGEXTEST(C27, "Network Inbound Balance"), "ネットワークインバウンド（受信）の分散バランス状態", _xlfn.REGEXTEST(C27, "Network Outbound Balance"), "ネットワークアウトバウンド（送信）の分散バランス状態", _xlfn.REGEXTEST(C27, "Replica Count Balance"), "レプリカ数の分散バランス状態", _xlfn.REGEXTEST(C27, "Disk Capacity"), "ディスク総容量の限界・使用容量", _xlfn.REGEXTEST(C27, "CPU Capacity"), "CPU総処理能力の限界・使用量", _xlfn.REGEXTEST(C27, "Network Inbound Capacity"), "ネットワークインバウンド（受信）帯域の限界・使用量", _xlfn.REGEXTEST(C27, "Network Outbound Capacity"), "ネットワークアウトバウンド（送信）帯域の限界・使用量", _xlfn.REGEXTEST(C27, "Leader Replica Count Balance"), "リーダーレプリカ数の分散バランス状態", _xlfn.REGEXTEST(C27, "Host DNS Resolution Duration"), "ホストのDNS名前解決の所要時間", _xlfn.REGEXTEST(C27, "TLS Certificate Expiry"), "TLS証明書の有効期限切れ", _xlfn.REGEXTEST(C27, "Host Entropy"), "ホストのエントロピー（乱数生成能力）の不足", _xlfn.REGEXTEST(C27, "File Descriptor"), "プロセスのファイルディスクリプタ使用率", _xlfn.REGEXTEST(C27, "Unexpected Exits"), "プロセスの異常終了（予期せぬ停止）", _xlfn.REGEXTEST(C27, "Swap Memory Thresholds"), "プロセスのスワップメモリ使用量", _xlfn.REGEXTEST(C27, "Swap Memory Usage Rate"), "スワップメモリ使用量の変化率（増加速度）", _xlfn.REGEXTEST(C27, "Log Directory Free Space.*Absolute"), "ログディレクトリの空き容量（絶対値）", _xlfn.REGEXTEST(C27, "Log Directory Free Space.*Percentage"), "ログディレクトリの空き容量割合（%）", _xlfn.REGEXTEST(C27, "Heap Dump Directory Free Space.*Absolute"), "ヒープダンプディレクトリの空き容量（絶対値）", _xlfn.REGEXTEST(C27, "Heap Dump Directory Free Space.*Percentage"), "ヒープダンプディレクトリの空き容量割合（%）", _xlfn.REGEXTEST(C27, "Data Directory Free Space.*Absolute"), "データディレクトリの空き容量（絶対値）", _xlfn.REGEXTEST(C27, "Data Directory Free Space.*Percentage"), "データディレクトリの空き容量割合（%）", _xlfn.REGEXTEST(C27, "Transaction Log Directory Free Space.*Absolute"), "トランザクションログディレクトリの空き容量（絶対値）", _xlfn.REGEXTEST(C27, "Logging Threshold|Logger Threshold"), "ログ出力レベルの閾値設定", _xlfn.REGEXTEST(C27, "Enable.*Alerts"), "ヘルスアラートの有効化状態", _xlfn.REGEXTEST(C27, "Triggers"), "カスタムアラート条件（トリガー設定）", _xlfn.REGEXTEST(C27, "Healthy Kafka Broker"), "Kafka Brokerの健全ノード割合（稼働率）", _xlfn.REGEXTEST(C27, "Healthy Kafka Connect"), "Kafka Connectの健全ノード割合（稼働率）", _xlfn.REGEXTEST(C27, "Healthy KRaft Controller"), "KRaft Controllerの健全ノード割合（稼働率）", _xlfn.REGEXTEST(C27, "Healthy Knox IDBroker"), "Knox IDBrokerの健全ノード割合（稼働率）", _xlfn.REGEXTEST(C27, "Healthy Knox Gateway"), "Knox Gatewayの健全ノード割合（稼働率）", _xlfn.REGEXTEST(C27, "Healthy ZooKeeper Server"), "ZooKeeper Serverの健全ノード割合（稼働率）", _xlfn.REGEXTEST(C27, "Healthy NodeManager"), "NodeManagerの健全ノード割合（稼働率）", _xlfn.REGEXTEST(C27, "Maximum Latency"), "リクエストの最大レイテンシ（処理遅延）", _xlfn.REGEXTEST(C27, "Garbage Collection Duration"), "Javaのガベージコレクション（GC）の所要時間", _xlfn.REGEXTEST(C27, "Spool Directory Usage"), "Rangerプラグインのスプールディレクトリ使用量", _xlfn.REGEXTEST(C27, "Process Directory Free Space Monitoring Absolute"), "プロセスディレクトリの空き容量（絶対値)", _xlfn.REGEXTEST(C27, "Process Directory Free Space.*Percentage"), "プロセスディレクトリの空き容量割合（%）", _xlfn.REGEXTEST(C27, "Parcel Directory Free Space.*Absolute"), "パーセルディレクトリの空き容量（絶対値）", _xlfn.REGEXTEST(C27, "Parcel Directory Free Space.*Percentage"), "パーセルディレクトリの空き容量割合（%）", _xlfn.REGEXTEST(C27, "Host Network Frame Error Percentage"), "ホストのネットワークフレームエラー割合（%）", _xlfn.REGEXTEST(C27, "Network Interfaces Slow Link Modes"), "ホストのネットワークインターフェースの低速リンクモード検出", _xlfn.REGEXTEST(C27, "Host Memory Swapping"), "ホストのメモリのスワップ発生状態", TRUE, "要手動確認")</f>
        <v>プロセスのスワップメモリ使用量</v>
      </c>
      <c r="H27" s="479" t="s">
        <v>757</v>
      </c>
    </row>
    <row r="28" spans="1:8" ht="67.150000000000006">
      <c r="A28" s="468"/>
      <c r="B28" s="473"/>
      <c r="C28" s="471" t="s">
        <v>758</v>
      </c>
      <c r="D28" s="471" t="s">
        <v>759</v>
      </c>
      <c r="E28" s="471" t="s">
        <v>743</v>
      </c>
      <c r="F28" s="471" t="s">
        <v>760</v>
      </c>
      <c r="G28" s="471" t="str" cm="1">
        <f t="array" ref="G28">_xlfn.IFS(C28 = "", "", _xlfn.REGEXTEST(C28, "Host Clock Offset"), "ホストのクロックオフセット（時刻同期のズレ）", _xlfn.REGEXTEST(C28, "Memory Overcommit Validation"), "メモリオーバーコミット設定の検証", _xlfn.REGEXTEST(C28, "Gateway Logging"), "ゲートウェイのログ出力設定", _xlfn.REGEXTEST(C28, "CPU Balance"), "CPU使用率の分散バランス状態", _xlfn.REGEXTEST(C28, "Disk Balance"), "ディスク使用量の分散バランス状態", _xlfn.REGEXTEST(C28, "Network Inbound Balance"), "ネットワークインバウンド（受信）の分散バランス状態", _xlfn.REGEXTEST(C28, "Network Outbound Balance"), "ネットワークアウトバウンド（送信）の分散バランス状態", _xlfn.REGEXTEST(C28, "Replica Count Balance"), "レプリカ数の分散バランス状態", _xlfn.REGEXTEST(C28, "Disk Capacity"), "ディスク総容量の限界・使用容量", _xlfn.REGEXTEST(C28, "CPU Capacity"), "CPU総処理能力の限界・使用量", _xlfn.REGEXTEST(C28, "Network Inbound Capacity"), "ネットワークインバウンド（受信）帯域の限界・使用量", _xlfn.REGEXTEST(C28, "Network Outbound Capacity"), "ネットワークアウトバウンド（送信）帯域の限界・使用量", _xlfn.REGEXTEST(C28, "Leader Replica Count Balance"), "リーダーレプリカ数の分散バランス状態", _xlfn.REGEXTEST(C28, "Host DNS Resolution Duration"), "ホストのDNS名前解決の所要時間", _xlfn.REGEXTEST(C28, "TLS Certificate Expiry"), "TLS証明書の有効期限切れ", _xlfn.REGEXTEST(C28, "Host Entropy"), "ホストのエントロピー（乱数生成能力）の不足", _xlfn.REGEXTEST(C28, "File Descriptor"), "プロセスのファイルディスクリプタ使用率", _xlfn.REGEXTEST(C28, "Unexpected Exits"), "プロセスの異常終了（予期せぬ停止）", _xlfn.REGEXTEST(C28, "Swap Memory Thresholds"), "プロセスのスワップメモリ使用量", _xlfn.REGEXTEST(C28, "Swap Memory Usage Rate"), "スワップメモリ使用量の変化率（増加速度）", _xlfn.REGEXTEST(C28, "Log Directory Free Space.*Absolute"), "ログディレクトリの空き容量（絶対値）", _xlfn.REGEXTEST(C28, "Log Directory Free Space.*Percentage"), "ログディレクトリの空き容量割合（%）", _xlfn.REGEXTEST(C28, "Heap Dump Directory Free Space.*Absolute"), "ヒープダンプディレクトリの空き容量（絶対値）", _xlfn.REGEXTEST(C28, "Heap Dump Directory Free Space.*Percentage"), "ヒープダンプディレクトリの空き容量割合（%）", _xlfn.REGEXTEST(C28, "Data Directory Free Space.*Absolute"), "データディレクトリの空き容量（絶対値）", _xlfn.REGEXTEST(C28, "Data Directory Free Space.*Percentage"), "データディレクトリの空き容量割合（%）", _xlfn.REGEXTEST(C28, "Transaction Log Directory Free Space.*Absolute"), "トランザクションログディレクトリの空き容量（絶対値）", _xlfn.REGEXTEST(C28, "Logging Threshold|Logger Threshold"), "ログ出力レベルの閾値設定", _xlfn.REGEXTEST(C28, "Enable.*Alerts"), "ヘルスアラートの有効化状態", _xlfn.REGEXTEST(C28, "Triggers"), "カスタムアラート条件（トリガー設定）", _xlfn.REGEXTEST(C28, "Healthy Kafka Broker"), "Kafka Brokerの健全ノード割合（稼働率）", _xlfn.REGEXTEST(C28, "Healthy Kafka Connect"), "Kafka Connectの健全ノード割合（稼働率）", _xlfn.REGEXTEST(C28, "Healthy KRaft Controller"), "KRaft Controllerの健全ノード割合（稼働率）", _xlfn.REGEXTEST(C28, "Healthy Knox IDBroker"), "Knox IDBrokerの健全ノード割合（稼働率）", _xlfn.REGEXTEST(C28, "Healthy Knox Gateway"), "Knox Gatewayの健全ノード割合（稼働率）", _xlfn.REGEXTEST(C28, "Healthy ZooKeeper Server"), "ZooKeeper Serverの健全ノード割合（稼働率）", _xlfn.REGEXTEST(C28, "Healthy NodeManager"), "NodeManagerの健全ノード割合（稼働率）", _xlfn.REGEXTEST(C28, "Maximum Latency"), "リクエストの最大レイテンシ（処理遅延）", _xlfn.REGEXTEST(C28, "Garbage Collection Duration"), "Javaのガベージコレクション（GC）の所要時間", _xlfn.REGEXTEST(C28, "Spool Directory Usage"), "Rangerプラグインのスプールディレクトリ使用量", _xlfn.REGEXTEST(C28, "Process Directory Free Space Monitoring Absolute"), "プロセスディレクトリの空き容量（絶対値)", _xlfn.REGEXTEST(C28, "Process Directory Free Space.*Percentage"), "プロセスディレクトリの空き容量割合（%）", _xlfn.REGEXTEST(C28, "Parcel Directory Free Space.*Absolute"), "パーセルディレクトリの空き容量（絶対値）", _xlfn.REGEXTEST(C28, "Parcel Directory Free Space.*Percentage"), "パーセルディレクトリの空き容量割合（%）", _xlfn.REGEXTEST(C28, "Host Network Frame Error Percentage"), "ホストのネットワークフレームエラー割合（%）", _xlfn.REGEXTEST(C28, "Network Interfaces Slow Link Modes"), "ホストのネットワークインターフェースの低速リンクモード検出", _xlfn.REGEXTEST(C28, "Host Memory Swapping"), "ホストのメモリのスワップ発生状態", TRUE, "要手動確認")</f>
        <v>スワップメモリ使用量の変化率（増加速度）</v>
      </c>
      <c r="H28" s="479" t="s">
        <v>683</v>
      </c>
    </row>
    <row r="29" spans="1:8" ht="33.6">
      <c r="A29" s="468"/>
      <c r="B29" s="473"/>
      <c r="C29" s="471" t="s">
        <v>736</v>
      </c>
      <c r="D29" s="471" t="s">
        <v>761</v>
      </c>
      <c r="E29" s="471" t="s">
        <v>762</v>
      </c>
      <c r="F29" s="471" t="s">
        <v>739</v>
      </c>
      <c r="G29" s="471" t="str" cm="1">
        <f t="array" ref="G29">_xlfn.IFS(C29 = "", "", _xlfn.REGEXTEST(C29, "Host Clock Offset"), "ホストのクロックオフセット（時刻同期のズレ）", _xlfn.REGEXTEST(C29, "Memory Overcommit Validation"), "メモリオーバーコミット設定の検証", _xlfn.REGEXTEST(C29, "Gateway Logging"), "ゲートウェイのログ出力設定", _xlfn.REGEXTEST(C29, "CPU Balance"), "CPU使用率の分散バランス状態", _xlfn.REGEXTEST(C29, "Disk Balance"), "ディスク使用量の分散バランス状態", _xlfn.REGEXTEST(C29, "Network Inbound Balance"), "ネットワークインバウンド（受信）の分散バランス状態", _xlfn.REGEXTEST(C29, "Network Outbound Balance"), "ネットワークアウトバウンド（送信）の分散バランス状態", _xlfn.REGEXTEST(C29, "Replica Count Balance"), "レプリカ数の分散バランス状態", _xlfn.REGEXTEST(C29, "Disk Capacity"), "ディスク総容量の限界・使用容量", _xlfn.REGEXTEST(C29, "CPU Capacity"), "CPU総処理能力の限界・使用量", _xlfn.REGEXTEST(C29, "Network Inbound Capacity"), "ネットワークインバウンド（受信）帯域の限界・使用量", _xlfn.REGEXTEST(C29, "Network Outbound Capacity"), "ネットワークアウトバウンド（送信）帯域の限界・使用量", _xlfn.REGEXTEST(C29, "Leader Replica Count Balance"), "リーダーレプリカ数の分散バランス状態", _xlfn.REGEXTEST(C29, "Host DNS Resolution Duration"), "ホストのDNS名前解決の所要時間", _xlfn.REGEXTEST(C29, "TLS Certificate Expiry"), "TLS証明書の有効期限切れ", _xlfn.REGEXTEST(C29, "Host Entropy"), "ホストのエントロピー（乱数生成能力）の不足", _xlfn.REGEXTEST(C29, "File Descriptor"), "プロセスのファイルディスクリプタ使用率", _xlfn.REGEXTEST(C29, "Unexpected Exits"), "プロセスの異常終了（予期せぬ停止）", _xlfn.REGEXTEST(C29, "Swap Memory Thresholds"), "プロセスのスワップメモリ使用量", _xlfn.REGEXTEST(C29, "Swap Memory Usage Rate"), "スワップメモリ使用量の変化率（増加速度）", _xlfn.REGEXTEST(C29, "Log Directory Free Space.*Absolute"), "ログディレクトリの空き容量（絶対値）", _xlfn.REGEXTEST(C29, "Log Directory Free Space.*Percentage"), "ログディレクトリの空き容量割合（%）", _xlfn.REGEXTEST(C29, "Heap Dump Directory Free Space.*Absolute"), "ヒープダンプディレクトリの空き容量（絶対値）", _xlfn.REGEXTEST(C29, "Heap Dump Directory Free Space.*Percentage"), "ヒープダンプディレクトリの空き容量割合（%）", _xlfn.REGEXTEST(C29, "Data Directory Free Space.*Absolute"), "データディレクトリの空き容量（絶対値）", _xlfn.REGEXTEST(C29, "Data Directory Free Space.*Percentage"), "データディレクトリの空き容量割合（%）", _xlfn.REGEXTEST(C29, "Transaction Log Directory Free Space.*Absolute"), "トランザクションログディレクトリの空き容量（絶対値）", _xlfn.REGEXTEST(C29, "Logging Threshold|Logger Threshold"), "ログ出力レベルの閾値設定", _xlfn.REGEXTEST(C29, "Enable.*Alerts"), "ヘルスアラートの有効化状態", _xlfn.REGEXTEST(C29, "Triggers"), "カスタムアラート条件（トリガー設定）", _xlfn.REGEXTEST(C29, "Healthy Kafka Broker"), "Kafka Brokerの健全ノード割合（稼働率）", _xlfn.REGEXTEST(C29, "Healthy Kafka Connect"), "Kafka Connectの健全ノード割合（稼働率）", _xlfn.REGEXTEST(C29, "Healthy KRaft Controller"), "KRaft Controllerの健全ノード割合（稼働率）", _xlfn.REGEXTEST(C29, "Healthy Knox IDBroker"), "Knox IDBrokerの健全ノード割合（稼働率）", _xlfn.REGEXTEST(C29, "Healthy Knox Gateway"), "Knox Gatewayの健全ノード割合（稼働率）", _xlfn.REGEXTEST(C29, "Healthy ZooKeeper Server"), "ZooKeeper Serverの健全ノード割合（稼働率）", _xlfn.REGEXTEST(C29, "Healthy NodeManager"), "NodeManagerの健全ノード割合（稼働率）", _xlfn.REGEXTEST(C29, "Maximum Latency"), "リクエストの最大レイテンシ（処理遅延）", _xlfn.REGEXTEST(C29, "Garbage Collection Duration"), "Javaのガベージコレクション（GC）の所要時間", _xlfn.REGEXTEST(C29, "Spool Directory Usage"), "Rangerプラグインのスプールディレクトリ使用量", _xlfn.REGEXTEST(C29, "Process Directory Free Space Monitoring Absolute"), "プロセスディレクトリの空き容量（絶対値)", _xlfn.REGEXTEST(C29, "Process Directory Free Space.*Percentage"), "プロセスディレクトリの空き容量割合（%）", _xlfn.REGEXTEST(C29, "Parcel Directory Free Space.*Absolute"), "パーセルディレクトリの空き容量（絶対値）", _xlfn.REGEXTEST(C29, "Parcel Directory Free Space.*Percentage"), "パーセルディレクトリの空き容量割合（%）", _xlfn.REGEXTEST(C29, "Host Network Frame Error Percentage"), "ホストのネットワークフレームエラー割合（%）", _xlfn.REGEXTEST(C29, "Network Interfaces Slow Link Modes"), "ホストのネットワークインターフェースの低速リンクモード検出", _xlfn.REGEXTEST(C29, "Host Memory Swapping"), "ホストのメモリのスワップ発生状態", TRUE, "要手動確認")</f>
        <v>プロセスのファイルディスクリプタ使用率</v>
      </c>
      <c r="H29" s="479" t="s">
        <v>740</v>
      </c>
    </row>
    <row r="30" spans="1:8" ht="33.6">
      <c r="A30" s="468"/>
      <c r="B30" s="473"/>
      <c r="C30" s="471" t="s">
        <v>763</v>
      </c>
      <c r="D30" s="471" t="s">
        <v>764</v>
      </c>
      <c r="E30" s="471" t="s">
        <v>762</v>
      </c>
      <c r="F30" s="471" t="s">
        <v>765</v>
      </c>
      <c r="G30" s="471" t="str" cm="1">
        <f t="array" ref="G30">_xlfn.IFS(C30 = "", "", _xlfn.REGEXTEST(C30, "Host Clock Offset"), "ホストのクロックオフセット（時刻同期のズレ）", _xlfn.REGEXTEST(C30, "Memory Overcommit Validation"), "メモリオーバーコミット設定の検証", _xlfn.REGEXTEST(C30, "Gateway Logging"), "ゲートウェイのログ出力設定", _xlfn.REGEXTEST(C30, "CPU Balance"), "CPU使用率の分散バランス状態", _xlfn.REGEXTEST(C30, "Disk Balance"), "ディスク使用量の分散バランス状態", _xlfn.REGEXTEST(C30, "Network Inbound Balance"), "ネットワークインバウンド（受信）の分散バランス状態", _xlfn.REGEXTEST(C30, "Network Outbound Balance"), "ネットワークアウトバウンド（送信）の分散バランス状態", _xlfn.REGEXTEST(C30, "Replica Count Balance"), "レプリカ数の分散バランス状態", _xlfn.REGEXTEST(C30, "Disk Capacity"), "ディスク総容量の限界・使用容量", _xlfn.REGEXTEST(C30, "CPU Capacity"), "CPU総処理能力の限界・使用量", _xlfn.REGEXTEST(C30, "Network Inbound Capacity"), "ネットワークインバウンド（受信）帯域の限界・使用量", _xlfn.REGEXTEST(C30, "Network Outbound Capacity"), "ネットワークアウトバウンド（送信）帯域の限界・使用量", _xlfn.REGEXTEST(C30, "Leader Replica Count Balance"), "リーダーレプリカ数の分散バランス状態", _xlfn.REGEXTEST(C30, "Host DNS Resolution Duration"), "ホストのDNS名前解決の所要時間", _xlfn.REGEXTEST(C30, "TLS Certificate Expiry"), "TLS証明書の有効期限切れ", _xlfn.REGEXTEST(C30, "Host Entropy"), "ホストのエントロピー（乱数生成能力）の不足", _xlfn.REGEXTEST(C30, "File Descriptor"), "プロセスのファイルディスクリプタ使用率", _xlfn.REGEXTEST(C30, "Unexpected Exits"), "プロセスの異常終了（予期せぬ停止）", _xlfn.REGEXTEST(C30, "Swap Memory Thresholds"), "プロセスのスワップメモリ使用量", _xlfn.REGEXTEST(C30, "Swap Memory Usage Rate"), "スワップメモリ使用量の変化率（増加速度）", _xlfn.REGEXTEST(C30, "Log Directory Free Space.*Absolute"), "ログディレクトリの空き容量（絶対値）", _xlfn.REGEXTEST(C30, "Log Directory Free Space.*Percentage"), "ログディレクトリの空き容量割合（%）", _xlfn.REGEXTEST(C30, "Heap Dump Directory Free Space.*Absolute"), "ヒープダンプディレクトリの空き容量（絶対値）", _xlfn.REGEXTEST(C30, "Heap Dump Directory Free Space.*Percentage"), "ヒープダンプディレクトリの空き容量割合（%）", _xlfn.REGEXTEST(C30, "Data Directory Free Space.*Absolute"), "データディレクトリの空き容量（絶対値）", _xlfn.REGEXTEST(C30, "Data Directory Free Space.*Percentage"), "データディレクトリの空き容量割合（%）", _xlfn.REGEXTEST(C30, "Transaction Log Directory Free Space.*Absolute"), "トランザクションログディレクトリの空き容量（絶対値）", _xlfn.REGEXTEST(C30, "Logging Threshold|Logger Threshold"), "ログ出力レベルの閾値設定", _xlfn.REGEXTEST(C30, "Enable.*Alerts"), "ヘルスアラートの有効化状態", _xlfn.REGEXTEST(C30, "Triggers"), "カスタムアラート条件（トリガー設定）", _xlfn.REGEXTEST(C30, "Healthy Kafka Broker"), "Kafka Brokerの健全ノード割合（稼働率）", _xlfn.REGEXTEST(C30, "Healthy Kafka Connect"), "Kafka Connectの健全ノード割合（稼働率）", _xlfn.REGEXTEST(C30, "Healthy KRaft Controller"), "KRaft Controllerの健全ノード割合（稼働率）", _xlfn.REGEXTEST(C30, "Healthy Knox IDBroker"), "Knox IDBrokerの健全ノード割合（稼働率）", _xlfn.REGEXTEST(C30, "Healthy Knox Gateway"), "Knox Gatewayの健全ノード割合（稼働率）", _xlfn.REGEXTEST(C30, "Healthy ZooKeeper Server"), "ZooKeeper Serverの健全ノード割合（稼働率）", _xlfn.REGEXTEST(C30, "Healthy NodeManager"), "NodeManagerの健全ノード割合（稼働率）", _xlfn.REGEXTEST(C30, "Maximum Latency"), "リクエストの最大レイテンシ（処理遅延）", _xlfn.REGEXTEST(C30, "Garbage Collection Duration"), "Javaのガベージコレクション（GC）の所要時間", _xlfn.REGEXTEST(C30, "Spool Directory Usage"), "Rangerプラグインのスプールディレクトリ使用量", _xlfn.REGEXTEST(C30, "Process Directory Free Space Monitoring Absolute"), "プロセスディレクトリの空き容量（絶対値)", _xlfn.REGEXTEST(C30, "Process Directory Free Space.*Percentage"), "プロセスディレクトリの空き容量割合（%）", _xlfn.REGEXTEST(C30, "Parcel Directory Free Space.*Absolute"), "パーセルディレクトリの空き容量（絶対値）", _xlfn.REGEXTEST(C30, "Parcel Directory Free Space.*Percentage"), "パーセルディレクトリの空き容量割合（%）", _xlfn.REGEXTEST(C30, "Host Network Frame Error Percentage"), "ホストのネットワークフレームエラー割合（%）", _xlfn.REGEXTEST(C30, "Network Interfaces Slow Link Modes"), "ホストのネットワークインターフェースの低速リンクモード検出", _xlfn.REGEXTEST(C30, "Host Memory Swapping"), "ホストのメモリのスワップ発生状態", TRUE, "要手動確認")</f>
        <v>Rangerプラグインのスプールディレクトリ使用量</v>
      </c>
      <c r="H30" s="479" t="s">
        <v>766</v>
      </c>
    </row>
    <row r="31" spans="1:8" ht="33.6">
      <c r="A31" s="468"/>
      <c r="B31" s="473"/>
      <c r="C31" s="471" t="s">
        <v>736</v>
      </c>
      <c r="D31" s="471" t="s">
        <v>767</v>
      </c>
      <c r="E31" s="471" t="s">
        <v>768</v>
      </c>
      <c r="F31" s="471" t="s">
        <v>739</v>
      </c>
      <c r="G31" s="471" t="str" cm="1">
        <f t="array" ref="G31">_xlfn.IFS(C31 = "", "", _xlfn.REGEXTEST(C31, "Host Clock Offset"), "ホストのクロックオフセット（時刻同期のズレ）", _xlfn.REGEXTEST(C31, "Memory Overcommit Validation"), "メモリオーバーコミット設定の検証", _xlfn.REGEXTEST(C31, "Gateway Logging"), "ゲートウェイのログ出力設定", _xlfn.REGEXTEST(C31, "CPU Balance"), "CPU使用率の分散バランス状態", _xlfn.REGEXTEST(C31, "Disk Balance"), "ディスク使用量の分散バランス状態", _xlfn.REGEXTEST(C31, "Network Inbound Balance"), "ネットワークインバウンド（受信）の分散バランス状態", _xlfn.REGEXTEST(C31, "Network Outbound Balance"), "ネットワークアウトバウンド（送信）の分散バランス状態", _xlfn.REGEXTEST(C31, "Replica Count Balance"), "レプリカ数の分散バランス状態", _xlfn.REGEXTEST(C31, "Disk Capacity"), "ディスク総容量の限界・使用容量", _xlfn.REGEXTEST(C31, "CPU Capacity"), "CPU総処理能力の限界・使用量", _xlfn.REGEXTEST(C31, "Network Inbound Capacity"), "ネットワークインバウンド（受信）帯域の限界・使用量", _xlfn.REGEXTEST(C31, "Network Outbound Capacity"), "ネットワークアウトバウンド（送信）帯域の限界・使用量", _xlfn.REGEXTEST(C31, "Leader Replica Count Balance"), "リーダーレプリカ数の分散バランス状態", _xlfn.REGEXTEST(C31, "Host DNS Resolution Duration"), "ホストのDNS名前解決の所要時間", _xlfn.REGEXTEST(C31, "TLS Certificate Expiry"), "TLS証明書の有効期限切れ", _xlfn.REGEXTEST(C31, "Host Entropy"), "ホストのエントロピー（乱数生成能力）の不足", _xlfn.REGEXTEST(C31, "File Descriptor"), "プロセスのファイルディスクリプタ使用率", _xlfn.REGEXTEST(C31, "Unexpected Exits"), "プロセスの異常終了（予期せぬ停止）", _xlfn.REGEXTEST(C31, "Swap Memory Thresholds"), "プロセスのスワップメモリ使用量", _xlfn.REGEXTEST(C31, "Swap Memory Usage Rate"), "スワップメモリ使用量の変化率（増加速度）", _xlfn.REGEXTEST(C31, "Log Directory Free Space.*Absolute"), "ログディレクトリの空き容量（絶対値）", _xlfn.REGEXTEST(C31, "Log Directory Free Space.*Percentage"), "ログディレクトリの空き容量割合（%）", _xlfn.REGEXTEST(C31, "Heap Dump Directory Free Space.*Absolute"), "ヒープダンプディレクトリの空き容量（絶対値）", _xlfn.REGEXTEST(C31, "Heap Dump Directory Free Space.*Percentage"), "ヒープダンプディレクトリの空き容量割合（%）", _xlfn.REGEXTEST(C31, "Data Directory Free Space.*Absolute"), "データディレクトリの空き容量（絶対値）", _xlfn.REGEXTEST(C31, "Data Directory Free Space.*Percentage"), "データディレクトリの空き容量割合（%）", _xlfn.REGEXTEST(C31, "Transaction Log Directory Free Space.*Absolute"), "トランザクションログディレクトリの空き容量（絶対値）", _xlfn.REGEXTEST(C31, "Logging Threshold|Logger Threshold"), "ログ出力レベルの閾値設定", _xlfn.REGEXTEST(C31, "Enable.*Alerts"), "ヘルスアラートの有効化状態", _xlfn.REGEXTEST(C31, "Triggers"), "カスタムアラート条件（トリガー設定）", _xlfn.REGEXTEST(C31, "Healthy Kafka Broker"), "Kafka Brokerの健全ノード割合（稼働率）", _xlfn.REGEXTEST(C31, "Healthy Kafka Connect"), "Kafka Connectの健全ノード割合（稼働率）", _xlfn.REGEXTEST(C31, "Healthy KRaft Controller"), "KRaft Controllerの健全ノード割合（稼働率）", _xlfn.REGEXTEST(C31, "Healthy Knox IDBroker"), "Knox IDBrokerの健全ノード割合（稼働率）", _xlfn.REGEXTEST(C31, "Healthy Knox Gateway"), "Knox Gatewayの健全ノード割合（稼働率）", _xlfn.REGEXTEST(C31, "Healthy ZooKeeper Server"), "ZooKeeper Serverの健全ノード割合（稼働率）", _xlfn.REGEXTEST(C31, "Healthy NodeManager"), "NodeManagerの健全ノード割合（稼働率）", _xlfn.REGEXTEST(C31, "Maximum Latency"), "リクエストの最大レイテンシ（処理遅延）", _xlfn.REGEXTEST(C31, "Garbage Collection Duration"), "Javaのガベージコレクション（GC）の所要時間", _xlfn.REGEXTEST(C31, "Spool Directory Usage"), "Rangerプラグインのスプールディレクトリ使用量", _xlfn.REGEXTEST(C31, "Process Directory Free Space Monitoring Absolute"), "プロセスディレクトリの空き容量（絶対値)", _xlfn.REGEXTEST(C31, "Process Directory Free Space.*Percentage"), "プロセスディレクトリの空き容量割合（%）", _xlfn.REGEXTEST(C31, "Parcel Directory Free Space.*Absolute"), "パーセルディレクトリの空き容量（絶対値）", _xlfn.REGEXTEST(C31, "Parcel Directory Free Space.*Percentage"), "パーセルディレクトリの空き容量割合（%）", _xlfn.REGEXTEST(C31, "Host Network Frame Error Percentage"), "ホストのネットワークフレームエラー割合（%）", _xlfn.REGEXTEST(C31, "Network Interfaces Slow Link Modes"), "ホストのネットワークインターフェースの低速リンクモード検出", _xlfn.REGEXTEST(C31, "Host Memory Swapping"), "ホストのメモリのスワップ発生状態", TRUE, "要手動確認")</f>
        <v>プロセスのファイルディスクリプタ使用率</v>
      </c>
      <c r="H31" s="479" t="s">
        <v>740</v>
      </c>
    </row>
    <row r="32" spans="1:8" ht="33.6">
      <c r="A32" s="468"/>
      <c r="B32" s="473"/>
      <c r="C32" s="471" t="s">
        <v>736</v>
      </c>
      <c r="D32" s="471" t="s">
        <v>769</v>
      </c>
      <c r="E32" s="471" t="s">
        <v>770</v>
      </c>
      <c r="F32" s="471" t="s">
        <v>739</v>
      </c>
      <c r="G32" s="471" t="str" cm="1">
        <f t="array" ref="G32">_xlfn.IFS(C32 = "", "", _xlfn.REGEXTEST(C32, "Host Clock Offset"), "ホストのクロックオフセット（時刻同期のズレ）", _xlfn.REGEXTEST(C32, "Memory Overcommit Validation"), "メモリオーバーコミット設定の検証", _xlfn.REGEXTEST(C32, "Gateway Logging"), "ゲートウェイのログ出力設定", _xlfn.REGEXTEST(C32, "CPU Balance"), "CPU使用率の分散バランス状態", _xlfn.REGEXTEST(C32, "Disk Balance"), "ディスク使用量の分散バランス状態", _xlfn.REGEXTEST(C32, "Network Inbound Balance"), "ネットワークインバウンド（受信）の分散バランス状態", _xlfn.REGEXTEST(C32, "Network Outbound Balance"), "ネットワークアウトバウンド（送信）の分散バランス状態", _xlfn.REGEXTEST(C32, "Replica Count Balance"), "レプリカ数の分散バランス状態", _xlfn.REGEXTEST(C32, "Disk Capacity"), "ディスク総容量の限界・使用容量", _xlfn.REGEXTEST(C32, "CPU Capacity"), "CPU総処理能力の限界・使用量", _xlfn.REGEXTEST(C32, "Network Inbound Capacity"), "ネットワークインバウンド（受信）帯域の限界・使用量", _xlfn.REGEXTEST(C32, "Network Outbound Capacity"), "ネットワークアウトバウンド（送信）帯域の限界・使用量", _xlfn.REGEXTEST(C32, "Leader Replica Count Balance"), "リーダーレプリカ数の分散バランス状態", _xlfn.REGEXTEST(C32, "Host DNS Resolution Duration"), "ホストのDNS名前解決の所要時間", _xlfn.REGEXTEST(C32, "TLS Certificate Expiry"), "TLS証明書の有効期限切れ", _xlfn.REGEXTEST(C32, "Host Entropy"), "ホストのエントロピー（乱数生成能力）の不足", _xlfn.REGEXTEST(C32, "File Descriptor"), "プロセスのファイルディスクリプタ使用率", _xlfn.REGEXTEST(C32, "Unexpected Exits"), "プロセスの異常終了（予期せぬ停止）", _xlfn.REGEXTEST(C32, "Swap Memory Thresholds"), "プロセスのスワップメモリ使用量", _xlfn.REGEXTEST(C32, "Swap Memory Usage Rate"), "スワップメモリ使用量の変化率（増加速度）", _xlfn.REGEXTEST(C32, "Log Directory Free Space.*Absolute"), "ログディレクトリの空き容量（絶対値）", _xlfn.REGEXTEST(C32, "Log Directory Free Space.*Percentage"), "ログディレクトリの空き容量割合（%）", _xlfn.REGEXTEST(C32, "Heap Dump Directory Free Space.*Absolute"), "ヒープダンプディレクトリの空き容量（絶対値）", _xlfn.REGEXTEST(C32, "Heap Dump Directory Free Space.*Percentage"), "ヒープダンプディレクトリの空き容量割合（%）", _xlfn.REGEXTEST(C32, "Data Directory Free Space.*Absolute"), "データディレクトリの空き容量（絶対値）", _xlfn.REGEXTEST(C32, "Data Directory Free Space.*Percentage"), "データディレクトリの空き容量割合（%）", _xlfn.REGEXTEST(C32, "Transaction Log Directory Free Space.*Absolute"), "トランザクションログディレクトリの空き容量（絶対値）", _xlfn.REGEXTEST(C32, "Logging Threshold|Logger Threshold"), "ログ出力レベルの閾値設定", _xlfn.REGEXTEST(C32, "Enable.*Alerts"), "ヘルスアラートの有効化状態", _xlfn.REGEXTEST(C32, "Triggers"), "カスタムアラート条件（トリガー設定）", _xlfn.REGEXTEST(C32, "Healthy Kafka Broker"), "Kafka Brokerの健全ノード割合（稼働率）", _xlfn.REGEXTEST(C32, "Healthy Kafka Connect"), "Kafka Connectの健全ノード割合（稼働率）", _xlfn.REGEXTEST(C32, "Healthy KRaft Controller"), "KRaft Controllerの健全ノード割合（稼働率）", _xlfn.REGEXTEST(C32, "Healthy Knox IDBroker"), "Knox IDBrokerの健全ノード割合（稼働率）", _xlfn.REGEXTEST(C32, "Healthy Knox Gateway"), "Knox Gatewayの健全ノード割合（稼働率）", _xlfn.REGEXTEST(C32, "Healthy ZooKeeper Server"), "ZooKeeper Serverの健全ノード割合（稼働率）", _xlfn.REGEXTEST(C32, "Healthy NodeManager"), "NodeManagerの健全ノード割合（稼働率）", _xlfn.REGEXTEST(C32, "Maximum Latency"), "リクエストの最大レイテンシ（処理遅延）", _xlfn.REGEXTEST(C32, "Garbage Collection Duration"), "Javaのガベージコレクション（GC）の所要時間", _xlfn.REGEXTEST(C32, "Spool Directory Usage"), "Rangerプラグインのスプールディレクトリ使用量", _xlfn.REGEXTEST(C32, "Process Directory Free Space Monitoring Absolute"), "プロセスディレクトリの空き容量（絶対値)", _xlfn.REGEXTEST(C32, "Process Directory Free Space.*Percentage"), "プロセスディレクトリの空き容量割合（%）", _xlfn.REGEXTEST(C32, "Parcel Directory Free Space.*Absolute"), "パーセルディレクトリの空き容量（絶対値）", _xlfn.REGEXTEST(C32, "Parcel Directory Free Space.*Percentage"), "パーセルディレクトリの空き容量割合（%）", _xlfn.REGEXTEST(C32, "Host Network Frame Error Percentage"), "ホストのネットワークフレームエラー割合（%）", _xlfn.REGEXTEST(C32, "Network Interfaces Slow Link Modes"), "ホストのネットワークインターフェースの低速リンクモード検出", _xlfn.REGEXTEST(C32, "Host Memory Swapping"), "ホストのメモリのスワップ発生状態", TRUE, "要手動確認")</f>
        <v>プロセスのファイルディスクリプタ使用率</v>
      </c>
      <c r="H32" s="479" t="s">
        <v>740</v>
      </c>
    </row>
    <row r="33" spans="1:8" ht="16.899999999999999">
      <c r="A33" s="468"/>
      <c r="B33" s="473"/>
      <c r="C33" s="471" t="s">
        <v>771</v>
      </c>
      <c r="D33" s="471" t="s">
        <v>772</v>
      </c>
      <c r="E33" s="471" t="s">
        <v>773</v>
      </c>
      <c r="F33" s="471" t="s">
        <v>774</v>
      </c>
      <c r="G33" s="471" t="str" cm="1">
        <f t="array" ref="G33">_xlfn.IFS(C33 = "", "", _xlfn.REGEXTEST(C33, "Host Clock Offset"), "ホストのクロックオフセット（時刻同期のズレ）", _xlfn.REGEXTEST(C33, "Memory Overcommit Validation"), "メモリオーバーコミット設定の検証", _xlfn.REGEXTEST(C33, "Gateway Logging"), "ゲートウェイのログ出力設定", _xlfn.REGEXTEST(C33, "CPU Balance"), "CPU使用率の分散バランス状態", _xlfn.REGEXTEST(C33, "Disk Balance"), "ディスク使用量の分散バランス状態", _xlfn.REGEXTEST(C33, "Network Inbound Balance"), "ネットワークインバウンド（受信）の分散バランス状態", _xlfn.REGEXTEST(C33, "Network Outbound Balance"), "ネットワークアウトバウンド（送信）の分散バランス状態", _xlfn.REGEXTEST(C33, "Replica Count Balance"), "レプリカ数の分散バランス状態", _xlfn.REGEXTEST(C33, "Disk Capacity"), "ディスク総容量の限界・使用容量", _xlfn.REGEXTEST(C33, "CPU Capacity"), "CPU総処理能力の限界・使用量", _xlfn.REGEXTEST(C33, "Network Inbound Capacity"), "ネットワークインバウンド（受信）帯域の限界・使用量", _xlfn.REGEXTEST(C33, "Network Outbound Capacity"), "ネットワークアウトバウンド（送信）帯域の限界・使用量", _xlfn.REGEXTEST(C33, "Leader Replica Count Balance"), "リーダーレプリカ数の分散バランス状態", _xlfn.REGEXTEST(C33, "Host DNS Resolution Duration"), "ホストのDNS名前解決の所要時間", _xlfn.REGEXTEST(C33, "TLS Certificate Expiry"), "TLS証明書の有効期限切れ", _xlfn.REGEXTEST(C33, "Host Entropy"), "ホストのエントロピー（乱数生成能力）の不足", _xlfn.REGEXTEST(C33, "File Descriptor"), "プロセスのファイルディスクリプタ使用率", _xlfn.REGEXTEST(C33, "Unexpected Exits"), "プロセスの異常終了（予期せぬ停止）", _xlfn.REGEXTEST(C33, "Swap Memory Thresholds"), "プロセスのスワップメモリ使用量", _xlfn.REGEXTEST(C33, "Swap Memory Usage Rate"), "スワップメモリ使用量の変化率（増加速度）", _xlfn.REGEXTEST(C33, "Log Directory Free Space.*Absolute"), "ログディレクトリの空き容量（絶対値）", _xlfn.REGEXTEST(C33, "Log Directory Free Space.*Percentage"), "ログディレクトリの空き容量割合（%）", _xlfn.REGEXTEST(C33, "Heap Dump Directory Free Space.*Absolute"), "ヒープダンプディレクトリの空き容量（絶対値）", _xlfn.REGEXTEST(C33, "Heap Dump Directory Free Space.*Percentage"), "ヒープダンプディレクトリの空き容量割合（%）", _xlfn.REGEXTEST(C33, "Data Directory Free Space.*Absolute"), "データディレクトリの空き容量（絶対値）", _xlfn.REGEXTEST(C33, "Data Directory Free Space.*Percentage"), "データディレクトリの空き容量割合（%）", _xlfn.REGEXTEST(C33, "Transaction Log Directory Free Space.*Absolute"), "トランザクションログディレクトリの空き容量（絶対値）", _xlfn.REGEXTEST(C33, "Logging Threshold|Logger Threshold"), "ログ出力レベルの閾値設定", _xlfn.REGEXTEST(C33, "Enable.*Alerts"), "ヘルスアラートの有効化状態", _xlfn.REGEXTEST(C33, "Triggers"), "カスタムアラート条件（トリガー設定）", _xlfn.REGEXTEST(C33, "Healthy Kafka Broker"), "Kafka Brokerの健全ノード割合（稼働率）", _xlfn.REGEXTEST(C33, "Healthy Kafka Connect"), "Kafka Connectの健全ノード割合（稼働率）", _xlfn.REGEXTEST(C33, "Healthy KRaft Controller"), "KRaft Controllerの健全ノード割合（稼働率）", _xlfn.REGEXTEST(C33, "Healthy Knox IDBroker"), "Knox IDBrokerの健全ノード割合（稼働率）", _xlfn.REGEXTEST(C33, "Healthy Knox Gateway"), "Knox Gatewayの健全ノード割合（稼働率）", _xlfn.REGEXTEST(C33, "Healthy ZooKeeper Server"), "ZooKeeper Serverの健全ノード割合（稼働率）", _xlfn.REGEXTEST(C33, "Healthy NodeManager"), "NodeManagerの健全ノード割合（稼働率）", _xlfn.REGEXTEST(C33, "Maximum Latency"), "リクエストの最大レイテンシ（処理遅延）", _xlfn.REGEXTEST(C33, "Garbage Collection Duration"), "Javaのガベージコレクション（GC）の所要時間", _xlfn.REGEXTEST(C33, "Spool Directory Usage"), "Rangerプラグインのスプールディレクトリ使用量", _xlfn.REGEXTEST(C33, "Process Directory Free Space Monitoring Absolute"), "プロセスディレクトリの空き容量（絶対値)", _xlfn.REGEXTEST(C33, "Process Directory Free Space.*Percentage"), "プロセスディレクトリの空き容量割合（%）", _xlfn.REGEXTEST(C33, "Parcel Directory Free Space.*Absolute"), "パーセルディレクトリの空き容量（絶対値）", _xlfn.REGEXTEST(C33, "Parcel Directory Free Space.*Percentage"), "パーセルディレクトリの空き容量割合（%）", _xlfn.REGEXTEST(C33, "Host Network Frame Error Percentage"), "ホストのネットワークフレームエラー割合（%）", _xlfn.REGEXTEST(C33, "Network Interfaces Slow Link Modes"), "ホストのネットワークインターフェースの低速リンクモード検出", _xlfn.REGEXTEST(C33, "Host Memory Swapping"), "ホストのメモリのスワップ発生状態", TRUE, "要手動確認")</f>
        <v>ゲートウェイのログ出力設定</v>
      </c>
      <c r="H33" s="479" t="s">
        <v>775</v>
      </c>
    </row>
    <row r="34" spans="1:8" ht="16.899999999999999">
      <c r="A34" s="468"/>
      <c r="B34" s="473"/>
      <c r="C34" s="471" t="s">
        <v>776</v>
      </c>
      <c r="D34" s="471" t="s">
        <v>772</v>
      </c>
      <c r="E34" s="471" t="s">
        <v>738</v>
      </c>
      <c r="F34" s="471" t="s">
        <v>774</v>
      </c>
      <c r="G34" s="471" t="str" cm="1">
        <f t="array" ref="G34">_xlfn.IFS(C34 = "", "", _xlfn.REGEXTEST(C34, "Host Clock Offset"), "ホストのクロックオフセット（時刻同期のズレ）", _xlfn.REGEXTEST(C34, "Memory Overcommit Validation"), "メモリオーバーコミット設定の検証", _xlfn.REGEXTEST(C34, "Gateway Logging"), "ゲートウェイのログ出力設定", _xlfn.REGEXTEST(C34, "CPU Balance"), "CPU使用率の分散バランス状態", _xlfn.REGEXTEST(C34, "Disk Balance"), "ディスク使用量の分散バランス状態", _xlfn.REGEXTEST(C34, "Network Inbound Balance"), "ネットワークインバウンド（受信）の分散バランス状態", _xlfn.REGEXTEST(C34, "Network Outbound Balance"), "ネットワークアウトバウンド（送信）の分散バランス状態", _xlfn.REGEXTEST(C34, "Replica Count Balance"), "レプリカ数の分散バランス状態", _xlfn.REGEXTEST(C34, "Disk Capacity"), "ディスク総容量の限界・使用容量", _xlfn.REGEXTEST(C34, "CPU Capacity"), "CPU総処理能力の限界・使用量", _xlfn.REGEXTEST(C34, "Network Inbound Capacity"), "ネットワークインバウンド（受信）帯域の限界・使用量", _xlfn.REGEXTEST(C34, "Network Outbound Capacity"), "ネットワークアウトバウンド（送信）帯域の限界・使用量", _xlfn.REGEXTEST(C34, "Leader Replica Count Balance"), "リーダーレプリカ数の分散バランス状態", _xlfn.REGEXTEST(C34, "Host DNS Resolution Duration"), "ホストのDNS名前解決の所要時間", _xlfn.REGEXTEST(C34, "TLS Certificate Expiry"), "TLS証明書の有効期限切れ", _xlfn.REGEXTEST(C34, "Host Entropy"), "ホストのエントロピー（乱数生成能力）の不足", _xlfn.REGEXTEST(C34, "File Descriptor"), "プロセスのファイルディスクリプタ使用率", _xlfn.REGEXTEST(C34, "Unexpected Exits"), "プロセスの異常終了（予期せぬ停止）", _xlfn.REGEXTEST(C34, "Swap Memory Thresholds"), "プロセスのスワップメモリ使用量", _xlfn.REGEXTEST(C34, "Swap Memory Usage Rate"), "スワップメモリ使用量の変化率（増加速度）", _xlfn.REGEXTEST(C34, "Log Directory Free Space.*Absolute"), "ログディレクトリの空き容量（絶対値）", _xlfn.REGEXTEST(C34, "Log Directory Free Space.*Percentage"), "ログディレクトリの空き容量割合（%）", _xlfn.REGEXTEST(C34, "Heap Dump Directory Free Space.*Absolute"), "ヒープダンプディレクトリの空き容量（絶対値）", _xlfn.REGEXTEST(C34, "Heap Dump Directory Free Space.*Percentage"), "ヒープダンプディレクトリの空き容量割合（%）", _xlfn.REGEXTEST(C34, "Data Directory Free Space.*Absolute"), "データディレクトリの空き容量（絶対値）", _xlfn.REGEXTEST(C34, "Data Directory Free Space.*Percentage"), "データディレクトリの空き容量割合（%）", _xlfn.REGEXTEST(C34, "Transaction Log Directory Free Space.*Absolute"), "トランザクションログディレクトリの空き容量（絶対値）", _xlfn.REGEXTEST(C34, "Logging Threshold|Logger Threshold"), "ログ出力レベルの閾値設定", _xlfn.REGEXTEST(C34, "Enable.*Alerts"), "ヘルスアラートの有効化状態", _xlfn.REGEXTEST(C34, "Triggers"), "カスタムアラート条件（トリガー設定）", _xlfn.REGEXTEST(C34, "Healthy Kafka Broker"), "Kafka Brokerの健全ノード割合（稼働率）", _xlfn.REGEXTEST(C34, "Healthy Kafka Connect"), "Kafka Connectの健全ノード割合（稼働率）", _xlfn.REGEXTEST(C34, "Healthy KRaft Controller"), "KRaft Controllerの健全ノード割合（稼働率）", _xlfn.REGEXTEST(C34, "Healthy Knox IDBroker"), "Knox IDBrokerの健全ノード割合（稼働率）", _xlfn.REGEXTEST(C34, "Healthy Knox Gateway"), "Knox Gatewayの健全ノード割合（稼働率）", _xlfn.REGEXTEST(C34, "Healthy ZooKeeper Server"), "ZooKeeper Serverの健全ノード割合（稼働率）", _xlfn.REGEXTEST(C34, "Healthy NodeManager"), "NodeManagerの健全ノード割合（稼働率）", _xlfn.REGEXTEST(C34, "Maximum Latency"), "リクエストの最大レイテンシ（処理遅延）", _xlfn.REGEXTEST(C34, "Garbage Collection Duration"), "Javaのガベージコレクション（GC）の所要時間", _xlfn.REGEXTEST(C34, "Spool Directory Usage"), "Rangerプラグインのスプールディレクトリ使用量", _xlfn.REGEXTEST(C34, "Process Directory Free Space Monitoring Absolute"), "プロセスディレクトリの空き容量（絶対値)", _xlfn.REGEXTEST(C34, "Process Directory Free Space.*Percentage"), "プロセスディレクトリの空き容量割合（%）", _xlfn.REGEXTEST(C34, "Parcel Directory Free Space.*Absolute"), "パーセルディレクトリの空き容量（絶対値）", _xlfn.REGEXTEST(C34, "Parcel Directory Free Space.*Percentage"), "パーセルディレクトリの空き容量割合（%）", _xlfn.REGEXTEST(C34, "Host Network Frame Error Percentage"), "ホストのネットワークフレームエラー割合（%）", _xlfn.REGEXTEST(C34, "Network Interfaces Slow Link Modes"), "ホストのネットワークインターフェースの低速リンクモード検出", _xlfn.REGEXTEST(C34, "Host Memory Swapping"), "ホストのメモリのスワップ発生状態", TRUE, "要手動確認")</f>
        <v>ログ出力レベルの閾値設定</v>
      </c>
      <c r="H34" s="479" t="s">
        <v>775</v>
      </c>
    </row>
    <row r="35" spans="1:8" ht="16.899999999999999">
      <c r="A35" s="468"/>
      <c r="B35" s="473"/>
      <c r="C35" s="471" t="s">
        <v>777</v>
      </c>
      <c r="D35" s="471" t="s">
        <v>772</v>
      </c>
      <c r="E35" s="471" t="s">
        <v>762</v>
      </c>
      <c r="F35" s="471" t="s">
        <v>778</v>
      </c>
      <c r="G35" s="471" t="str" cm="1">
        <f t="array" ref="G35">_xlfn.IFS(C35 = "", "", _xlfn.REGEXTEST(C35, "Host Clock Offset"), "ホストのクロックオフセット（時刻同期のズレ）", _xlfn.REGEXTEST(C35, "Memory Overcommit Validation"), "メモリオーバーコミット設定の検証", _xlfn.REGEXTEST(C35, "Gateway Logging"), "ゲートウェイのログ出力設定", _xlfn.REGEXTEST(C35, "CPU Balance"), "CPU使用率の分散バランス状態", _xlfn.REGEXTEST(C35, "Disk Balance"), "ディスク使用量の分散バランス状態", _xlfn.REGEXTEST(C35, "Network Inbound Balance"), "ネットワークインバウンド（受信）の分散バランス状態", _xlfn.REGEXTEST(C35, "Network Outbound Balance"), "ネットワークアウトバウンド（送信）の分散バランス状態", _xlfn.REGEXTEST(C35, "Replica Count Balance"), "レプリカ数の分散バランス状態", _xlfn.REGEXTEST(C35, "Disk Capacity"), "ディスク総容量の限界・使用容量", _xlfn.REGEXTEST(C35, "CPU Capacity"), "CPU総処理能力の限界・使用量", _xlfn.REGEXTEST(C35, "Network Inbound Capacity"), "ネットワークインバウンド（受信）帯域の限界・使用量", _xlfn.REGEXTEST(C35, "Network Outbound Capacity"), "ネットワークアウトバウンド（送信）帯域の限界・使用量", _xlfn.REGEXTEST(C35, "Leader Replica Count Balance"), "リーダーレプリカ数の分散バランス状態", _xlfn.REGEXTEST(C35, "Host DNS Resolution Duration"), "ホストのDNS名前解決の所要時間", _xlfn.REGEXTEST(C35, "TLS Certificate Expiry"), "TLS証明書の有効期限切れ", _xlfn.REGEXTEST(C35, "Host Entropy"), "ホストのエントロピー（乱数生成能力）の不足", _xlfn.REGEXTEST(C35, "File Descriptor"), "プロセスのファイルディスクリプタ使用率", _xlfn.REGEXTEST(C35, "Unexpected Exits"), "プロセスの異常終了（予期せぬ停止）", _xlfn.REGEXTEST(C35, "Swap Memory Thresholds"), "プロセスのスワップメモリ使用量", _xlfn.REGEXTEST(C35, "Swap Memory Usage Rate"), "スワップメモリ使用量の変化率（増加速度）", _xlfn.REGEXTEST(C35, "Log Directory Free Space.*Absolute"), "ログディレクトリの空き容量（絶対値）", _xlfn.REGEXTEST(C35, "Log Directory Free Space.*Percentage"), "ログディレクトリの空き容量割合（%）", _xlfn.REGEXTEST(C35, "Heap Dump Directory Free Space.*Absolute"), "ヒープダンプディレクトリの空き容量（絶対値）", _xlfn.REGEXTEST(C35, "Heap Dump Directory Free Space.*Percentage"), "ヒープダンプディレクトリの空き容量割合（%）", _xlfn.REGEXTEST(C35, "Data Directory Free Space.*Absolute"), "データディレクトリの空き容量（絶対値）", _xlfn.REGEXTEST(C35, "Data Directory Free Space.*Percentage"), "データディレクトリの空き容量割合（%）", _xlfn.REGEXTEST(C35, "Transaction Log Directory Free Space.*Absolute"), "トランザクションログディレクトリの空き容量（絶対値）", _xlfn.REGEXTEST(C35, "Logging Threshold|Logger Threshold"), "ログ出力レベルの閾値設定", _xlfn.REGEXTEST(C35, "Enable.*Alerts"), "ヘルスアラートの有効化状態", _xlfn.REGEXTEST(C35, "Triggers"), "カスタムアラート条件（トリガー設定）", _xlfn.REGEXTEST(C35, "Healthy Kafka Broker"), "Kafka Brokerの健全ノード割合（稼働率）", _xlfn.REGEXTEST(C35, "Healthy Kafka Connect"), "Kafka Connectの健全ノード割合（稼働率）", _xlfn.REGEXTEST(C35, "Healthy KRaft Controller"), "KRaft Controllerの健全ノード割合（稼働率）", _xlfn.REGEXTEST(C35, "Healthy Knox IDBroker"), "Knox IDBrokerの健全ノード割合（稼働率）", _xlfn.REGEXTEST(C35, "Healthy Knox Gateway"), "Knox Gatewayの健全ノード割合（稼働率）", _xlfn.REGEXTEST(C35, "Healthy ZooKeeper Server"), "ZooKeeper Serverの健全ノード割合（稼働率）", _xlfn.REGEXTEST(C35, "Healthy NodeManager"), "NodeManagerの健全ノード割合（稼働率）", _xlfn.REGEXTEST(C35, "Maximum Latency"), "リクエストの最大レイテンシ（処理遅延）", _xlfn.REGEXTEST(C35, "Garbage Collection Duration"), "Javaのガベージコレクション（GC）の所要時間", _xlfn.REGEXTEST(C35, "Spool Directory Usage"), "Rangerプラグインのスプールディレクトリ使用量", _xlfn.REGEXTEST(C35, "Process Directory Free Space Monitoring Absolute"), "プロセスディレクトリの空き容量（絶対値)", _xlfn.REGEXTEST(C35, "Process Directory Free Space.*Percentage"), "プロセスディレクトリの空き容量割合（%）", _xlfn.REGEXTEST(C35, "Parcel Directory Free Space.*Absolute"), "パーセルディレクトリの空き容量（絶対値）", _xlfn.REGEXTEST(C35, "Parcel Directory Free Space.*Percentage"), "パーセルディレクトリの空き容量割合（%）", _xlfn.REGEXTEST(C35, "Host Network Frame Error Percentage"), "ホストのネットワークフレームエラー割合（%）", _xlfn.REGEXTEST(C35, "Network Interfaces Slow Link Modes"), "ホストのネットワークインターフェースの低速リンクモード検出", _xlfn.REGEXTEST(C35, "Host Memory Swapping"), "ホストのメモリのスワップ発生状態", TRUE, "要手動確認")</f>
        <v>ログ出力レベルの閾値設定</v>
      </c>
      <c r="H35" s="479" t="s">
        <v>775</v>
      </c>
    </row>
    <row r="36" spans="1:8" ht="16.899999999999999">
      <c r="A36" s="468"/>
      <c r="B36" s="473"/>
      <c r="C36" s="471" t="s">
        <v>779</v>
      </c>
      <c r="D36" s="471" t="s">
        <v>772</v>
      </c>
      <c r="E36" s="471" t="s">
        <v>768</v>
      </c>
      <c r="F36" s="471" t="s">
        <v>780</v>
      </c>
      <c r="G36" s="471" t="str" cm="1">
        <f t="array" ref="G36">_xlfn.IFS(C36 = "", "", _xlfn.REGEXTEST(C36, "Host Clock Offset"), "ホストのクロックオフセット（時刻同期のズレ）", _xlfn.REGEXTEST(C36, "Memory Overcommit Validation"), "メモリオーバーコミット設定の検証", _xlfn.REGEXTEST(C36, "Gateway Logging"), "ゲートウェイのログ出力設定", _xlfn.REGEXTEST(C36, "CPU Balance"), "CPU使用率の分散バランス状態", _xlfn.REGEXTEST(C36, "Disk Balance"), "ディスク使用量の分散バランス状態", _xlfn.REGEXTEST(C36, "Network Inbound Balance"), "ネットワークインバウンド（受信）の分散バランス状態", _xlfn.REGEXTEST(C36, "Network Outbound Balance"), "ネットワークアウトバウンド（送信）の分散バランス状態", _xlfn.REGEXTEST(C36, "Replica Count Balance"), "レプリカ数の分散バランス状態", _xlfn.REGEXTEST(C36, "Disk Capacity"), "ディスク総容量の限界・使用容量", _xlfn.REGEXTEST(C36, "CPU Capacity"), "CPU総処理能力の限界・使用量", _xlfn.REGEXTEST(C36, "Network Inbound Capacity"), "ネットワークインバウンド（受信）帯域の限界・使用量", _xlfn.REGEXTEST(C36, "Network Outbound Capacity"), "ネットワークアウトバウンド（送信）帯域の限界・使用量", _xlfn.REGEXTEST(C36, "Leader Replica Count Balance"), "リーダーレプリカ数の分散バランス状態", _xlfn.REGEXTEST(C36, "Host DNS Resolution Duration"), "ホストのDNS名前解決の所要時間", _xlfn.REGEXTEST(C36, "TLS Certificate Expiry"), "TLS証明書の有効期限切れ", _xlfn.REGEXTEST(C36, "Host Entropy"), "ホストのエントロピー（乱数生成能力）の不足", _xlfn.REGEXTEST(C36, "File Descriptor"), "プロセスのファイルディスクリプタ使用率", _xlfn.REGEXTEST(C36, "Unexpected Exits"), "プロセスの異常終了（予期せぬ停止）", _xlfn.REGEXTEST(C36, "Swap Memory Thresholds"), "プロセスのスワップメモリ使用量", _xlfn.REGEXTEST(C36, "Swap Memory Usage Rate"), "スワップメモリ使用量の変化率（増加速度）", _xlfn.REGEXTEST(C36, "Log Directory Free Space.*Absolute"), "ログディレクトリの空き容量（絶対値）", _xlfn.REGEXTEST(C36, "Log Directory Free Space.*Percentage"), "ログディレクトリの空き容量割合（%）", _xlfn.REGEXTEST(C36, "Heap Dump Directory Free Space.*Absolute"), "ヒープダンプディレクトリの空き容量（絶対値）", _xlfn.REGEXTEST(C36, "Heap Dump Directory Free Space.*Percentage"), "ヒープダンプディレクトリの空き容量割合（%）", _xlfn.REGEXTEST(C36, "Data Directory Free Space.*Absolute"), "データディレクトリの空き容量（絶対値）", _xlfn.REGEXTEST(C36, "Data Directory Free Space.*Percentage"), "データディレクトリの空き容量割合（%）", _xlfn.REGEXTEST(C36, "Transaction Log Directory Free Space.*Absolute"), "トランザクションログディレクトリの空き容量（絶対値）", _xlfn.REGEXTEST(C36, "Logging Threshold|Logger Threshold"), "ログ出力レベルの閾値設定", _xlfn.REGEXTEST(C36, "Enable.*Alerts"), "ヘルスアラートの有効化状態", _xlfn.REGEXTEST(C36, "Triggers"), "カスタムアラート条件（トリガー設定）", _xlfn.REGEXTEST(C36, "Healthy Kafka Broker"), "Kafka Brokerの健全ノード割合（稼働率）", _xlfn.REGEXTEST(C36, "Healthy Kafka Connect"), "Kafka Connectの健全ノード割合（稼働率）", _xlfn.REGEXTEST(C36, "Healthy KRaft Controller"), "KRaft Controllerの健全ノード割合（稼働率）", _xlfn.REGEXTEST(C36, "Healthy Knox IDBroker"), "Knox IDBrokerの健全ノード割合（稼働率）", _xlfn.REGEXTEST(C36, "Healthy Knox Gateway"), "Knox Gatewayの健全ノード割合（稼働率）", _xlfn.REGEXTEST(C36, "Healthy ZooKeeper Server"), "ZooKeeper Serverの健全ノード割合（稼働率）", _xlfn.REGEXTEST(C36, "Healthy NodeManager"), "NodeManagerの健全ノード割合（稼働率）", _xlfn.REGEXTEST(C36, "Maximum Latency"), "リクエストの最大レイテンシ（処理遅延）", _xlfn.REGEXTEST(C36, "Garbage Collection Duration"), "Javaのガベージコレクション（GC）の所要時間", _xlfn.REGEXTEST(C36, "Spool Directory Usage"), "Rangerプラグインのスプールディレクトリ使用量", _xlfn.REGEXTEST(C36, "Process Directory Free Space Monitoring Absolute"), "プロセスディレクトリの空き容量（絶対値)", _xlfn.REGEXTEST(C36, "Process Directory Free Space.*Percentage"), "プロセスディレクトリの空き容量割合（%）", _xlfn.REGEXTEST(C36, "Parcel Directory Free Space.*Absolute"), "パーセルディレクトリの空き容量（絶対値）", _xlfn.REGEXTEST(C36, "Parcel Directory Free Space.*Percentage"), "パーセルディレクトリの空き容量割合（%）", _xlfn.REGEXTEST(C36, "Host Network Frame Error Percentage"), "ホストのネットワークフレームエラー割合（%）", _xlfn.REGEXTEST(C36, "Network Interfaces Slow Link Modes"), "ホストのネットワークインターフェースの低速リンクモード検出", _xlfn.REGEXTEST(C36, "Host Memory Swapping"), "ホストのメモリのスワップ発生状態", TRUE, "要手動確認")</f>
        <v>ログ出力レベルの閾値設定</v>
      </c>
      <c r="H36" s="479" t="s">
        <v>775</v>
      </c>
    </row>
    <row r="37" spans="1:8" ht="16.899999999999999">
      <c r="A37" s="514"/>
      <c r="B37" s="470"/>
      <c r="C37" s="471" t="s">
        <v>781</v>
      </c>
      <c r="D37" s="471" t="s">
        <v>772</v>
      </c>
      <c r="E37" s="471" t="s">
        <v>770</v>
      </c>
      <c r="F37" s="471" t="s">
        <v>782</v>
      </c>
      <c r="G37" s="471" t="str" cm="1">
        <f t="array" ref="G37">_xlfn.IFS(C37 = "", "", _xlfn.REGEXTEST(C37, "Host Clock Offset"), "ホストのクロックオフセット（時刻同期のズレ）", _xlfn.REGEXTEST(C37, "Memory Overcommit Validation"), "メモリオーバーコミット設定の検証", _xlfn.REGEXTEST(C37, "Gateway Logging"), "ゲートウェイのログ出力設定", _xlfn.REGEXTEST(C37, "CPU Balance"), "CPU使用率の分散バランス状態", _xlfn.REGEXTEST(C37, "Disk Balance"), "ディスク使用量の分散バランス状態", _xlfn.REGEXTEST(C37, "Network Inbound Balance"), "ネットワークインバウンド（受信）の分散バランス状態", _xlfn.REGEXTEST(C37, "Network Outbound Balance"), "ネットワークアウトバウンド（送信）の分散バランス状態", _xlfn.REGEXTEST(C37, "Replica Count Balance"), "レプリカ数の分散バランス状態", _xlfn.REGEXTEST(C37, "Disk Capacity"), "ディスク総容量の限界・使用容量", _xlfn.REGEXTEST(C37, "CPU Capacity"), "CPU総処理能力の限界・使用量", _xlfn.REGEXTEST(C37, "Network Inbound Capacity"), "ネットワークインバウンド（受信）帯域の限界・使用量", _xlfn.REGEXTEST(C37, "Network Outbound Capacity"), "ネットワークアウトバウンド（送信）帯域の限界・使用量", _xlfn.REGEXTEST(C37, "Leader Replica Count Balance"), "リーダーレプリカ数の分散バランス状態", _xlfn.REGEXTEST(C37, "Host DNS Resolution Duration"), "ホストのDNS名前解決の所要時間", _xlfn.REGEXTEST(C37, "TLS Certificate Expiry"), "TLS証明書の有効期限切れ", _xlfn.REGEXTEST(C37, "Host Entropy"), "ホストのエントロピー（乱数生成能力）の不足", _xlfn.REGEXTEST(C37, "File Descriptor"), "プロセスのファイルディスクリプタ使用率", _xlfn.REGEXTEST(C37, "Unexpected Exits"), "プロセスの異常終了（予期せぬ停止）", _xlfn.REGEXTEST(C37, "Swap Memory Thresholds"), "プロセスのスワップメモリ使用量", _xlfn.REGEXTEST(C37, "Swap Memory Usage Rate"), "スワップメモリ使用量の変化率（増加速度）", _xlfn.REGEXTEST(C37, "Log Directory Free Space.*Absolute"), "ログディレクトリの空き容量（絶対値）", _xlfn.REGEXTEST(C37, "Log Directory Free Space.*Percentage"), "ログディレクトリの空き容量割合（%）", _xlfn.REGEXTEST(C37, "Heap Dump Directory Free Space.*Absolute"), "ヒープダンプディレクトリの空き容量（絶対値）", _xlfn.REGEXTEST(C37, "Heap Dump Directory Free Space.*Percentage"), "ヒープダンプディレクトリの空き容量割合（%）", _xlfn.REGEXTEST(C37, "Data Directory Free Space.*Absolute"), "データディレクトリの空き容量（絶対値）", _xlfn.REGEXTEST(C37, "Data Directory Free Space.*Percentage"), "データディレクトリの空き容量割合（%）", _xlfn.REGEXTEST(C37, "Transaction Log Directory Free Space.*Absolute"), "トランザクションログディレクトリの空き容量（絶対値）", _xlfn.REGEXTEST(C37, "Logging Threshold|Logger Threshold"), "ログ出力レベルの閾値設定", _xlfn.REGEXTEST(C37, "Enable.*Alerts"), "ヘルスアラートの有効化状態", _xlfn.REGEXTEST(C37, "Triggers"), "カスタムアラート条件（トリガー設定）", _xlfn.REGEXTEST(C37, "Healthy Kafka Broker"), "Kafka Brokerの健全ノード割合（稼働率）", _xlfn.REGEXTEST(C37, "Healthy Kafka Connect"), "Kafka Connectの健全ノード割合（稼働率）", _xlfn.REGEXTEST(C37, "Healthy KRaft Controller"), "KRaft Controllerの健全ノード割合（稼働率）", _xlfn.REGEXTEST(C37, "Healthy Knox IDBroker"), "Knox IDBrokerの健全ノード割合（稼働率）", _xlfn.REGEXTEST(C37, "Healthy Knox Gateway"), "Knox Gatewayの健全ノード割合（稼働率）", _xlfn.REGEXTEST(C37, "Healthy ZooKeeper Server"), "ZooKeeper Serverの健全ノード割合（稼働率）", _xlfn.REGEXTEST(C37, "Healthy NodeManager"), "NodeManagerの健全ノード割合（稼働率）", _xlfn.REGEXTEST(C37, "Maximum Latency"), "リクエストの最大レイテンシ（処理遅延）", _xlfn.REGEXTEST(C37, "Garbage Collection Duration"), "Javaのガベージコレクション（GC）の所要時間", _xlfn.REGEXTEST(C37, "Spool Directory Usage"), "Rangerプラグインのスプールディレクトリ使用量", _xlfn.REGEXTEST(C37, "Process Directory Free Space Monitoring Absolute"), "プロセスディレクトリの空き容量（絶対値)", _xlfn.REGEXTEST(C37, "Process Directory Free Space.*Percentage"), "プロセスディレクトリの空き容量割合（%）", _xlfn.REGEXTEST(C37, "Parcel Directory Free Space.*Absolute"), "パーセルディレクトリの空き容量（絶対値）", _xlfn.REGEXTEST(C37, "Parcel Directory Free Space.*Percentage"), "パーセルディレクトリの空き容量割合（%）", _xlfn.REGEXTEST(C37, "Host Network Frame Error Percentage"), "ホストのネットワークフレームエラー割合（%）", _xlfn.REGEXTEST(C37, "Network Interfaces Slow Link Modes"), "ホストのネットワークインターフェースの低速リンクモード検出", _xlfn.REGEXTEST(C37, "Host Memory Swapping"), "ホストのメモリのスワップ発生状態", TRUE, "要手動確認")</f>
        <v>ログ出力レベルの閾値設定</v>
      </c>
      <c r="H37" s="479" t="s">
        <v>775</v>
      </c>
    </row>
    <row r="38" spans="1:8" ht="16.899999999999999">
      <c r="A38" s="514"/>
      <c r="B38" s="472" t="s">
        <v>783</v>
      </c>
      <c r="C38" s="471" t="s">
        <v>784</v>
      </c>
      <c r="D38" s="471" t="s">
        <v>772</v>
      </c>
      <c r="E38" s="471" t="s">
        <v>785</v>
      </c>
      <c r="F38" s="471"/>
      <c r="G38" s="471" t="str" cm="1">
        <f t="array" ref="G38">_xlfn.IFS(C38 = "", "", _xlfn.REGEXTEST(C38, "Host Clock Offset"), "ホストのクロックオフセット（時刻同期のズレ）", _xlfn.REGEXTEST(C38, "Memory Overcommit Validation"), "メモリオーバーコミット設定の検証", _xlfn.REGEXTEST(C38, "Gateway Logging"), "ゲートウェイのログ出力設定", _xlfn.REGEXTEST(C38, "CPU Balance"), "CPU使用率の分散バランス状態", _xlfn.REGEXTEST(C38, "Disk Balance"), "ディスク使用量の分散バランス状態", _xlfn.REGEXTEST(C38, "Network Inbound Balance"), "ネットワークインバウンド（受信）の分散バランス状態", _xlfn.REGEXTEST(C38, "Network Outbound Balance"), "ネットワークアウトバウンド（送信）の分散バランス状態", _xlfn.REGEXTEST(C38, "Replica Count Balance"), "レプリカ数の分散バランス状態", _xlfn.REGEXTEST(C38, "Disk Capacity"), "ディスク総容量の限界・使用容量", _xlfn.REGEXTEST(C38, "CPU Capacity"), "CPU総処理能力の限界・使用量", _xlfn.REGEXTEST(C38, "Network Inbound Capacity"), "ネットワークインバウンド（受信）帯域の限界・使用量", _xlfn.REGEXTEST(C38, "Network Outbound Capacity"), "ネットワークアウトバウンド（送信）帯域の限界・使用量", _xlfn.REGEXTEST(C38, "Leader Replica Count Balance"), "リーダーレプリカ数の分散バランス状態", _xlfn.REGEXTEST(C38, "Host DNS Resolution Duration"), "ホストのDNS名前解決の所要時間", _xlfn.REGEXTEST(C38, "TLS Certificate Expiry"), "TLS証明書の有効期限切れ", _xlfn.REGEXTEST(C38, "Host Entropy"), "ホストのエントロピー（乱数生成能力）の不足", _xlfn.REGEXTEST(C38, "File Descriptor"), "プロセスのファイルディスクリプタ使用率", _xlfn.REGEXTEST(C38, "Unexpected Exits"), "プロセスの異常終了（予期せぬ停止）", _xlfn.REGEXTEST(C38, "Swap Memory Thresholds"), "プロセスのスワップメモリ使用量", _xlfn.REGEXTEST(C38, "Swap Memory Usage Rate"), "スワップメモリ使用量の変化率（増加速度）", _xlfn.REGEXTEST(C38, "Log Directory Free Space.*Absolute"), "ログディレクトリの空き容量（絶対値）", _xlfn.REGEXTEST(C38, "Log Directory Free Space.*Percentage"), "ログディレクトリの空き容量割合（%）", _xlfn.REGEXTEST(C38, "Heap Dump Directory Free Space.*Absolute"), "ヒープダンプディレクトリの空き容量（絶対値）", _xlfn.REGEXTEST(C38, "Heap Dump Directory Free Space.*Percentage"), "ヒープダンプディレクトリの空き容量割合（%）", _xlfn.REGEXTEST(C38, "Data Directory Free Space.*Absolute"), "データディレクトリの空き容量（絶対値）", _xlfn.REGEXTEST(C38, "Data Directory Free Space.*Percentage"), "データディレクトリの空き容量割合（%）", _xlfn.REGEXTEST(C38, "Transaction Log Directory Free Space.*Absolute"), "トランザクションログディレクトリの空き容量（絶対値）", _xlfn.REGEXTEST(C38, "Logging Threshold|Logger Threshold"), "ログ出力レベルの閾値設定", _xlfn.REGEXTEST(C38, "Enable.*Alerts"), "ヘルスアラートの有効化状態", _xlfn.REGEXTEST(C38, "Triggers"), "カスタムアラート条件（トリガー設定）", _xlfn.REGEXTEST(C38, "Healthy Kafka Broker"), "Kafka Brokerの健全ノード割合（稼働率）", _xlfn.REGEXTEST(C38, "Healthy Kafka Connect"), "Kafka Connectの健全ノード割合（稼働率）", _xlfn.REGEXTEST(C38, "Healthy KRaft Controller"), "KRaft Controllerの健全ノード割合（稼働率）", _xlfn.REGEXTEST(C38, "Healthy Knox IDBroker"), "Knox IDBrokerの健全ノード割合（稼働率）", _xlfn.REGEXTEST(C38, "Healthy Knox Gateway"), "Knox Gatewayの健全ノード割合（稼働率）", _xlfn.REGEXTEST(C38, "Healthy ZooKeeper Server"), "ZooKeeper Serverの健全ノード割合（稼働率）", _xlfn.REGEXTEST(C38, "Healthy NodeManager"), "NodeManagerの健全ノード割合（稼働率）", _xlfn.REGEXTEST(C38, "Maximum Latency"), "リクエストの最大レイテンシ（処理遅延）", _xlfn.REGEXTEST(C38, "Garbage Collection Duration"), "Javaのガベージコレクション（GC）の所要時間", _xlfn.REGEXTEST(C38, "Spool Directory Usage"), "Rangerプラグインのスプールディレクトリ使用量", _xlfn.REGEXTEST(C38, "Process Directory Free Space Monitoring Absolute"), "プロセスディレクトリの空き容量（絶対値)", _xlfn.REGEXTEST(C38, "Process Directory Free Space.*Percentage"), "プロセスディレクトリの空き容量割合（%）", _xlfn.REGEXTEST(C38, "Parcel Directory Free Space.*Absolute"), "パーセルディレクトリの空き容量（絶対値）", _xlfn.REGEXTEST(C38, "Parcel Directory Free Space.*Percentage"), "パーセルディレクトリの空き容量割合（%）", _xlfn.REGEXTEST(C38, "Host Network Frame Error Percentage"), "ホストのネットワークフレームエラー割合（%）", _xlfn.REGEXTEST(C38, "Network Interfaces Slow Link Modes"), "ホストのネットワークインターフェースの低速リンクモード検出", _xlfn.REGEXTEST(C38, "Host Memory Swapping"), "ホストのメモリのスワップ発生状態", TRUE, "要手動確認")</f>
        <v>ログ出力レベルの閾値設定</v>
      </c>
      <c r="H38" s="479" t="s">
        <v>775</v>
      </c>
    </row>
    <row r="39" spans="1:8" ht="16.899999999999999">
      <c r="A39" s="468"/>
      <c r="B39" s="473"/>
      <c r="C39" s="471" t="s">
        <v>786</v>
      </c>
      <c r="D39" s="471" t="s">
        <v>772</v>
      </c>
      <c r="E39" s="471" t="s">
        <v>787</v>
      </c>
      <c r="F39" s="471"/>
      <c r="G39" s="471" t="str" cm="1">
        <f t="array" ref="G39">_xlfn.IFS(C39 = "", "", _xlfn.REGEXTEST(C39, "Host Clock Offset"), "ホストのクロックオフセット（時刻同期のズレ）", _xlfn.REGEXTEST(C39, "Memory Overcommit Validation"), "メモリオーバーコミット設定の検証", _xlfn.REGEXTEST(C39, "Gateway Logging"), "ゲートウェイのログ出力設定", _xlfn.REGEXTEST(C39, "CPU Balance"), "CPU使用率の分散バランス状態", _xlfn.REGEXTEST(C39, "Disk Balance"), "ディスク使用量の分散バランス状態", _xlfn.REGEXTEST(C39, "Network Inbound Balance"), "ネットワークインバウンド（受信）の分散バランス状態", _xlfn.REGEXTEST(C39, "Network Outbound Balance"), "ネットワークアウトバウンド（送信）の分散バランス状態", _xlfn.REGEXTEST(C39, "Replica Count Balance"), "レプリカ数の分散バランス状態", _xlfn.REGEXTEST(C39, "Disk Capacity"), "ディスク総容量の限界・使用容量", _xlfn.REGEXTEST(C39, "CPU Capacity"), "CPU総処理能力の限界・使用量", _xlfn.REGEXTEST(C39, "Network Inbound Capacity"), "ネットワークインバウンド（受信）帯域の限界・使用量", _xlfn.REGEXTEST(C39, "Network Outbound Capacity"), "ネットワークアウトバウンド（送信）帯域の限界・使用量", _xlfn.REGEXTEST(C39, "Leader Replica Count Balance"), "リーダーレプリカ数の分散バランス状態", _xlfn.REGEXTEST(C39, "Host DNS Resolution Duration"), "ホストのDNS名前解決の所要時間", _xlfn.REGEXTEST(C39, "TLS Certificate Expiry"), "TLS証明書の有効期限切れ", _xlfn.REGEXTEST(C39, "Host Entropy"), "ホストのエントロピー（乱数生成能力）の不足", _xlfn.REGEXTEST(C39, "File Descriptor"), "プロセスのファイルディスクリプタ使用率", _xlfn.REGEXTEST(C39, "Unexpected Exits"), "プロセスの異常終了（予期せぬ停止）", _xlfn.REGEXTEST(C39, "Swap Memory Thresholds"), "プロセスのスワップメモリ使用量", _xlfn.REGEXTEST(C39, "Swap Memory Usage Rate"), "スワップメモリ使用量の変化率（増加速度）", _xlfn.REGEXTEST(C39, "Log Directory Free Space.*Absolute"), "ログディレクトリの空き容量（絶対値）", _xlfn.REGEXTEST(C39, "Log Directory Free Space.*Percentage"), "ログディレクトリの空き容量割合（%）", _xlfn.REGEXTEST(C39, "Heap Dump Directory Free Space.*Absolute"), "ヒープダンプディレクトリの空き容量（絶対値）", _xlfn.REGEXTEST(C39, "Heap Dump Directory Free Space.*Percentage"), "ヒープダンプディレクトリの空き容量割合（%）", _xlfn.REGEXTEST(C39, "Data Directory Free Space.*Absolute"), "データディレクトリの空き容量（絶対値）", _xlfn.REGEXTEST(C39, "Data Directory Free Space.*Percentage"), "データディレクトリの空き容量割合（%）", _xlfn.REGEXTEST(C39, "Transaction Log Directory Free Space.*Absolute"), "トランザクションログディレクトリの空き容量（絶対値）", _xlfn.REGEXTEST(C39, "Logging Threshold|Logger Threshold"), "ログ出力レベルの閾値設定", _xlfn.REGEXTEST(C39, "Enable.*Alerts"), "ヘルスアラートの有効化状態", _xlfn.REGEXTEST(C39, "Triggers"), "カスタムアラート条件（トリガー設定）", _xlfn.REGEXTEST(C39, "Healthy Kafka Broker"), "Kafka Brokerの健全ノード割合（稼働率）", _xlfn.REGEXTEST(C39, "Healthy Kafka Connect"), "Kafka Connectの健全ノード割合（稼働率）", _xlfn.REGEXTEST(C39, "Healthy KRaft Controller"), "KRaft Controllerの健全ノード割合（稼働率）", _xlfn.REGEXTEST(C39, "Healthy Knox IDBroker"), "Knox IDBrokerの健全ノード割合（稼働率）", _xlfn.REGEXTEST(C39, "Healthy Knox Gateway"), "Knox Gatewayの健全ノード割合（稼働率）", _xlfn.REGEXTEST(C39, "Healthy ZooKeeper Server"), "ZooKeeper Serverの健全ノード割合（稼働率）", _xlfn.REGEXTEST(C39, "Healthy NodeManager"), "NodeManagerの健全ノード割合（稼働率）", _xlfn.REGEXTEST(C39, "Maximum Latency"), "リクエストの最大レイテンシ（処理遅延）", _xlfn.REGEXTEST(C39, "Garbage Collection Duration"), "Javaのガベージコレクション（GC）の所要時間", _xlfn.REGEXTEST(C39, "Spool Directory Usage"), "Rangerプラグインのスプールディレクトリ使用量", _xlfn.REGEXTEST(C39, "Process Directory Free Space Monitoring Absolute"), "プロセスディレクトリの空き容量（絶対値)", _xlfn.REGEXTEST(C39, "Process Directory Free Space.*Percentage"), "プロセスディレクトリの空き容量割合（%）", _xlfn.REGEXTEST(C39, "Parcel Directory Free Space.*Absolute"), "パーセルディレクトリの空き容量（絶対値）", _xlfn.REGEXTEST(C39, "Parcel Directory Free Space.*Percentage"), "パーセルディレクトリの空き容量割合（%）", _xlfn.REGEXTEST(C39, "Host Network Frame Error Percentage"), "ホストのネットワークフレームエラー割合（%）", _xlfn.REGEXTEST(C39, "Network Interfaces Slow Link Modes"), "ホストのネットワークインターフェースの低速リンクモード検出", _xlfn.REGEXTEST(C39, "Host Memory Swapping"), "ホストのメモリのスワップ発生状態", TRUE, "要手動確認")</f>
        <v>ログ出力レベルの閾値設定</v>
      </c>
      <c r="H39" s="479" t="s">
        <v>775</v>
      </c>
    </row>
    <row r="40" spans="1:8" ht="16.899999999999999">
      <c r="A40" s="468"/>
      <c r="B40" s="473"/>
      <c r="C40" s="471" t="s">
        <v>788</v>
      </c>
      <c r="D40" s="471" t="s">
        <v>710</v>
      </c>
      <c r="E40" s="471" t="s">
        <v>789</v>
      </c>
      <c r="F40" s="471"/>
      <c r="G40" s="471" t="str" cm="1">
        <f t="array" ref="G40">_xlfn.IFS(C40 = "", "", _xlfn.REGEXTEST(C40, "Host Clock Offset"), "ホストのクロックオフセット（時刻同期のズレ）", _xlfn.REGEXTEST(C40, "Memory Overcommit Validation"), "メモリオーバーコミット設定の検証", _xlfn.REGEXTEST(C40, "Gateway Logging"), "ゲートウェイのログ出力設定", _xlfn.REGEXTEST(C40, "CPU Balance"), "CPU使用率の分散バランス状態", _xlfn.REGEXTEST(C40, "Disk Balance"), "ディスク使用量の分散バランス状態", _xlfn.REGEXTEST(C40, "Network Inbound Balance"), "ネットワークインバウンド（受信）の分散バランス状態", _xlfn.REGEXTEST(C40, "Network Outbound Balance"), "ネットワークアウトバウンド（送信）の分散バランス状態", _xlfn.REGEXTEST(C40, "Replica Count Balance"), "レプリカ数の分散バランス状態", _xlfn.REGEXTEST(C40, "Disk Capacity"), "ディスク総容量の限界・使用容量", _xlfn.REGEXTEST(C40, "CPU Capacity"), "CPU総処理能力の限界・使用量", _xlfn.REGEXTEST(C40, "Network Inbound Capacity"), "ネットワークインバウンド（受信）帯域の限界・使用量", _xlfn.REGEXTEST(C40, "Network Outbound Capacity"), "ネットワークアウトバウンド（送信）帯域の限界・使用量", _xlfn.REGEXTEST(C40, "Leader Replica Count Balance"), "リーダーレプリカ数の分散バランス状態", _xlfn.REGEXTEST(C40, "Host DNS Resolution Duration"), "ホストのDNS名前解決の所要時間", _xlfn.REGEXTEST(C40, "TLS Certificate Expiry"), "TLS証明書の有効期限切れ", _xlfn.REGEXTEST(C40, "Host Entropy"), "ホストのエントロピー（乱数生成能力）の不足", _xlfn.REGEXTEST(C40, "File Descriptor"), "プロセスのファイルディスクリプタ使用率", _xlfn.REGEXTEST(C40, "Unexpected Exits"), "プロセスの異常終了（予期せぬ停止）", _xlfn.REGEXTEST(C40, "Swap Memory Thresholds"), "プロセスのスワップメモリ使用量", _xlfn.REGEXTEST(C40, "Swap Memory Usage Rate"), "スワップメモリ使用量の変化率（増加速度）", _xlfn.REGEXTEST(C40, "Log Directory Free Space.*Absolute"), "ログディレクトリの空き容量（絶対値）", _xlfn.REGEXTEST(C40, "Log Directory Free Space.*Percentage"), "ログディレクトリの空き容量割合（%）", _xlfn.REGEXTEST(C40, "Heap Dump Directory Free Space.*Absolute"), "ヒープダンプディレクトリの空き容量（絶対値）", _xlfn.REGEXTEST(C40, "Heap Dump Directory Free Space.*Percentage"), "ヒープダンプディレクトリの空き容量割合（%）", _xlfn.REGEXTEST(C40, "Data Directory Free Space.*Absolute"), "データディレクトリの空き容量（絶対値）", _xlfn.REGEXTEST(C40, "Data Directory Free Space.*Percentage"), "データディレクトリの空き容量割合（%）", _xlfn.REGEXTEST(C40, "Transaction Log Directory Free Space.*Absolute"), "トランザクションログディレクトリの空き容量（絶対値）", _xlfn.REGEXTEST(C40, "Logging Threshold|Logger Threshold"), "ログ出力レベルの閾値設定", _xlfn.REGEXTEST(C40, "Enable.*Alerts"), "ヘルスアラートの有効化状態", _xlfn.REGEXTEST(C40, "Triggers"), "カスタムアラート条件（トリガー設定）", _xlfn.REGEXTEST(C40, "Healthy Kafka Broker"), "Kafka Brokerの健全ノード割合（稼働率）", _xlfn.REGEXTEST(C40, "Healthy Kafka Connect"), "Kafka Connectの健全ノード割合（稼働率）", _xlfn.REGEXTEST(C40, "Healthy KRaft Controller"), "KRaft Controllerの健全ノード割合（稼働率）", _xlfn.REGEXTEST(C40, "Healthy Knox IDBroker"), "Knox IDBrokerの健全ノード割合（稼働率）", _xlfn.REGEXTEST(C40, "Healthy Knox Gateway"), "Knox Gatewayの健全ノード割合（稼働率）", _xlfn.REGEXTEST(C40, "Healthy ZooKeeper Server"), "ZooKeeper Serverの健全ノード割合（稼働率）", _xlfn.REGEXTEST(C40, "Healthy NodeManager"), "NodeManagerの健全ノード割合（稼働率）", _xlfn.REGEXTEST(C40, "Maximum Latency"), "リクエストの最大レイテンシ（処理遅延）", _xlfn.REGEXTEST(C40, "Garbage Collection Duration"), "Javaのガベージコレクション（GC）の所要時間", _xlfn.REGEXTEST(C40, "Spool Directory Usage"), "Rangerプラグインのスプールディレクトリ使用量", _xlfn.REGEXTEST(C40, "Process Directory Free Space Monitoring Absolute"), "プロセスディレクトリの空き容量（絶対値)", _xlfn.REGEXTEST(C40, "Process Directory Free Space.*Percentage"), "プロセスディレクトリの空き容量割合（%）", _xlfn.REGEXTEST(C40, "Parcel Directory Free Space.*Absolute"), "パーセルディレクトリの空き容量（絶対値）", _xlfn.REGEXTEST(C40, "Parcel Directory Free Space.*Percentage"), "パーセルディレクトリの空き容量割合（%）", _xlfn.REGEXTEST(C40, "Host Network Frame Error Percentage"), "ホストのネットワークフレームエラー割合（%）", _xlfn.REGEXTEST(C40, "Network Interfaces Slow Link Modes"), "ホストのネットワークインターフェースの低速リンクモード検出", _xlfn.REGEXTEST(C40, "Host Memory Swapping"), "ホストのメモリのスワップ発生状態", TRUE, "要手動確認")</f>
        <v>ヘルスアラートの有効化状態</v>
      </c>
      <c r="H40" s="479" t="s">
        <v>790</v>
      </c>
    </row>
    <row r="41" spans="1:8" ht="16.899999999999999">
      <c r="A41" s="468"/>
      <c r="B41" s="473"/>
      <c r="C41" s="471" t="s">
        <v>791</v>
      </c>
      <c r="D41" s="471" t="s">
        <v>792</v>
      </c>
      <c r="E41" s="471" t="s">
        <v>789</v>
      </c>
      <c r="F41" s="471"/>
      <c r="G41" s="471" t="str" cm="1">
        <f t="array" ref="G41">_xlfn.IFS(C41 = "", "", _xlfn.REGEXTEST(C41, "Host Clock Offset"), "ホストのクロックオフセット（時刻同期のズレ）", _xlfn.REGEXTEST(C41, "Memory Overcommit Validation"), "メモリオーバーコミット設定の検証", _xlfn.REGEXTEST(C41, "Gateway Logging"), "ゲートウェイのログ出力設定", _xlfn.REGEXTEST(C41, "CPU Balance"), "CPU使用率の分散バランス状態", _xlfn.REGEXTEST(C41, "Disk Balance"), "ディスク使用量の分散バランス状態", _xlfn.REGEXTEST(C41, "Network Inbound Balance"), "ネットワークインバウンド（受信）の分散バランス状態", _xlfn.REGEXTEST(C41, "Network Outbound Balance"), "ネットワークアウトバウンド（送信）の分散バランス状態", _xlfn.REGEXTEST(C41, "Replica Count Balance"), "レプリカ数の分散バランス状態", _xlfn.REGEXTEST(C41, "Disk Capacity"), "ディスク総容量の限界・使用容量", _xlfn.REGEXTEST(C41, "CPU Capacity"), "CPU総処理能力の限界・使用量", _xlfn.REGEXTEST(C41, "Network Inbound Capacity"), "ネットワークインバウンド（受信）帯域の限界・使用量", _xlfn.REGEXTEST(C41, "Network Outbound Capacity"), "ネットワークアウトバウンド（送信）帯域の限界・使用量", _xlfn.REGEXTEST(C41, "Leader Replica Count Balance"), "リーダーレプリカ数の分散バランス状態", _xlfn.REGEXTEST(C41, "Host DNS Resolution Duration"), "ホストのDNS名前解決の所要時間", _xlfn.REGEXTEST(C41, "TLS Certificate Expiry"), "TLS証明書の有効期限切れ", _xlfn.REGEXTEST(C41, "Host Entropy"), "ホストのエントロピー（乱数生成能力）の不足", _xlfn.REGEXTEST(C41, "File Descriptor"), "プロセスのファイルディスクリプタ使用率", _xlfn.REGEXTEST(C41, "Unexpected Exits"), "プロセスの異常終了（予期せぬ停止）", _xlfn.REGEXTEST(C41, "Swap Memory Thresholds"), "プロセスのスワップメモリ使用量", _xlfn.REGEXTEST(C41, "Swap Memory Usage Rate"), "スワップメモリ使用量の変化率（増加速度）", _xlfn.REGEXTEST(C41, "Log Directory Free Space.*Absolute"), "ログディレクトリの空き容量（絶対値）", _xlfn.REGEXTEST(C41, "Log Directory Free Space.*Percentage"), "ログディレクトリの空き容量割合（%）", _xlfn.REGEXTEST(C41, "Heap Dump Directory Free Space.*Absolute"), "ヒープダンプディレクトリの空き容量（絶対値）", _xlfn.REGEXTEST(C41, "Heap Dump Directory Free Space.*Percentage"), "ヒープダンプディレクトリの空き容量割合（%）", _xlfn.REGEXTEST(C41, "Data Directory Free Space.*Absolute"), "データディレクトリの空き容量（絶対値）", _xlfn.REGEXTEST(C41, "Data Directory Free Space.*Percentage"), "データディレクトリの空き容量割合（%）", _xlfn.REGEXTEST(C41, "Transaction Log Directory Free Space.*Absolute"), "トランザクションログディレクトリの空き容量（絶対値）", _xlfn.REGEXTEST(C41, "Logging Threshold|Logger Threshold"), "ログ出力レベルの閾値設定", _xlfn.REGEXTEST(C41, "Enable.*Alerts"), "ヘルスアラートの有効化状態", _xlfn.REGEXTEST(C41, "Triggers"), "カスタムアラート条件（トリガー設定）", _xlfn.REGEXTEST(C41, "Healthy Kafka Broker"), "Kafka Brokerの健全ノード割合（稼働率）", _xlfn.REGEXTEST(C41, "Healthy Kafka Connect"), "Kafka Connectの健全ノード割合（稼働率）", _xlfn.REGEXTEST(C41, "Healthy KRaft Controller"), "KRaft Controllerの健全ノード割合（稼働率）", _xlfn.REGEXTEST(C41, "Healthy Knox IDBroker"), "Knox IDBrokerの健全ノード割合（稼働率）", _xlfn.REGEXTEST(C41, "Healthy Knox Gateway"), "Knox Gatewayの健全ノード割合（稼働率）", _xlfn.REGEXTEST(C41, "Healthy ZooKeeper Server"), "ZooKeeper Serverの健全ノード割合（稼働率）", _xlfn.REGEXTEST(C41, "Healthy NodeManager"), "NodeManagerの健全ノード割合（稼働率）", _xlfn.REGEXTEST(C41, "Maximum Latency"), "リクエストの最大レイテンシ（処理遅延）", _xlfn.REGEXTEST(C41, "Garbage Collection Duration"), "Javaのガベージコレクション（GC）の所要時間", _xlfn.REGEXTEST(C41, "Spool Directory Usage"), "Rangerプラグインのスプールディレクトリ使用量", _xlfn.REGEXTEST(C41, "Process Directory Free Space Monitoring Absolute"), "プロセスディレクトリの空き容量（絶対値)", _xlfn.REGEXTEST(C41, "Process Directory Free Space.*Percentage"), "プロセスディレクトリの空き容量割合（%）", _xlfn.REGEXTEST(C41, "Parcel Directory Free Space.*Absolute"), "パーセルディレクトリの空き容量（絶対値）", _xlfn.REGEXTEST(C41, "Parcel Directory Free Space.*Percentage"), "パーセルディレクトリの空き容量割合（%）", _xlfn.REGEXTEST(C41, "Host Network Frame Error Percentage"), "ホストのネットワークフレームエラー割合（%）", _xlfn.REGEXTEST(C41, "Network Interfaces Slow Link Modes"), "ホストのネットワークインターフェースの低速リンクモード検出", _xlfn.REGEXTEST(C41, "Host Memory Swapping"), "ホストのメモリのスワップ発生状態", TRUE, "要手動確認")</f>
        <v>カスタムアラート条件（トリガー設定）</v>
      </c>
      <c r="H41" s="479" t="s">
        <v>754</v>
      </c>
    </row>
    <row r="42" spans="1:8" ht="33.6">
      <c r="A42" s="468"/>
      <c r="B42" s="473"/>
      <c r="C42" s="471" t="s">
        <v>793</v>
      </c>
      <c r="D42" s="471" t="s">
        <v>794</v>
      </c>
      <c r="E42" s="471" t="s">
        <v>789</v>
      </c>
      <c r="F42" s="471"/>
      <c r="G42" s="471" t="str" cm="1">
        <f t="array" ref="G42">_xlfn.IFS(C42 = "", "", _xlfn.REGEXTEST(C42, "Host Clock Offset"), "ホストのクロックオフセット（時刻同期のズレ）", _xlfn.REGEXTEST(C42, "Memory Overcommit Validation"), "メモリオーバーコミット設定の検証", _xlfn.REGEXTEST(C42, "Gateway Logging"), "ゲートウェイのログ出力設定", _xlfn.REGEXTEST(C42, "CPU Balance"), "CPU使用率の分散バランス状態", _xlfn.REGEXTEST(C42, "Disk Balance"), "ディスク使用量の分散バランス状態", _xlfn.REGEXTEST(C42, "Network Inbound Balance"), "ネットワークインバウンド（受信）の分散バランス状態", _xlfn.REGEXTEST(C42, "Network Outbound Balance"), "ネットワークアウトバウンド（送信）の分散バランス状態", _xlfn.REGEXTEST(C42, "Replica Count Balance"), "レプリカ数の分散バランス状態", _xlfn.REGEXTEST(C42, "Disk Capacity"), "ディスク総容量の限界・使用容量", _xlfn.REGEXTEST(C42, "CPU Capacity"), "CPU総処理能力の限界・使用量", _xlfn.REGEXTEST(C42, "Network Inbound Capacity"), "ネットワークインバウンド（受信）帯域の限界・使用量", _xlfn.REGEXTEST(C42, "Network Outbound Capacity"), "ネットワークアウトバウンド（送信）帯域の限界・使用量", _xlfn.REGEXTEST(C42, "Leader Replica Count Balance"), "リーダーレプリカ数の分散バランス状態", _xlfn.REGEXTEST(C42, "Host DNS Resolution Duration"), "ホストのDNS名前解決の所要時間", _xlfn.REGEXTEST(C42, "TLS Certificate Expiry"), "TLS証明書の有効期限切れ", _xlfn.REGEXTEST(C42, "Host Entropy"), "ホストのエントロピー（乱数生成能力）の不足", _xlfn.REGEXTEST(C42, "File Descriptor"), "プロセスのファイルディスクリプタ使用率", _xlfn.REGEXTEST(C42, "Unexpected Exits"), "プロセスの異常終了（予期せぬ停止）", _xlfn.REGEXTEST(C42, "Swap Memory Thresholds"), "プロセスのスワップメモリ使用量", _xlfn.REGEXTEST(C42, "Swap Memory Usage Rate"), "スワップメモリ使用量の変化率（増加速度）", _xlfn.REGEXTEST(C42, "Log Directory Free Space.*Absolute"), "ログディレクトリの空き容量（絶対値）", _xlfn.REGEXTEST(C42, "Log Directory Free Space.*Percentage"), "ログディレクトリの空き容量割合（%）", _xlfn.REGEXTEST(C42, "Heap Dump Directory Free Space.*Absolute"), "ヒープダンプディレクトリの空き容量（絶対値）", _xlfn.REGEXTEST(C42, "Heap Dump Directory Free Space.*Percentage"), "ヒープダンプディレクトリの空き容量割合（%）", _xlfn.REGEXTEST(C42, "Data Directory Free Space.*Absolute"), "データディレクトリの空き容量（絶対値）", _xlfn.REGEXTEST(C42, "Data Directory Free Space.*Percentage"), "データディレクトリの空き容量割合（%）", _xlfn.REGEXTEST(C42, "Transaction Log Directory Free Space.*Absolute"), "トランザクションログディレクトリの空き容量（絶対値）", _xlfn.REGEXTEST(C42, "Logging Threshold|Logger Threshold"), "ログ出力レベルの閾値設定", _xlfn.REGEXTEST(C42, "Enable.*Alerts"), "ヘルスアラートの有効化状態", _xlfn.REGEXTEST(C42, "Triggers"), "カスタムアラート条件（トリガー設定）", _xlfn.REGEXTEST(C42, "Healthy Kafka Broker"), "Kafka Brokerの健全ノード割合（稼働率）", _xlfn.REGEXTEST(C42, "Healthy Kafka Connect"), "Kafka Connectの健全ノード割合（稼働率）", _xlfn.REGEXTEST(C42, "Healthy KRaft Controller"), "KRaft Controllerの健全ノード割合（稼働率）", _xlfn.REGEXTEST(C42, "Healthy Knox IDBroker"), "Knox IDBrokerの健全ノード割合（稼働率）", _xlfn.REGEXTEST(C42, "Healthy Knox Gateway"), "Knox Gatewayの健全ノード割合（稼働率）", _xlfn.REGEXTEST(C42, "Healthy ZooKeeper Server"), "ZooKeeper Serverの健全ノード割合（稼働率）", _xlfn.REGEXTEST(C42, "Healthy NodeManager"), "NodeManagerの健全ノード割合（稼働率）", _xlfn.REGEXTEST(C42, "Maximum Latency"), "リクエストの最大レイテンシ（処理遅延）", _xlfn.REGEXTEST(C42, "Garbage Collection Duration"), "Javaのガベージコレクション（GC）の所要時間", _xlfn.REGEXTEST(C42, "Spool Directory Usage"), "Rangerプラグインのスプールディレクトリ使用量", _xlfn.REGEXTEST(C42, "Process Directory Free Space Monitoring Absolute"), "プロセスディレクトリの空き容量（絶対値)", _xlfn.REGEXTEST(C42, "Process Directory Free Space.*Percentage"), "プロセスディレクトリの空き容量割合（%）", _xlfn.REGEXTEST(C42, "Parcel Directory Free Space.*Absolute"), "パーセルディレクトリの空き容量（絶対値）", _xlfn.REGEXTEST(C42, "Parcel Directory Free Space.*Percentage"), "パーセルディレクトリの空き容量割合（%）", _xlfn.REGEXTEST(C42, "Host Network Frame Error Percentage"), "ホストのネットワークフレームエラー割合（%）", _xlfn.REGEXTEST(C42, "Network Interfaces Slow Link Modes"), "ホストのネットワークインターフェースの低速リンクモード検出", _xlfn.REGEXTEST(C42, "Host Memory Swapping"), "ホストのメモリのスワップ発生状態", TRUE, "要手動確認")</f>
        <v>Knox IDBrokerの健全ノード割合（稼働率）</v>
      </c>
      <c r="H42" s="479" t="s">
        <v>795</v>
      </c>
    </row>
    <row r="43" spans="1:8" ht="33.6">
      <c r="A43" s="468"/>
      <c r="B43" s="473"/>
      <c r="C43" s="471" t="s">
        <v>796</v>
      </c>
      <c r="D43" s="471" t="s">
        <v>797</v>
      </c>
      <c r="E43" s="471" t="s">
        <v>789</v>
      </c>
      <c r="F43" s="471"/>
      <c r="G43" s="471" t="str" cm="1">
        <f t="array" ref="G43">_xlfn.IFS(C43 = "", "", _xlfn.REGEXTEST(C43, "Host Clock Offset"), "ホストのクロックオフセット（時刻同期のズレ）", _xlfn.REGEXTEST(C43, "Memory Overcommit Validation"), "メモリオーバーコミット設定の検証", _xlfn.REGEXTEST(C43, "Gateway Logging"), "ゲートウェイのログ出力設定", _xlfn.REGEXTEST(C43, "CPU Balance"), "CPU使用率の分散バランス状態", _xlfn.REGEXTEST(C43, "Disk Balance"), "ディスク使用量の分散バランス状態", _xlfn.REGEXTEST(C43, "Network Inbound Balance"), "ネットワークインバウンド（受信）の分散バランス状態", _xlfn.REGEXTEST(C43, "Network Outbound Balance"), "ネットワークアウトバウンド（送信）の分散バランス状態", _xlfn.REGEXTEST(C43, "Replica Count Balance"), "レプリカ数の分散バランス状態", _xlfn.REGEXTEST(C43, "Disk Capacity"), "ディスク総容量の限界・使用容量", _xlfn.REGEXTEST(C43, "CPU Capacity"), "CPU総処理能力の限界・使用量", _xlfn.REGEXTEST(C43, "Network Inbound Capacity"), "ネットワークインバウンド（受信）帯域の限界・使用量", _xlfn.REGEXTEST(C43, "Network Outbound Capacity"), "ネットワークアウトバウンド（送信）帯域の限界・使用量", _xlfn.REGEXTEST(C43, "Leader Replica Count Balance"), "リーダーレプリカ数の分散バランス状態", _xlfn.REGEXTEST(C43, "Host DNS Resolution Duration"), "ホストのDNS名前解決の所要時間", _xlfn.REGEXTEST(C43, "TLS Certificate Expiry"), "TLS証明書の有効期限切れ", _xlfn.REGEXTEST(C43, "Host Entropy"), "ホストのエントロピー（乱数生成能力）の不足", _xlfn.REGEXTEST(C43, "File Descriptor"), "プロセスのファイルディスクリプタ使用率", _xlfn.REGEXTEST(C43, "Unexpected Exits"), "プロセスの異常終了（予期せぬ停止）", _xlfn.REGEXTEST(C43, "Swap Memory Thresholds"), "プロセスのスワップメモリ使用量", _xlfn.REGEXTEST(C43, "Swap Memory Usage Rate"), "スワップメモリ使用量の変化率（増加速度）", _xlfn.REGEXTEST(C43, "Log Directory Free Space.*Absolute"), "ログディレクトリの空き容量（絶対値）", _xlfn.REGEXTEST(C43, "Log Directory Free Space.*Percentage"), "ログディレクトリの空き容量割合（%）", _xlfn.REGEXTEST(C43, "Heap Dump Directory Free Space.*Absolute"), "ヒープダンプディレクトリの空き容量（絶対値）", _xlfn.REGEXTEST(C43, "Heap Dump Directory Free Space.*Percentage"), "ヒープダンプディレクトリの空き容量割合（%）", _xlfn.REGEXTEST(C43, "Data Directory Free Space.*Absolute"), "データディレクトリの空き容量（絶対値）", _xlfn.REGEXTEST(C43, "Data Directory Free Space.*Percentage"), "データディレクトリの空き容量割合（%）", _xlfn.REGEXTEST(C43, "Transaction Log Directory Free Space.*Absolute"), "トランザクションログディレクトリの空き容量（絶対値）", _xlfn.REGEXTEST(C43, "Logging Threshold|Logger Threshold"), "ログ出力レベルの閾値設定", _xlfn.REGEXTEST(C43, "Enable.*Alerts"), "ヘルスアラートの有効化状態", _xlfn.REGEXTEST(C43, "Triggers"), "カスタムアラート条件（トリガー設定）", _xlfn.REGEXTEST(C43, "Healthy Kafka Broker"), "Kafka Brokerの健全ノード割合（稼働率）", _xlfn.REGEXTEST(C43, "Healthy Kafka Connect"), "Kafka Connectの健全ノード割合（稼働率）", _xlfn.REGEXTEST(C43, "Healthy KRaft Controller"), "KRaft Controllerの健全ノード割合（稼働率）", _xlfn.REGEXTEST(C43, "Healthy Knox IDBroker"), "Knox IDBrokerの健全ノード割合（稼働率）", _xlfn.REGEXTEST(C43, "Healthy Knox Gateway"), "Knox Gatewayの健全ノード割合（稼働率）", _xlfn.REGEXTEST(C43, "Healthy ZooKeeper Server"), "ZooKeeper Serverの健全ノード割合（稼働率）", _xlfn.REGEXTEST(C43, "Healthy NodeManager"), "NodeManagerの健全ノード割合（稼働率）", _xlfn.REGEXTEST(C43, "Maximum Latency"), "リクエストの最大レイテンシ（処理遅延）", _xlfn.REGEXTEST(C43, "Garbage Collection Duration"), "Javaのガベージコレクション（GC）の所要時間", _xlfn.REGEXTEST(C43, "Spool Directory Usage"), "Rangerプラグインのスプールディレクトリ使用量", _xlfn.REGEXTEST(C43, "Process Directory Free Space Monitoring Absolute"), "プロセスディレクトリの空き容量（絶対値)", _xlfn.REGEXTEST(C43, "Process Directory Free Space.*Percentage"), "プロセスディレクトリの空き容量割合（%）", _xlfn.REGEXTEST(C43, "Parcel Directory Free Space.*Absolute"), "パーセルディレクトリの空き容量（絶対値）", _xlfn.REGEXTEST(C43, "Parcel Directory Free Space.*Percentage"), "パーセルディレクトリの空き容量割合（%）", _xlfn.REGEXTEST(C43, "Host Network Frame Error Percentage"), "ホストのネットワークフレームエラー割合（%）", _xlfn.REGEXTEST(C43, "Network Interfaces Slow Link Modes"), "ホストのネットワークインターフェースの低速リンクモード検出", _xlfn.REGEXTEST(C43, "Host Memory Swapping"), "ホストのメモリのスワップ発生状態", TRUE, "要手動確認")</f>
        <v>Knox Gatewayの健全ノード割合（稼働率）</v>
      </c>
      <c r="H43" s="479" t="s">
        <v>795</v>
      </c>
    </row>
    <row r="44" spans="1:8" ht="33.6">
      <c r="A44" s="468"/>
      <c r="B44" s="473"/>
      <c r="C44" s="471" t="s">
        <v>798</v>
      </c>
      <c r="D44" s="471" t="s">
        <v>710</v>
      </c>
      <c r="E44" s="471" t="s">
        <v>799</v>
      </c>
      <c r="F44" s="471"/>
      <c r="G44" s="471" t="str" cm="1">
        <f t="array" ref="G44">_xlfn.IFS(C44 = "", "", _xlfn.REGEXTEST(C44, "Host Clock Offset"), "ホストのクロックオフセット（時刻同期のズレ）", _xlfn.REGEXTEST(C44, "Memory Overcommit Validation"), "メモリオーバーコミット設定の検証", _xlfn.REGEXTEST(C44, "Gateway Logging"), "ゲートウェイのログ出力設定", _xlfn.REGEXTEST(C44, "CPU Balance"), "CPU使用率の分散バランス状態", _xlfn.REGEXTEST(C44, "Disk Balance"), "ディスク使用量の分散バランス状態", _xlfn.REGEXTEST(C44, "Network Inbound Balance"), "ネットワークインバウンド（受信）の分散バランス状態", _xlfn.REGEXTEST(C44, "Network Outbound Balance"), "ネットワークアウトバウンド（送信）の分散バランス状態", _xlfn.REGEXTEST(C44, "Replica Count Balance"), "レプリカ数の分散バランス状態", _xlfn.REGEXTEST(C44, "Disk Capacity"), "ディスク総容量の限界・使用容量", _xlfn.REGEXTEST(C44, "CPU Capacity"), "CPU総処理能力の限界・使用量", _xlfn.REGEXTEST(C44, "Network Inbound Capacity"), "ネットワークインバウンド（受信）帯域の限界・使用量", _xlfn.REGEXTEST(C44, "Network Outbound Capacity"), "ネットワークアウトバウンド（送信）帯域の限界・使用量", _xlfn.REGEXTEST(C44, "Leader Replica Count Balance"), "リーダーレプリカ数の分散バランス状態", _xlfn.REGEXTEST(C44, "Host DNS Resolution Duration"), "ホストのDNS名前解決の所要時間", _xlfn.REGEXTEST(C44, "TLS Certificate Expiry"), "TLS証明書の有効期限切れ", _xlfn.REGEXTEST(C44, "Host Entropy"), "ホストのエントロピー（乱数生成能力）の不足", _xlfn.REGEXTEST(C44, "File Descriptor"), "プロセスのファイルディスクリプタ使用率", _xlfn.REGEXTEST(C44, "Unexpected Exits"), "プロセスの異常終了（予期せぬ停止）", _xlfn.REGEXTEST(C44, "Swap Memory Thresholds"), "プロセスのスワップメモリ使用量", _xlfn.REGEXTEST(C44, "Swap Memory Usage Rate"), "スワップメモリ使用量の変化率（増加速度）", _xlfn.REGEXTEST(C44, "Log Directory Free Space.*Absolute"), "ログディレクトリの空き容量（絶対値）", _xlfn.REGEXTEST(C44, "Log Directory Free Space.*Percentage"), "ログディレクトリの空き容量割合（%）", _xlfn.REGEXTEST(C44, "Heap Dump Directory Free Space.*Absolute"), "ヒープダンプディレクトリの空き容量（絶対値）", _xlfn.REGEXTEST(C44, "Heap Dump Directory Free Space.*Percentage"), "ヒープダンプディレクトリの空き容量割合（%）", _xlfn.REGEXTEST(C44, "Data Directory Free Space.*Absolute"), "データディレクトリの空き容量（絶対値）", _xlfn.REGEXTEST(C44, "Data Directory Free Space.*Percentage"), "データディレクトリの空き容量割合（%）", _xlfn.REGEXTEST(C44, "Transaction Log Directory Free Space.*Absolute"), "トランザクションログディレクトリの空き容量（絶対値）", _xlfn.REGEXTEST(C44, "Logging Threshold|Logger Threshold"), "ログ出力レベルの閾値設定", _xlfn.REGEXTEST(C44, "Enable.*Alerts"), "ヘルスアラートの有効化状態", _xlfn.REGEXTEST(C44, "Triggers"), "カスタムアラート条件（トリガー設定）", _xlfn.REGEXTEST(C44, "Healthy Kafka Broker"), "Kafka Brokerの健全ノード割合（稼働率）", _xlfn.REGEXTEST(C44, "Healthy Kafka Connect"), "Kafka Connectの健全ノード割合（稼働率）", _xlfn.REGEXTEST(C44, "Healthy KRaft Controller"), "KRaft Controllerの健全ノード割合（稼働率）", _xlfn.REGEXTEST(C44, "Healthy Knox IDBroker"), "Knox IDBrokerの健全ノード割合（稼働率）", _xlfn.REGEXTEST(C44, "Healthy Knox Gateway"), "Knox Gatewayの健全ノード割合（稼働率）", _xlfn.REGEXTEST(C44, "Healthy ZooKeeper Server"), "ZooKeeper Serverの健全ノード割合（稼働率）", _xlfn.REGEXTEST(C44, "Healthy NodeManager"), "NodeManagerの健全ノード割合（稼働率）", _xlfn.REGEXTEST(C44, "Maximum Latency"), "リクエストの最大レイテンシ（処理遅延）", _xlfn.REGEXTEST(C44, "Garbage Collection Duration"), "Javaのガベージコレクション（GC）の所要時間", _xlfn.REGEXTEST(C44, "Spool Directory Usage"), "Rangerプラグインのスプールディレクトリ使用量", _xlfn.REGEXTEST(C44, "Process Directory Free Space Monitoring Absolute"), "プロセスディレクトリの空き容量（絶対値)", _xlfn.REGEXTEST(C44, "Process Directory Free Space.*Percentage"), "プロセスディレクトリの空き容量割合（%）", _xlfn.REGEXTEST(C44, "Parcel Directory Free Space.*Absolute"), "パーセルディレクトリの空き容量（絶対値）", _xlfn.REGEXTEST(C44, "Parcel Directory Free Space.*Percentage"), "パーセルディレクトリの空き容量割合（%）", _xlfn.REGEXTEST(C44, "Host Network Frame Error Percentage"), "ホストのネットワークフレームエラー割合（%）", _xlfn.REGEXTEST(C44, "Network Interfaces Slow Link Modes"), "ホストのネットワークインターフェースの低速リンクモード検出", _xlfn.REGEXTEST(C44, "Host Memory Swapping"), "ホストのメモリのスワップ発生状態", TRUE, "要手動確認")</f>
        <v>ヘルスアラートの有効化状態</v>
      </c>
      <c r="H44" s="479" t="s">
        <v>790</v>
      </c>
    </row>
    <row r="45" spans="1:8" ht="33.6">
      <c r="A45" s="468"/>
      <c r="B45" s="473"/>
      <c r="C45" s="471" t="s">
        <v>736</v>
      </c>
      <c r="D45" s="471" t="s">
        <v>800</v>
      </c>
      <c r="E45" s="471" t="s">
        <v>785</v>
      </c>
      <c r="F45" s="471"/>
      <c r="G45" s="471" t="str" cm="1">
        <f t="array" ref="G45">_xlfn.IFS(C45 = "", "", _xlfn.REGEXTEST(C45, "Host Clock Offset"), "ホストのクロックオフセット（時刻同期のズレ）", _xlfn.REGEXTEST(C45, "Memory Overcommit Validation"), "メモリオーバーコミット設定の検証", _xlfn.REGEXTEST(C45, "Gateway Logging"), "ゲートウェイのログ出力設定", _xlfn.REGEXTEST(C45, "CPU Balance"), "CPU使用率の分散バランス状態", _xlfn.REGEXTEST(C45, "Disk Balance"), "ディスク使用量の分散バランス状態", _xlfn.REGEXTEST(C45, "Network Inbound Balance"), "ネットワークインバウンド（受信）の分散バランス状態", _xlfn.REGEXTEST(C45, "Network Outbound Balance"), "ネットワークアウトバウンド（送信）の分散バランス状態", _xlfn.REGEXTEST(C45, "Replica Count Balance"), "レプリカ数の分散バランス状態", _xlfn.REGEXTEST(C45, "Disk Capacity"), "ディスク総容量の限界・使用容量", _xlfn.REGEXTEST(C45, "CPU Capacity"), "CPU総処理能力の限界・使用量", _xlfn.REGEXTEST(C45, "Network Inbound Capacity"), "ネットワークインバウンド（受信）帯域の限界・使用量", _xlfn.REGEXTEST(C45, "Network Outbound Capacity"), "ネットワークアウトバウンド（送信）帯域の限界・使用量", _xlfn.REGEXTEST(C45, "Leader Replica Count Balance"), "リーダーレプリカ数の分散バランス状態", _xlfn.REGEXTEST(C45, "Host DNS Resolution Duration"), "ホストのDNS名前解決の所要時間", _xlfn.REGEXTEST(C45, "TLS Certificate Expiry"), "TLS証明書の有効期限切れ", _xlfn.REGEXTEST(C45, "Host Entropy"), "ホストのエントロピー（乱数生成能力）の不足", _xlfn.REGEXTEST(C45, "File Descriptor"), "プロセスのファイルディスクリプタ使用率", _xlfn.REGEXTEST(C45, "Unexpected Exits"), "プロセスの異常終了（予期せぬ停止）", _xlfn.REGEXTEST(C45, "Swap Memory Thresholds"), "プロセスのスワップメモリ使用量", _xlfn.REGEXTEST(C45, "Swap Memory Usage Rate"), "スワップメモリ使用量の変化率（増加速度）", _xlfn.REGEXTEST(C45, "Log Directory Free Space.*Absolute"), "ログディレクトリの空き容量（絶対値）", _xlfn.REGEXTEST(C45, "Log Directory Free Space.*Percentage"), "ログディレクトリの空き容量割合（%）", _xlfn.REGEXTEST(C45, "Heap Dump Directory Free Space.*Absolute"), "ヒープダンプディレクトリの空き容量（絶対値）", _xlfn.REGEXTEST(C45, "Heap Dump Directory Free Space.*Percentage"), "ヒープダンプディレクトリの空き容量割合（%）", _xlfn.REGEXTEST(C45, "Data Directory Free Space.*Absolute"), "データディレクトリの空き容量（絶対値）", _xlfn.REGEXTEST(C45, "Data Directory Free Space.*Percentage"), "データディレクトリの空き容量割合（%）", _xlfn.REGEXTEST(C45, "Transaction Log Directory Free Space.*Absolute"), "トランザクションログディレクトリの空き容量（絶対値）", _xlfn.REGEXTEST(C45, "Logging Threshold|Logger Threshold"), "ログ出力レベルの閾値設定", _xlfn.REGEXTEST(C45, "Enable.*Alerts"), "ヘルスアラートの有効化状態", _xlfn.REGEXTEST(C45, "Triggers"), "カスタムアラート条件（トリガー設定）", _xlfn.REGEXTEST(C45, "Healthy Kafka Broker"), "Kafka Brokerの健全ノード割合（稼働率）", _xlfn.REGEXTEST(C45, "Healthy Kafka Connect"), "Kafka Connectの健全ノード割合（稼働率）", _xlfn.REGEXTEST(C45, "Healthy KRaft Controller"), "KRaft Controllerの健全ノード割合（稼働率）", _xlfn.REGEXTEST(C45, "Healthy Knox IDBroker"), "Knox IDBrokerの健全ノード割合（稼働率）", _xlfn.REGEXTEST(C45, "Healthy Knox Gateway"), "Knox Gatewayの健全ノード割合（稼働率）", _xlfn.REGEXTEST(C45, "Healthy ZooKeeper Server"), "ZooKeeper Serverの健全ノード割合（稼働率）", _xlfn.REGEXTEST(C45, "Healthy NodeManager"), "NodeManagerの健全ノード割合（稼働率）", _xlfn.REGEXTEST(C45, "Maximum Latency"), "リクエストの最大レイテンシ（処理遅延）", _xlfn.REGEXTEST(C45, "Garbage Collection Duration"), "Javaのガベージコレクション（GC）の所要時間", _xlfn.REGEXTEST(C45, "Spool Directory Usage"), "Rangerプラグインのスプールディレクトリ使用量", _xlfn.REGEXTEST(C45, "Process Directory Free Space Monitoring Absolute"), "プロセスディレクトリの空き容量（絶対値)", _xlfn.REGEXTEST(C45, "Process Directory Free Space.*Percentage"), "プロセスディレクトリの空き容量割合（%）", _xlfn.REGEXTEST(C45, "Parcel Directory Free Space.*Absolute"), "パーセルディレクトリの空き容量（絶対値）", _xlfn.REGEXTEST(C45, "Parcel Directory Free Space.*Percentage"), "パーセルディレクトリの空き容量割合（%）", _xlfn.REGEXTEST(C45, "Host Network Frame Error Percentage"), "ホストのネットワークフレームエラー割合（%）", _xlfn.REGEXTEST(C45, "Network Interfaces Slow Link Modes"), "ホストのネットワークインターフェースの低速リンクモード検出", _xlfn.REGEXTEST(C45, "Host Memory Swapping"), "ホストのメモリのスワップ発生状態", TRUE, "要手動確認")</f>
        <v>プロセスのファイルディスクリプタ使用率</v>
      </c>
      <c r="H45" s="479" t="s">
        <v>740</v>
      </c>
    </row>
    <row r="46" spans="1:8" ht="33.6">
      <c r="A46" s="468"/>
      <c r="B46" s="473"/>
      <c r="C46" s="471" t="s">
        <v>741</v>
      </c>
      <c r="D46" s="471" t="s">
        <v>742</v>
      </c>
      <c r="E46" s="471" t="s">
        <v>799</v>
      </c>
      <c r="F46" s="471"/>
      <c r="G46" s="471" t="str" cm="1">
        <f t="array" ref="G46">_xlfn.IFS(C46 = "", "", _xlfn.REGEXTEST(C46, "Host Clock Offset"), "ホストのクロックオフセット（時刻同期のズレ）", _xlfn.REGEXTEST(C46, "Memory Overcommit Validation"), "メモリオーバーコミット設定の検証", _xlfn.REGEXTEST(C46, "Gateway Logging"), "ゲートウェイのログ出力設定", _xlfn.REGEXTEST(C46, "CPU Balance"), "CPU使用率の分散バランス状態", _xlfn.REGEXTEST(C46, "Disk Balance"), "ディスク使用量の分散バランス状態", _xlfn.REGEXTEST(C46, "Network Inbound Balance"), "ネットワークインバウンド（受信）の分散バランス状態", _xlfn.REGEXTEST(C46, "Network Outbound Balance"), "ネットワークアウトバウンド（送信）の分散バランス状態", _xlfn.REGEXTEST(C46, "Replica Count Balance"), "レプリカ数の分散バランス状態", _xlfn.REGEXTEST(C46, "Disk Capacity"), "ディスク総容量の限界・使用容量", _xlfn.REGEXTEST(C46, "CPU Capacity"), "CPU総処理能力の限界・使用量", _xlfn.REGEXTEST(C46, "Network Inbound Capacity"), "ネットワークインバウンド（受信）帯域の限界・使用量", _xlfn.REGEXTEST(C46, "Network Outbound Capacity"), "ネットワークアウトバウンド（送信）帯域の限界・使用量", _xlfn.REGEXTEST(C46, "Leader Replica Count Balance"), "リーダーレプリカ数の分散バランス状態", _xlfn.REGEXTEST(C46, "Host DNS Resolution Duration"), "ホストのDNS名前解決の所要時間", _xlfn.REGEXTEST(C46, "TLS Certificate Expiry"), "TLS証明書の有効期限切れ", _xlfn.REGEXTEST(C46, "Host Entropy"), "ホストのエントロピー（乱数生成能力）の不足", _xlfn.REGEXTEST(C46, "File Descriptor"), "プロセスのファイルディスクリプタ使用率", _xlfn.REGEXTEST(C46, "Unexpected Exits"), "プロセスの異常終了（予期せぬ停止）", _xlfn.REGEXTEST(C46, "Swap Memory Thresholds"), "プロセスのスワップメモリ使用量", _xlfn.REGEXTEST(C46, "Swap Memory Usage Rate"), "スワップメモリ使用量の変化率（増加速度）", _xlfn.REGEXTEST(C46, "Log Directory Free Space.*Absolute"), "ログディレクトリの空き容量（絶対値）", _xlfn.REGEXTEST(C46, "Log Directory Free Space.*Percentage"), "ログディレクトリの空き容量割合（%）", _xlfn.REGEXTEST(C46, "Heap Dump Directory Free Space.*Absolute"), "ヒープダンプディレクトリの空き容量（絶対値）", _xlfn.REGEXTEST(C46, "Heap Dump Directory Free Space.*Percentage"), "ヒープダンプディレクトリの空き容量割合（%）", _xlfn.REGEXTEST(C46, "Data Directory Free Space.*Absolute"), "データディレクトリの空き容量（絶対値）", _xlfn.REGEXTEST(C46, "Data Directory Free Space.*Percentage"), "データディレクトリの空き容量割合（%）", _xlfn.REGEXTEST(C46, "Transaction Log Directory Free Space.*Absolute"), "トランザクションログディレクトリの空き容量（絶対値）", _xlfn.REGEXTEST(C46, "Logging Threshold|Logger Threshold"), "ログ出力レベルの閾値設定", _xlfn.REGEXTEST(C46, "Enable.*Alerts"), "ヘルスアラートの有効化状態", _xlfn.REGEXTEST(C46, "Triggers"), "カスタムアラート条件（トリガー設定）", _xlfn.REGEXTEST(C46, "Healthy Kafka Broker"), "Kafka Brokerの健全ノード割合（稼働率）", _xlfn.REGEXTEST(C46, "Healthy Kafka Connect"), "Kafka Connectの健全ノード割合（稼働率）", _xlfn.REGEXTEST(C46, "Healthy KRaft Controller"), "KRaft Controllerの健全ノード割合（稼働率）", _xlfn.REGEXTEST(C46, "Healthy Knox IDBroker"), "Knox IDBrokerの健全ノード割合（稼働率）", _xlfn.REGEXTEST(C46, "Healthy Knox Gateway"), "Knox Gatewayの健全ノード割合（稼働率）", _xlfn.REGEXTEST(C46, "Healthy ZooKeeper Server"), "ZooKeeper Serverの健全ノード割合（稼働率）", _xlfn.REGEXTEST(C46, "Healthy NodeManager"), "NodeManagerの健全ノード割合（稼働率）", _xlfn.REGEXTEST(C46, "Maximum Latency"), "リクエストの最大レイテンシ（処理遅延）", _xlfn.REGEXTEST(C46, "Garbage Collection Duration"), "Javaのガベージコレクション（GC）の所要時間", _xlfn.REGEXTEST(C46, "Spool Directory Usage"), "Rangerプラグインのスプールディレクトリ使用量", _xlfn.REGEXTEST(C46, "Process Directory Free Space Monitoring Absolute"), "プロセスディレクトリの空き容量（絶対値)", _xlfn.REGEXTEST(C46, "Process Directory Free Space.*Percentage"), "プロセスディレクトリの空き容量割合（%）", _xlfn.REGEXTEST(C46, "Parcel Directory Free Space.*Absolute"), "パーセルディレクトリの空き容量（絶対値）", _xlfn.REGEXTEST(C46, "Parcel Directory Free Space.*Percentage"), "パーセルディレクトリの空き容量割合（%）", _xlfn.REGEXTEST(C46, "Host Network Frame Error Percentage"), "ホストのネットワークフレームエラー割合（%）", _xlfn.REGEXTEST(C46, "Network Interfaces Slow Link Modes"), "ホストのネットワークインターフェースの低速リンクモード検出", _xlfn.REGEXTEST(C46, "Host Memory Swapping"), "ホストのメモリのスワップ発生状態", TRUE, "要手動確認")</f>
        <v>ログディレクトリの空き容量（絶対値）</v>
      </c>
      <c r="H46" s="479" t="s">
        <v>745</v>
      </c>
    </row>
    <row r="47" spans="1:8" ht="33.6">
      <c r="A47" s="468"/>
      <c r="B47" s="473"/>
      <c r="C47" s="471" t="s">
        <v>746</v>
      </c>
      <c r="D47" s="471" t="s">
        <v>747</v>
      </c>
      <c r="E47" s="471" t="s">
        <v>799</v>
      </c>
      <c r="F47" s="471"/>
      <c r="G47" s="471" t="str" cm="1">
        <f t="array" ref="G47">_xlfn.IFS(C47 = "", "", _xlfn.REGEXTEST(C47, "Host Clock Offset"), "ホストのクロックオフセット（時刻同期のズレ）", _xlfn.REGEXTEST(C47, "Memory Overcommit Validation"), "メモリオーバーコミット設定の検証", _xlfn.REGEXTEST(C47, "Gateway Logging"), "ゲートウェイのログ出力設定", _xlfn.REGEXTEST(C47, "CPU Balance"), "CPU使用率の分散バランス状態", _xlfn.REGEXTEST(C47, "Disk Balance"), "ディスク使用量の分散バランス状態", _xlfn.REGEXTEST(C47, "Network Inbound Balance"), "ネットワークインバウンド（受信）の分散バランス状態", _xlfn.REGEXTEST(C47, "Network Outbound Balance"), "ネットワークアウトバウンド（送信）の分散バランス状態", _xlfn.REGEXTEST(C47, "Replica Count Balance"), "レプリカ数の分散バランス状態", _xlfn.REGEXTEST(C47, "Disk Capacity"), "ディスク総容量の限界・使用容量", _xlfn.REGEXTEST(C47, "CPU Capacity"), "CPU総処理能力の限界・使用量", _xlfn.REGEXTEST(C47, "Network Inbound Capacity"), "ネットワークインバウンド（受信）帯域の限界・使用量", _xlfn.REGEXTEST(C47, "Network Outbound Capacity"), "ネットワークアウトバウンド（送信）帯域の限界・使用量", _xlfn.REGEXTEST(C47, "Leader Replica Count Balance"), "リーダーレプリカ数の分散バランス状態", _xlfn.REGEXTEST(C47, "Host DNS Resolution Duration"), "ホストのDNS名前解決の所要時間", _xlfn.REGEXTEST(C47, "TLS Certificate Expiry"), "TLS証明書の有効期限切れ", _xlfn.REGEXTEST(C47, "Host Entropy"), "ホストのエントロピー（乱数生成能力）の不足", _xlfn.REGEXTEST(C47, "File Descriptor"), "プロセスのファイルディスクリプタ使用率", _xlfn.REGEXTEST(C47, "Unexpected Exits"), "プロセスの異常終了（予期せぬ停止）", _xlfn.REGEXTEST(C47, "Swap Memory Thresholds"), "プロセスのスワップメモリ使用量", _xlfn.REGEXTEST(C47, "Swap Memory Usage Rate"), "スワップメモリ使用量の変化率（増加速度）", _xlfn.REGEXTEST(C47, "Log Directory Free Space.*Absolute"), "ログディレクトリの空き容量（絶対値）", _xlfn.REGEXTEST(C47, "Log Directory Free Space.*Percentage"), "ログディレクトリの空き容量割合（%）", _xlfn.REGEXTEST(C47, "Heap Dump Directory Free Space.*Absolute"), "ヒープダンプディレクトリの空き容量（絶対値）", _xlfn.REGEXTEST(C47, "Heap Dump Directory Free Space.*Percentage"), "ヒープダンプディレクトリの空き容量割合（%）", _xlfn.REGEXTEST(C47, "Data Directory Free Space.*Absolute"), "データディレクトリの空き容量（絶対値）", _xlfn.REGEXTEST(C47, "Data Directory Free Space.*Percentage"), "データディレクトリの空き容量割合（%）", _xlfn.REGEXTEST(C47, "Transaction Log Directory Free Space.*Absolute"), "トランザクションログディレクトリの空き容量（絶対値）", _xlfn.REGEXTEST(C47, "Logging Threshold|Logger Threshold"), "ログ出力レベルの閾値設定", _xlfn.REGEXTEST(C47, "Enable.*Alerts"), "ヘルスアラートの有効化状態", _xlfn.REGEXTEST(C47, "Triggers"), "カスタムアラート条件（トリガー設定）", _xlfn.REGEXTEST(C47, "Healthy Kafka Broker"), "Kafka Brokerの健全ノード割合（稼働率）", _xlfn.REGEXTEST(C47, "Healthy Kafka Connect"), "Kafka Connectの健全ノード割合（稼働率）", _xlfn.REGEXTEST(C47, "Healthy KRaft Controller"), "KRaft Controllerの健全ノード割合（稼働率）", _xlfn.REGEXTEST(C47, "Healthy Knox IDBroker"), "Knox IDBrokerの健全ノード割合（稼働率）", _xlfn.REGEXTEST(C47, "Healthy Knox Gateway"), "Knox Gatewayの健全ノード割合（稼働率）", _xlfn.REGEXTEST(C47, "Healthy ZooKeeper Server"), "ZooKeeper Serverの健全ノード割合（稼働率）", _xlfn.REGEXTEST(C47, "Healthy NodeManager"), "NodeManagerの健全ノード割合（稼働率）", _xlfn.REGEXTEST(C47, "Maximum Latency"), "リクエストの最大レイテンシ（処理遅延）", _xlfn.REGEXTEST(C47, "Garbage Collection Duration"), "Javaのガベージコレクション（GC）の所要時間", _xlfn.REGEXTEST(C47, "Spool Directory Usage"), "Rangerプラグインのスプールディレクトリ使用量", _xlfn.REGEXTEST(C47, "Process Directory Free Space Monitoring Absolute"), "プロセスディレクトリの空き容量（絶対値)", _xlfn.REGEXTEST(C47, "Process Directory Free Space.*Percentage"), "プロセスディレクトリの空き容量割合（%）", _xlfn.REGEXTEST(C47, "Parcel Directory Free Space.*Absolute"), "パーセルディレクトリの空き容量（絶対値）", _xlfn.REGEXTEST(C47, "Parcel Directory Free Space.*Percentage"), "パーセルディレクトリの空き容量割合（%）", _xlfn.REGEXTEST(C47, "Host Network Frame Error Percentage"), "ホストのネットワークフレームエラー割合（%）", _xlfn.REGEXTEST(C47, "Network Interfaces Slow Link Modes"), "ホストのネットワークインターフェースの低速リンクモード検出", _xlfn.REGEXTEST(C47, "Host Memory Swapping"), "ホストのメモリのスワップ発生状態", TRUE, "要手動確認")</f>
        <v>ログディレクトリの空き容量割合（%）</v>
      </c>
      <c r="H47" s="479" t="s">
        <v>683</v>
      </c>
    </row>
    <row r="48" spans="1:8" ht="33.6">
      <c r="A48" s="468"/>
      <c r="B48" s="473"/>
      <c r="C48" s="471" t="s">
        <v>749</v>
      </c>
      <c r="D48" s="471" t="s">
        <v>750</v>
      </c>
      <c r="E48" s="471" t="s">
        <v>799</v>
      </c>
      <c r="F48" s="471"/>
      <c r="G48" s="471" t="str" cm="1">
        <f t="array" ref="G48">_xlfn.IFS(C48 = "", "", _xlfn.REGEXTEST(C48, "Host Clock Offset"), "ホストのクロックオフセット（時刻同期のズレ）", _xlfn.REGEXTEST(C48, "Memory Overcommit Validation"), "メモリオーバーコミット設定の検証", _xlfn.REGEXTEST(C48, "Gateway Logging"), "ゲートウェイのログ出力設定", _xlfn.REGEXTEST(C48, "CPU Balance"), "CPU使用率の分散バランス状態", _xlfn.REGEXTEST(C48, "Disk Balance"), "ディスク使用量の分散バランス状態", _xlfn.REGEXTEST(C48, "Network Inbound Balance"), "ネットワークインバウンド（受信）の分散バランス状態", _xlfn.REGEXTEST(C48, "Network Outbound Balance"), "ネットワークアウトバウンド（送信）の分散バランス状態", _xlfn.REGEXTEST(C48, "Replica Count Balance"), "レプリカ数の分散バランス状態", _xlfn.REGEXTEST(C48, "Disk Capacity"), "ディスク総容量の限界・使用容量", _xlfn.REGEXTEST(C48, "CPU Capacity"), "CPU総処理能力の限界・使用量", _xlfn.REGEXTEST(C48, "Network Inbound Capacity"), "ネットワークインバウンド（受信）帯域の限界・使用量", _xlfn.REGEXTEST(C48, "Network Outbound Capacity"), "ネットワークアウトバウンド（送信）帯域の限界・使用量", _xlfn.REGEXTEST(C48, "Leader Replica Count Balance"), "リーダーレプリカ数の分散バランス状態", _xlfn.REGEXTEST(C48, "Host DNS Resolution Duration"), "ホストのDNS名前解決の所要時間", _xlfn.REGEXTEST(C48, "TLS Certificate Expiry"), "TLS証明書の有効期限切れ", _xlfn.REGEXTEST(C48, "Host Entropy"), "ホストのエントロピー（乱数生成能力）の不足", _xlfn.REGEXTEST(C48, "File Descriptor"), "プロセスのファイルディスクリプタ使用率", _xlfn.REGEXTEST(C48, "Unexpected Exits"), "プロセスの異常終了（予期せぬ停止）", _xlfn.REGEXTEST(C48, "Swap Memory Thresholds"), "プロセスのスワップメモリ使用量", _xlfn.REGEXTEST(C48, "Swap Memory Usage Rate"), "スワップメモリ使用量の変化率（増加速度）", _xlfn.REGEXTEST(C48, "Log Directory Free Space.*Absolute"), "ログディレクトリの空き容量（絶対値）", _xlfn.REGEXTEST(C48, "Log Directory Free Space.*Percentage"), "ログディレクトリの空き容量割合（%）", _xlfn.REGEXTEST(C48, "Heap Dump Directory Free Space.*Absolute"), "ヒープダンプディレクトリの空き容量（絶対値）", _xlfn.REGEXTEST(C48, "Heap Dump Directory Free Space.*Percentage"), "ヒープダンプディレクトリの空き容量割合（%）", _xlfn.REGEXTEST(C48, "Data Directory Free Space.*Absolute"), "データディレクトリの空き容量（絶対値）", _xlfn.REGEXTEST(C48, "Data Directory Free Space.*Percentage"), "データディレクトリの空き容量割合（%）", _xlfn.REGEXTEST(C48, "Transaction Log Directory Free Space.*Absolute"), "トランザクションログディレクトリの空き容量（絶対値）", _xlfn.REGEXTEST(C48, "Logging Threshold|Logger Threshold"), "ログ出力レベルの閾値設定", _xlfn.REGEXTEST(C48, "Enable.*Alerts"), "ヘルスアラートの有効化状態", _xlfn.REGEXTEST(C48, "Triggers"), "カスタムアラート条件（トリガー設定）", _xlfn.REGEXTEST(C48, "Healthy Kafka Broker"), "Kafka Brokerの健全ノード割合（稼働率）", _xlfn.REGEXTEST(C48, "Healthy Kafka Connect"), "Kafka Connectの健全ノード割合（稼働率）", _xlfn.REGEXTEST(C48, "Healthy KRaft Controller"), "KRaft Controllerの健全ノード割合（稼働率）", _xlfn.REGEXTEST(C48, "Healthy Knox IDBroker"), "Knox IDBrokerの健全ノード割合（稼働率）", _xlfn.REGEXTEST(C48, "Healthy Knox Gateway"), "Knox Gatewayの健全ノード割合（稼働率）", _xlfn.REGEXTEST(C48, "Healthy ZooKeeper Server"), "ZooKeeper Serverの健全ノード割合（稼働率）", _xlfn.REGEXTEST(C48, "Healthy NodeManager"), "NodeManagerの健全ノード割合（稼働率）", _xlfn.REGEXTEST(C48, "Maximum Latency"), "リクエストの最大レイテンシ（処理遅延）", _xlfn.REGEXTEST(C48, "Garbage Collection Duration"), "Javaのガベージコレクション（GC）の所要時間", _xlfn.REGEXTEST(C48, "Spool Directory Usage"), "Rangerプラグインのスプールディレクトリ使用量", _xlfn.REGEXTEST(C48, "Process Directory Free Space Monitoring Absolute"), "プロセスディレクトリの空き容量（絶対値)", _xlfn.REGEXTEST(C48, "Process Directory Free Space.*Percentage"), "プロセスディレクトリの空き容量割合（%）", _xlfn.REGEXTEST(C48, "Parcel Directory Free Space.*Absolute"), "パーセルディレクトリの空き容量（絶対値）", _xlfn.REGEXTEST(C48, "Parcel Directory Free Space.*Percentage"), "パーセルディレクトリの空き容量割合（%）", _xlfn.REGEXTEST(C48, "Host Network Frame Error Percentage"), "ホストのネットワークフレームエラー割合（%）", _xlfn.REGEXTEST(C48, "Network Interfaces Slow Link Modes"), "ホストのネットワークインターフェースの低速リンクモード検出", _xlfn.REGEXTEST(C48, "Host Memory Swapping"), "ホストのメモリのスワップ発生状態", TRUE, "要手動確認")</f>
        <v>プロセスの異常終了（予期せぬ停止）</v>
      </c>
      <c r="H48" s="479" t="s">
        <v>751</v>
      </c>
    </row>
    <row r="49" spans="1:8" ht="33.6">
      <c r="A49" s="468"/>
      <c r="B49" s="473"/>
      <c r="C49" s="471" t="s">
        <v>752</v>
      </c>
      <c r="D49" s="471" t="s">
        <v>753</v>
      </c>
      <c r="E49" s="471" t="s">
        <v>799</v>
      </c>
      <c r="F49" s="471"/>
      <c r="G49" s="471" t="str" cm="1">
        <f t="array" ref="G49">_xlfn.IFS(C49 = "", "", _xlfn.REGEXTEST(C49, "Host Clock Offset"), "ホストのクロックオフセット（時刻同期のズレ）", _xlfn.REGEXTEST(C49, "Memory Overcommit Validation"), "メモリオーバーコミット設定の検証", _xlfn.REGEXTEST(C49, "Gateway Logging"), "ゲートウェイのログ出力設定", _xlfn.REGEXTEST(C49, "CPU Balance"), "CPU使用率の分散バランス状態", _xlfn.REGEXTEST(C49, "Disk Balance"), "ディスク使用量の分散バランス状態", _xlfn.REGEXTEST(C49, "Network Inbound Balance"), "ネットワークインバウンド（受信）の分散バランス状態", _xlfn.REGEXTEST(C49, "Network Outbound Balance"), "ネットワークアウトバウンド（送信）の分散バランス状態", _xlfn.REGEXTEST(C49, "Replica Count Balance"), "レプリカ数の分散バランス状態", _xlfn.REGEXTEST(C49, "Disk Capacity"), "ディスク総容量の限界・使用容量", _xlfn.REGEXTEST(C49, "CPU Capacity"), "CPU総処理能力の限界・使用量", _xlfn.REGEXTEST(C49, "Network Inbound Capacity"), "ネットワークインバウンド（受信）帯域の限界・使用量", _xlfn.REGEXTEST(C49, "Network Outbound Capacity"), "ネットワークアウトバウンド（送信）帯域の限界・使用量", _xlfn.REGEXTEST(C49, "Leader Replica Count Balance"), "リーダーレプリカ数の分散バランス状態", _xlfn.REGEXTEST(C49, "Host DNS Resolution Duration"), "ホストのDNS名前解決の所要時間", _xlfn.REGEXTEST(C49, "TLS Certificate Expiry"), "TLS証明書の有効期限切れ", _xlfn.REGEXTEST(C49, "Host Entropy"), "ホストのエントロピー（乱数生成能力）の不足", _xlfn.REGEXTEST(C49, "File Descriptor"), "プロセスのファイルディスクリプタ使用率", _xlfn.REGEXTEST(C49, "Unexpected Exits"), "プロセスの異常終了（予期せぬ停止）", _xlfn.REGEXTEST(C49, "Swap Memory Thresholds"), "プロセスのスワップメモリ使用量", _xlfn.REGEXTEST(C49, "Swap Memory Usage Rate"), "スワップメモリ使用量の変化率（増加速度）", _xlfn.REGEXTEST(C49, "Log Directory Free Space.*Absolute"), "ログディレクトリの空き容量（絶対値）", _xlfn.REGEXTEST(C49, "Log Directory Free Space.*Percentage"), "ログディレクトリの空き容量割合（%）", _xlfn.REGEXTEST(C49, "Heap Dump Directory Free Space.*Absolute"), "ヒープダンプディレクトリの空き容量（絶対値）", _xlfn.REGEXTEST(C49, "Heap Dump Directory Free Space.*Percentage"), "ヒープダンプディレクトリの空き容量割合（%）", _xlfn.REGEXTEST(C49, "Data Directory Free Space.*Absolute"), "データディレクトリの空き容量（絶対値）", _xlfn.REGEXTEST(C49, "Data Directory Free Space.*Percentage"), "データディレクトリの空き容量割合（%）", _xlfn.REGEXTEST(C49, "Transaction Log Directory Free Space.*Absolute"), "トランザクションログディレクトリの空き容量（絶対値）", _xlfn.REGEXTEST(C49, "Logging Threshold|Logger Threshold"), "ログ出力レベルの閾値設定", _xlfn.REGEXTEST(C49, "Enable.*Alerts"), "ヘルスアラートの有効化状態", _xlfn.REGEXTEST(C49, "Triggers"), "カスタムアラート条件（トリガー設定）", _xlfn.REGEXTEST(C49, "Healthy Kafka Broker"), "Kafka Brokerの健全ノード割合（稼働率）", _xlfn.REGEXTEST(C49, "Healthy Kafka Connect"), "Kafka Connectの健全ノード割合（稼働率）", _xlfn.REGEXTEST(C49, "Healthy KRaft Controller"), "KRaft Controllerの健全ノード割合（稼働率）", _xlfn.REGEXTEST(C49, "Healthy Knox IDBroker"), "Knox IDBrokerの健全ノード割合（稼働率）", _xlfn.REGEXTEST(C49, "Healthy Knox Gateway"), "Knox Gatewayの健全ノード割合（稼働率）", _xlfn.REGEXTEST(C49, "Healthy ZooKeeper Server"), "ZooKeeper Serverの健全ノード割合（稼働率）", _xlfn.REGEXTEST(C49, "Healthy NodeManager"), "NodeManagerの健全ノード割合（稼働率）", _xlfn.REGEXTEST(C49, "Maximum Latency"), "リクエストの最大レイテンシ（処理遅延）", _xlfn.REGEXTEST(C49, "Garbage Collection Duration"), "Javaのガベージコレクション（GC）の所要時間", _xlfn.REGEXTEST(C49, "Spool Directory Usage"), "Rangerプラグインのスプールディレクトリ使用量", _xlfn.REGEXTEST(C49, "Process Directory Free Space Monitoring Absolute"), "プロセスディレクトリの空き容量（絶対値)", _xlfn.REGEXTEST(C49, "Process Directory Free Space.*Percentage"), "プロセスディレクトリの空き容量割合（%）", _xlfn.REGEXTEST(C49, "Parcel Directory Free Space.*Absolute"), "パーセルディレクトリの空き容量（絶対値）", _xlfn.REGEXTEST(C49, "Parcel Directory Free Space.*Percentage"), "パーセルディレクトリの空き容量割合（%）", _xlfn.REGEXTEST(C49, "Host Network Frame Error Percentage"), "ホストのネットワークフレームエラー割合（%）", _xlfn.REGEXTEST(C49, "Network Interfaces Slow Link Modes"), "ホストのネットワークインターフェースの低速リンクモード検出", _xlfn.REGEXTEST(C49, "Host Memory Swapping"), "ホストのメモリのスワップ発生状態", TRUE, "要手動確認")</f>
        <v>カスタムアラート条件（トリガー設定）</v>
      </c>
      <c r="H49" s="479" t="s">
        <v>754</v>
      </c>
    </row>
    <row r="50" spans="1:8" ht="33.6">
      <c r="A50" s="468"/>
      <c r="B50" s="473"/>
      <c r="C50" s="471" t="s">
        <v>755</v>
      </c>
      <c r="D50" s="471" t="s">
        <v>756</v>
      </c>
      <c r="E50" s="471" t="s">
        <v>799</v>
      </c>
      <c r="F50" s="471"/>
      <c r="G50" s="471" t="str" cm="1">
        <f t="array" ref="G50">_xlfn.IFS(C50 = "", "", _xlfn.REGEXTEST(C50, "Host Clock Offset"), "ホストのクロックオフセット（時刻同期のズレ）", _xlfn.REGEXTEST(C50, "Memory Overcommit Validation"), "メモリオーバーコミット設定の検証", _xlfn.REGEXTEST(C50, "Gateway Logging"), "ゲートウェイのログ出力設定", _xlfn.REGEXTEST(C50, "CPU Balance"), "CPU使用率の分散バランス状態", _xlfn.REGEXTEST(C50, "Disk Balance"), "ディスク使用量の分散バランス状態", _xlfn.REGEXTEST(C50, "Network Inbound Balance"), "ネットワークインバウンド（受信）の分散バランス状態", _xlfn.REGEXTEST(C50, "Network Outbound Balance"), "ネットワークアウトバウンド（送信）の分散バランス状態", _xlfn.REGEXTEST(C50, "Replica Count Balance"), "レプリカ数の分散バランス状態", _xlfn.REGEXTEST(C50, "Disk Capacity"), "ディスク総容量の限界・使用容量", _xlfn.REGEXTEST(C50, "CPU Capacity"), "CPU総処理能力の限界・使用量", _xlfn.REGEXTEST(C50, "Network Inbound Capacity"), "ネットワークインバウンド（受信）帯域の限界・使用量", _xlfn.REGEXTEST(C50, "Network Outbound Capacity"), "ネットワークアウトバウンド（送信）帯域の限界・使用量", _xlfn.REGEXTEST(C50, "Leader Replica Count Balance"), "リーダーレプリカ数の分散バランス状態", _xlfn.REGEXTEST(C50, "Host DNS Resolution Duration"), "ホストのDNS名前解決の所要時間", _xlfn.REGEXTEST(C50, "TLS Certificate Expiry"), "TLS証明書の有効期限切れ", _xlfn.REGEXTEST(C50, "Host Entropy"), "ホストのエントロピー（乱数生成能力）の不足", _xlfn.REGEXTEST(C50, "File Descriptor"), "プロセスのファイルディスクリプタ使用率", _xlfn.REGEXTEST(C50, "Unexpected Exits"), "プロセスの異常終了（予期せぬ停止）", _xlfn.REGEXTEST(C50, "Swap Memory Thresholds"), "プロセスのスワップメモリ使用量", _xlfn.REGEXTEST(C50, "Swap Memory Usage Rate"), "スワップメモリ使用量の変化率（増加速度）", _xlfn.REGEXTEST(C50, "Log Directory Free Space.*Absolute"), "ログディレクトリの空き容量（絶対値）", _xlfn.REGEXTEST(C50, "Log Directory Free Space.*Percentage"), "ログディレクトリの空き容量割合（%）", _xlfn.REGEXTEST(C50, "Heap Dump Directory Free Space.*Absolute"), "ヒープダンプディレクトリの空き容量（絶対値）", _xlfn.REGEXTEST(C50, "Heap Dump Directory Free Space.*Percentage"), "ヒープダンプディレクトリの空き容量割合（%）", _xlfn.REGEXTEST(C50, "Data Directory Free Space.*Absolute"), "データディレクトリの空き容量（絶対値）", _xlfn.REGEXTEST(C50, "Data Directory Free Space.*Percentage"), "データディレクトリの空き容量割合（%）", _xlfn.REGEXTEST(C50, "Transaction Log Directory Free Space.*Absolute"), "トランザクションログディレクトリの空き容量（絶対値）", _xlfn.REGEXTEST(C50, "Logging Threshold|Logger Threshold"), "ログ出力レベルの閾値設定", _xlfn.REGEXTEST(C50, "Enable.*Alerts"), "ヘルスアラートの有効化状態", _xlfn.REGEXTEST(C50, "Triggers"), "カスタムアラート条件（トリガー設定）", _xlfn.REGEXTEST(C50, "Healthy Kafka Broker"), "Kafka Brokerの健全ノード割合（稼働率）", _xlfn.REGEXTEST(C50, "Healthy Kafka Connect"), "Kafka Connectの健全ノード割合（稼働率）", _xlfn.REGEXTEST(C50, "Healthy KRaft Controller"), "KRaft Controllerの健全ノード割合（稼働率）", _xlfn.REGEXTEST(C50, "Healthy Knox IDBroker"), "Knox IDBrokerの健全ノード割合（稼働率）", _xlfn.REGEXTEST(C50, "Healthy Knox Gateway"), "Knox Gatewayの健全ノード割合（稼働率）", _xlfn.REGEXTEST(C50, "Healthy ZooKeeper Server"), "ZooKeeper Serverの健全ノード割合（稼働率）", _xlfn.REGEXTEST(C50, "Healthy NodeManager"), "NodeManagerの健全ノード割合（稼働率）", _xlfn.REGEXTEST(C50, "Maximum Latency"), "リクエストの最大レイテンシ（処理遅延）", _xlfn.REGEXTEST(C50, "Garbage Collection Duration"), "Javaのガベージコレクション（GC）の所要時間", _xlfn.REGEXTEST(C50, "Spool Directory Usage"), "Rangerプラグインのスプールディレクトリ使用量", _xlfn.REGEXTEST(C50, "Process Directory Free Space Monitoring Absolute"), "プロセスディレクトリの空き容量（絶対値)", _xlfn.REGEXTEST(C50, "Process Directory Free Space.*Percentage"), "プロセスディレクトリの空き容量割合（%）", _xlfn.REGEXTEST(C50, "Parcel Directory Free Space.*Absolute"), "パーセルディレクトリの空き容量（絶対値）", _xlfn.REGEXTEST(C50, "Parcel Directory Free Space.*Percentage"), "パーセルディレクトリの空き容量割合（%）", _xlfn.REGEXTEST(C50, "Host Network Frame Error Percentage"), "ホストのネットワークフレームエラー割合（%）", _xlfn.REGEXTEST(C50, "Network Interfaces Slow Link Modes"), "ホストのネットワークインターフェースの低速リンクモード検出", _xlfn.REGEXTEST(C50, "Host Memory Swapping"), "ホストのメモリのスワップ発生状態", TRUE, "要手動確認")</f>
        <v>プロセスのスワップメモリ使用量</v>
      </c>
      <c r="H50" s="479" t="s">
        <v>757</v>
      </c>
    </row>
    <row r="51" spans="1:8" ht="33.6">
      <c r="A51" s="468"/>
      <c r="B51" s="473"/>
      <c r="C51" s="471" t="s">
        <v>758</v>
      </c>
      <c r="D51" s="471" t="s">
        <v>759</v>
      </c>
      <c r="E51" s="471" t="s">
        <v>799</v>
      </c>
      <c r="F51" s="471"/>
      <c r="G51" s="471" t="str" cm="1">
        <f t="array" ref="G51">_xlfn.IFS(C51 = "", "", _xlfn.REGEXTEST(C51, "Host Clock Offset"), "ホストのクロックオフセット（時刻同期のズレ）", _xlfn.REGEXTEST(C51, "Memory Overcommit Validation"), "メモリオーバーコミット設定の検証", _xlfn.REGEXTEST(C51, "Gateway Logging"), "ゲートウェイのログ出力設定", _xlfn.REGEXTEST(C51, "CPU Balance"), "CPU使用率の分散バランス状態", _xlfn.REGEXTEST(C51, "Disk Balance"), "ディスク使用量の分散バランス状態", _xlfn.REGEXTEST(C51, "Network Inbound Balance"), "ネットワークインバウンド（受信）の分散バランス状態", _xlfn.REGEXTEST(C51, "Network Outbound Balance"), "ネットワークアウトバウンド（送信）の分散バランス状態", _xlfn.REGEXTEST(C51, "Replica Count Balance"), "レプリカ数の分散バランス状態", _xlfn.REGEXTEST(C51, "Disk Capacity"), "ディスク総容量の限界・使用容量", _xlfn.REGEXTEST(C51, "CPU Capacity"), "CPU総処理能力の限界・使用量", _xlfn.REGEXTEST(C51, "Network Inbound Capacity"), "ネットワークインバウンド（受信）帯域の限界・使用量", _xlfn.REGEXTEST(C51, "Network Outbound Capacity"), "ネットワークアウトバウンド（送信）帯域の限界・使用量", _xlfn.REGEXTEST(C51, "Leader Replica Count Balance"), "リーダーレプリカ数の分散バランス状態", _xlfn.REGEXTEST(C51, "Host DNS Resolution Duration"), "ホストのDNS名前解決の所要時間", _xlfn.REGEXTEST(C51, "TLS Certificate Expiry"), "TLS証明書の有効期限切れ", _xlfn.REGEXTEST(C51, "Host Entropy"), "ホストのエントロピー（乱数生成能力）の不足", _xlfn.REGEXTEST(C51, "File Descriptor"), "プロセスのファイルディスクリプタ使用率", _xlfn.REGEXTEST(C51, "Unexpected Exits"), "プロセスの異常終了（予期せぬ停止）", _xlfn.REGEXTEST(C51, "Swap Memory Thresholds"), "プロセスのスワップメモリ使用量", _xlfn.REGEXTEST(C51, "Swap Memory Usage Rate"), "スワップメモリ使用量の変化率（増加速度）", _xlfn.REGEXTEST(C51, "Log Directory Free Space.*Absolute"), "ログディレクトリの空き容量（絶対値）", _xlfn.REGEXTEST(C51, "Log Directory Free Space.*Percentage"), "ログディレクトリの空き容量割合（%）", _xlfn.REGEXTEST(C51, "Heap Dump Directory Free Space.*Absolute"), "ヒープダンプディレクトリの空き容量（絶対値）", _xlfn.REGEXTEST(C51, "Heap Dump Directory Free Space.*Percentage"), "ヒープダンプディレクトリの空き容量割合（%）", _xlfn.REGEXTEST(C51, "Data Directory Free Space.*Absolute"), "データディレクトリの空き容量（絶対値）", _xlfn.REGEXTEST(C51, "Data Directory Free Space.*Percentage"), "データディレクトリの空き容量割合（%）", _xlfn.REGEXTEST(C51, "Transaction Log Directory Free Space.*Absolute"), "トランザクションログディレクトリの空き容量（絶対値）", _xlfn.REGEXTEST(C51, "Logging Threshold|Logger Threshold"), "ログ出力レベルの閾値設定", _xlfn.REGEXTEST(C51, "Enable.*Alerts"), "ヘルスアラートの有効化状態", _xlfn.REGEXTEST(C51, "Triggers"), "カスタムアラート条件（トリガー設定）", _xlfn.REGEXTEST(C51, "Healthy Kafka Broker"), "Kafka Brokerの健全ノード割合（稼働率）", _xlfn.REGEXTEST(C51, "Healthy Kafka Connect"), "Kafka Connectの健全ノード割合（稼働率）", _xlfn.REGEXTEST(C51, "Healthy KRaft Controller"), "KRaft Controllerの健全ノード割合（稼働率）", _xlfn.REGEXTEST(C51, "Healthy Knox IDBroker"), "Knox IDBrokerの健全ノード割合（稼働率）", _xlfn.REGEXTEST(C51, "Healthy Knox Gateway"), "Knox Gatewayの健全ノード割合（稼働率）", _xlfn.REGEXTEST(C51, "Healthy ZooKeeper Server"), "ZooKeeper Serverの健全ノード割合（稼働率）", _xlfn.REGEXTEST(C51, "Healthy NodeManager"), "NodeManagerの健全ノード割合（稼働率）", _xlfn.REGEXTEST(C51, "Maximum Latency"), "リクエストの最大レイテンシ（処理遅延）", _xlfn.REGEXTEST(C51, "Garbage Collection Duration"), "Javaのガベージコレクション（GC）の所要時間", _xlfn.REGEXTEST(C51, "Spool Directory Usage"), "Rangerプラグインのスプールディレクトリ使用量", _xlfn.REGEXTEST(C51, "Process Directory Free Space Monitoring Absolute"), "プロセスディレクトリの空き容量（絶対値)", _xlfn.REGEXTEST(C51, "Process Directory Free Space.*Percentage"), "プロセスディレクトリの空き容量割合（%）", _xlfn.REGEXTEST(C51, "Parcel Directory Free Space.*Absolute"), "パーセルディレクトリの空き容量（絶対値）", _xlfn.REGEXTEST(C51, "Parcel Directory Free Space.*Percentage"), "パーセルディレクトリの空き容量割合（%）", _xlfn.REGEXTEST(C51, "Host Network Frame Error Percentage"), "ホストのネットワークフレームエラー割合（%）", _xlfn.REGEXTEST(C51, "Network Interfaces Slow Link Modes"), "ホストのネットワークインターフェースの低速リンクモード検出", _xlfn.REGEXTEST(C51, "Host Memory Swapping"), "ホストのメモリのスワップ発生状態", TRUE, "要手動確認")</f>
        <v>スワップメモリ使用量の変化率（増加速度）</v>
      </c>
      <c r="H51" s="479" t="s">
        <v>683</v>
      </c>
    </row>
    <row r="52" spans="1:8" ht="33.6">
      <c r="A52" s="468"/>
      <c r="B52" s="473"/>
      <c r="C52" s="471" t="s">
        <v>801</v>
      </c>
      <c r="D52" s="471" t="s">
        <v>764</v>
      </c>
      <c r="E52" s="471" t="s">
        <v>785</v>
      </c>
      <c r="F52" s="471"/>
      <c r="G52" s="471" t="str" cm="1">
        <f t="array" ref="G52">_xlfn.IFS(C52 = "", "", _xlfn.REGEXTEST(C52, "Host Clock Offset"), "ホストのクロックオフセット（時刻同期のズレ）", _xlfn.REGEXTEST(C52, "Memory Overcommit Validation"), "メモリオーバーコミット設定の検証", _xlfn.REGEXTEST(C52, "Gateway Logging"), "ゲートウェイのログ出力設定", _xlfn.REGEXTEST(C52, "CPU Balance"), "CPU使用率の分散バランス状態", _xlfn.REGEXTEST(C52, "Disk Balance"), "ディスク使用量の分散バランス状態", _xlfn.REGEXTEST(C52, "Network Inbound Balance"), "ネットワークインバウンド（受信）の分散バランス状態", _xlfn.REGEXTEST(C52, "Network Outbound Balance"), "ネットワークアウトバウンド（送信）の分散バランス状態", _xlfn.REGEXTEST(C52, "Replica Count Balance"), "レプリカ数の分散バランス状態", _xlfn.REGEXTEST(C52, "Disk Capacity"), "ディスク総容量の限界・使用容量", _xlfn.REGEXTEST(C52, "CPU Capacity"), "CPU総処理能力の限界・使用量", _xlfn.REGEXTEST(C52, "Network Inbound Capacity"), "ネットワークインバウンド（受信）帯域の限界・使用量", _xlfn.REGEXTEST(C52, "Network Outbound Capacity"), "ネットワークアウトバウンド（送信）帯域の限界・使用量", _xlfn.REGEXTEST(C52, "Leader Replica Count Balance"), "リーダーレプリカ数の分散バランス状態", _xlfn.REGEXTEST(C52, "Host DNS Resolution Duration"), "ホストのDNS名前解決の所要時間", _xlfn.REGEXTEST(C52, "TLS Certificate Expiry"), "TLS証明書の有効期限切れ", _xlfn.REGEXTEST(C52, "Host Entropy"), "ホストのエントロピー（乱数生成能力）の不足", _xlfn.REGEXTEST(C52, "File Descriptor"), "プロセスのファイルディスクリプタ使用率", _xlfn.REGEXTEST(C52, "Unexpected Exits"), "プロセスの異常終了（予期せぬ停止）", _xlfn.REGEXTEST(C52, "Swap Memory Thresholds"), "プロセスのスワップメモリ使用量", _xlfn.REGEXTEST(C52, "Swap Memory Usage Rate"), "スワップメモリ使用量の変化率（増加速度）", _xlfn.REGEXTEST(C52, "Log Directory Free Space.*Absolute"), "ログディレクトリの空き容量（絶対値）", _xlfn.REGEXTEST(C52, "Log Directory Free Space.*Percentage"), "ログディレクトリの空き容量割合（%）", _xlfn.REGEXTEST(C52, "Heap Dump Directory Free Space.*Absolute"), "ヒープダンプディレクトリの空き容量（絶対値）", _xlfn.REGEXTEST(C52, "Heap Dump Directory Free Space.*Percentage"), "ヒープダンプディレクトリの空き容量割合（%）", _xlfn.REGEXTEST(C52, "Data Directory Free Space.*Absolute"), "データディレクトリの空き容量（絶対値）", _xlfn.REGEXTEST(C52, "Data Directory Free Space.*Percentage"), "データディレクトリの空き容量割合（%）", _xlfn.REGEXTEST(C52, "Transaction Log Directory Free Space.*Absolute"), "トランザクションログディレクトリの空き容量（絶対値）", _xlfn.REGEXTEST(C52, "Logging Threshold|Logger Threshold"), "ログ出力レベルの閾値設定", _xlfn.REGEXTEST(C52, "Enable.*Alerts"), "ヘルスアラートの有効化状態", _xlfn.REGEXTEST(C52, "Triggers"), "カスタムアラート条件（トリガー設定）", _xlfn.REGEXTEST(C52, "Healthy Kafka Broker"), "Kafka Brokerの健全ノード割合（稼働率）", _xlfn.REGEXTEST(C52, "Healthy Kafka Connect"), "Kafka Connectの健全ノード割合（稼働率）", _xlfn.REGEXTEST(C52, "Healthy KRaft Controller"), "KRaft Controllerの健全ノード割合（稼働率）", _xlfn.REGEXTEST(C52, "Healthy Knox IDBroker"), "Knox IDBrokerの健全ノード割合（稼働率）", _xlfn.REGEXTEST(C52, "Healthy Knox Gateway"), "Knox Gatewayの健全ノード割合（稼働率）", _xlfn.REGEXTEST(C52, "Healthy ZooKeeper Server"), "ZooKeeper Serverの健全ノード割合（稼働率）", _xlfn.REGEXTEST(C52, "Healthy NodeManager"), "NodeManagerの健全ノード割合（稼働率）", _xlfn.REGEXTEST(C52, "Maximum Latency"), "リクエストの最大レイテンシ（処理遅延）", _xlfn.REGEXTEST(C52, "Garbage Collection Duration"), "Javaのガベージコレクション（GC）の所要時間", _xlfn.REGEXTEST(C52, "Spool Directory Usage"), "Rangerプラグインのスプールディレクトリ使用量", _xlfn.REGEXTEST(C52, "Process Directory Free Space Monitoring Absolute"), "プロセスディレクトリの空き容量（絶対値)", _xlfn.REGEXTEST(C52, "Process Directory Free Space.*Percentage"), "プロセスディレクトリの空き容量割合（%）", _xlfn.REGEXTEST(C52, "Parcel Directory Free Space.*Absolute"), "パーセルディレクトリの空き容量（絶対値）", _xlfn.REGEXTEST(C52, "Parcel Directory Free Space.*Percentage"), "パーセルディレクトリの空き容量割合（%）", _xlfn.REGEXTEST(C52, "Host Network Frame Error Percentage"), "ホストのネットワークフレームエラー割合（%）", _xlfn.REGEXTEST(C52, "Network Interfaces Slow Link Modes"), "ホストのネットワークインターフェースの低速リンクモード検出", _xlfn.REGEXTEST(C52, "Host Memory Swapping"), "ホストのメモリのスワップ発生状態", TRUE, "要手動確認")</f>
        <v>Rangerプラグインのスプールディレクトリ使用量</v>
      </c>
      <c r="H52" s="479" t="s">
        <v>766</v>
      </c>
    </row>
    <row r="53" spans="1:8" ht="33.6">
      <c r="A53" s="514"/>
      <c r="B53" s="470"/>
      <c r="C53" s="471" t="s">
        <v>736</v>
      </c>
      <c r="D53" s="471" t="s">
        <v>802</v>
      </c>
      <c r="E53" s="471" t="s">
        <v>787</v>
      </c>
      <c r="F53" s="471"/>
      <c r="G53" s="471" t="str" cm="1">
        <f t="array" ref="G53">_xlfn.IFS(C53 = "", "", _xlfn.REGEXTEST(C53, "Host Clock Offset"), "ホストのクロックオフセット（時刻同期のズレ）", _xlfn.REGEXTEST(C53, "Memory Overcommit Validation"), "メモリオーバーコミット設定の検証", _xlfn.REGEXTEST(C53, "Gateway Logging"), "ゲートウェイのログ出力設定", _xlfn.REGEXTEST(C53, "CPU Balance"), "CPU使用率の分散バランス状態", _xlfn.REGEXTEST(C53, "Disk Balance"), "ディスク使用量の分散バランス状態", _xlfn.REGEXTEST(C53, "Network Inbound Balance"), "ネットワークインバウンド（受信）の分散バランス状態", _xlfn.REGEXTEST(C53, "Network Outbound Balance"), "ネットワークアウトバウンド（送信）の分散バランス状態", _xlfn.REGEXTEST(C53, "Replica Count Balance"), "レプリカ数の分散バランス状態", _xlfn.REGEXTEST(C53, "Disk Capacity"), "ディスク総容量の限界・使用容量", _xlfn.REGEXTEST(C53, "CPU Capacity"), "CPU総処理能力の限界・使用量", _xlfn.REGEXTEST(C53, "Network Inbound Capacity"), "ネットワークインバウンド（受信）帯域の限界・使用量", _xlfn.REGEXTEST(C53, "Network Outbound Capacity"), "ネットワークアウトバウンド（送信）帯域の限界・使用量", _xlfn.REGEXTEST(C53, "Leader Replica Count Balance"), "リーダーレプリカ数の分散バランス状態", _xlfn.REGEXTEST(C53, "Host DNS Resolution Duration"), "ホストのDNS名前解決の所要時間", _xlfn.REGEXTEST(C53, "TLS Certificate Expiry"), "TLS証明書の有効期限切れ", _xlfn.REGEXTEST(C53, "Host Entropy"), "ホストのエントロピー（乱数生成能力）の不足", _xlfn.REGEXTEST(C53, "File Descriptor"), "プロセスのファイルディスクリプタ使用率", _xlfn.REGEXTEST(C53, "Unexpected Exits"), "プロセスの異常終了（予期せぬ停止）", _xlfn.REGEXTEST(C53, "Swap Memory Thresholds"), "プロセスのスワップメモリ使用量", _xlfn.REGEXTEST(C53, "Swap Memory Usage Rate"), "スワップメモリ使用量の変化率（増加速度）", _xlfn.REGEXTEST(C53, "Log Directory Free Space.*Absolute"), "ログディレクトリの空き容量（絶対値）", _xlfn.REGEXTEST(C53, "Log Directory Free Space.*Percentage"), "ログディレクトリの空き容量割合（%）", _xlfn.REGEXTEST(C53, "Heap Dump Directory Free Space.*Absolute"), "ヒープダンプディレクトリの空き容量（絶対値）", _xlfn.REGEXTEST(C53, "Heap Dump Directory Free Space.*Percentage"), "ヒープダンプディレクトリの空き容量割合（%）", _xlfn.REGEXTEST(C53, "Data Directory Free Space.*Absolute"), "データディレクトリの空き容量（絶対値）", _xlfn.REGEXTEST(C53, "Data Directory Free Space.*Percentage"), "データディレクトリの空き容量割合（%）", _xlfn.REGEXTEST(C53, "Transaction Log Directory Free Space.*Absolute"), "トランザクションログディレクトリの空き容量（絶対値）", _xlfn.REGEXTEST(C53, "Logging Threshold|Logger Threshold"), "ログ出力レベルの閾値設定", _xlfn.REGEXTEST(C53, "Enable.*Alerts"), "ヘルスアラートの有効化状態", _xlfn.REGEXTEST(C53, "Triggers"), "カスタムアラート条件（トリガー設定）", _xlfn.REGEXTEST(C53, "Healthy Kafka Broker"), "Kafka Brokerの健全ノード割合（稼働率）", _xlfn.REGEXTEST(C53, "Healthy Kafka Connect"), "Kafka Connectの健全ノード割合（稼働率）", _xlfn.REGEXTEST(C53, "Healthy KRaft Controller"), "KRaft Controllerの健全ノード割合（稼働率）", _xlfn.REGEXTEST(C53, "Healthy Knox IDBroker"), "Knox IDBrokerの健全ノード割合（稼働率）", _xlfn.REGEXTEST(C53, "Healthy Knox Gateway"), "Knox Gatewayの健全ノード割合（稼働率）", _xlfn.REGEXTEST(C53, "Healthy ZooKeeper Server"), "ZooKeeper Serverの健全ノード割合（稼働率）", _xlfn.REGEXTEST(C53, "Healthy NodeManager"), "NodeManagerの健全ノード割合（稼働率）", _xlfn.REGEXTEST(C53, "Maximum Latency"), "リクエストの最大レイテンシ（処理遅延）", _xlfn.REGEXTEST(C53, "Garbage Collection Duration"), "Javaのガベージコレクション（GC）の所要時間", _xlfn.REGEXTEST(C53, "Spool Directory Usage"), "Rangerプラグインのスプールディレクトリ使用量", _xlfn.REGEXTEST(C53, "Process Directory Free Space Monitoring Absolute"), "プロセスディレクトリの空き容量（絶対値)", _xlfn.REGEXTEST(C53, "Process Directory Free Space.*Percentage"), "プロセスディレクトリの空き容量割合（%）", _xlfn.REGEXTEST(C53, "Parcel Directory Free Space.*Absolute"), "パーセルディレクトリの空き容量（絶対値）", _xlfn.REGEXTEST(C53, "Parcel Directory Free Space.*Percentage"), "パーセルディレクトリの空き容量割合（%）", _xlfn.REGEXTEST(C53, "Host Network Frame Error Percentage"), "ホストのネットワークフレームエラー割合（%）", _xlfn.REGEXTEST(C53, "Network Interfaces Slow Link Modes"), "ホストのネットワークインターフェースの低速リンクモード検出", _xlfn.REGEXTEST(C53, "Host Memory Swapping"), "ホストのメモリのスワップ発生状態", TRUE, "要手動確認")</f>
        <v>プロセスのファイルディスクリプタ使用率</v>
      </c>
      <c r="H53" s="479" t="s">
        <v>740</v>
      </c>
    </row>
    <row r="54" spans="1:8" ht="33.6">
      <c r="A54" s="514"/>
      <c r="B54" s="472" t="s">
        <v>803</v>
      </c>
      <c r="C54" s="471" t="s">
        <v>804</v>
      </c>
      <c r="D54" s="471" t="s">
        <v>805</v>
      </c>
      <c r="E54" s="471" t="s">
        <v>806</v>
      </c>
      <c r="F54" s="471"/>
      <c r="G54" s="471" t="str" cm="1">
        <f t="array" ref="G54">_xlfn.IFS(C54 = "", "", _xlfn.REGEXTEST(C54, "Host Clock Offset"), "ホストのクロックオフセット（時刻同期のズレ）", _xlfn.REGEXTEST(C54, "Memory Overcommit Validation"), "メモリオーバーコミット設定の検証", _xlfn.REGEXTEST(C54, "Gateway Logging"), "ゲートウェイのログ出力設定", _xlfn.REGEXTEST(C54, "CPU Balance"), "CPU使用率の分散バランス状態", _xlfn.REGEXTEST(C54, "Disk Balance"), "ディスク使用量の分散バランス状態", _xlfn.REGEXTEST(C54, "Network Inbound Balance"), "ネットワークインバウンド（受信）の分散バランス状態", _xlfn.REGEXTEST(C54, "Network Outbound Balance"), "ネットワークアウトバウンド（送信）の分散バランス状態", _xlfn.REGEXTEST(C54, "Replica Count Balance"), "レプリカ数の分散バランス状態", _xlfn.REGEXTEST(C54, "Disk Capacity"), "ディスク総容量の限界・使用容量", _xlfn.REGEXTEST(C54, "CPU Capacity"), "CPU総処理能力の限界・使用量", _xlfn.REGEXTEST(C54, "Network Inbound Capacity"), "ネットワークインバウンド（受信）帯域の限界・使用量", _xlfn.REGEXTEST(C54, "Network Outbound Capacity"), "ネットワークアウトバウンド（送信）帯域の限界・使用量", _xlfn.REGEXTEST(C54, "Leader Replica Count Balance"), "リーダーレプリカ数の分散バランス状態", _xlfn.REGEXTEST(C54, "Host DNS Resolution Duration"), "ホストのDNS名前解決の所要時間", _xlfn.REGEXTEST(C54, "TLS Certificate Expiry"), "TLS証明書の有効期限切れ", _xlfn.REGEXTEST(C54, "Host Entropy"), "ホストのエントロピー（乱数生成能力）の不足", _xlfn.REGEXTEST(C54, "File Descriptor"), "プロセスのファイルディスクリプタ使用率", _xlfn.REGEXTEST(C54, "Unexpected Exits"), "プロセスの異常終了（予期せぬ停止）", _xlfn.REGEXTEST(C54, "Swap Memory Thresholds"), "プロセスのスワップメモリ使用量", _xlfn.REGEXTEST(C54, "Swap Memory Usage Rate"), "スワップメモリ使用量の変化率（増加速度）", _xlfn.REGEXTEST(C54, "Log Directory Free Space.*Absolute"), "ログディレクトリの空き容量（絶対値）", _xlfn.REGEXTEST(C54, "Log Directory Free Space.*Percentage"), "ログディレクトリの空き容量割合（%）", _xlfn.REGEXTEST(C54, "Heap Dump Directory Free Space.*Absolute"), "ヒープダンプディレクトリの空き容量（絶対値）", _xlfn.REGEXTEST(C54, "Heap Dump Directory Free Space.*Percentage"), "ヒープダンプディレクトリの空き容量割合（%）", _xlfn.REGEXTEST(C54, "Data Directory Free Space.*Absolute"), "データディレクトリの空き容量（絶対値）", _xlfn.REGEXTEST(C54, "Data Directory Free Space.*Percentage"), "データディレクトリの空き容量割合（%）", _xlfn.REGEXTEST(C54, "Transaction Log Directory Free Space.*Absolute"), "トランザクションログディレクトリの空き容量（絶対値）", _xlfn.REGEXTEST(C54, "Logging Threshold|Logger Threshold"), "ログ出力レベルの閾値設定", _xlfn.REGEXTEST(C54, "Enable.*Alerts"), "ヘルスアラートの有効化状態", _xlfn.REGEXTEST(C54, "Triggers"), "カスタムアラート条件（トリガー設定）", _xlfn.REGEXTEST(C54, "Healthy Kafka Broker"), "Kafka Brokerの健全ノード割合（稼働率）", _xlfn.REGEXTEST(C54, "Healthy Kafka Connect"), "Kafka Connectの健全ノード割合（稼働率）", _xlfn.REGEXTEST(C54, "Healthy KRaft Controller"), "KRaft Controllerの健全ノード割合（稼働率）", _xlfn.REGEXTEST(C54, "Healthy Knox IDBroker"), "Knox IDBrokerの健全ノード割合（稼働率）", _xlfn.REGEXTEST(C54, "Healthy Knox Gateway"), "Knox Gatewayの健全ノード割合（稼働率）", _xlfn.REGEXTEST(C54, "Healthy ZooKeeper Server"), "ZooKeeper Serverの健全ノード割合（稼働率）", _xlfn.REGEXTEST(C54, "Healthy NodeManager"), "NodeManagerの健全ノード割合（稼働率）", _xlfn.REGEXTEST(C54, "Maximum Latency"), "リクエストの最大レイテンシ（処理遅延）", _xlfn.REGEXTEST(C54, "Garbage Collection Duration"), "Javaのガベージコレクション（GC）の所要時間", _xlfn.REGEXTEST(C54, "Spool Directory Usage"), "Rangerプラグインのスプールディレクトリ使用量", _xlfn.REGEXTEST(C54, "Process Directory Free Space Monitoring Absolute"), "プロセスディレクトリの空き容量（絶対値)", _xlfn.REGEXTEST(C54, "Process Directory Free Space.*Percentage"), "プロセスディレクトリの空き容量割合（%）", _xlfn.REGEXTEST(C54, "Parcel Directory Free Space.*Absolute"), "パーセルディレクトリの空き容量（絶対値）", _xlfn.REGEXTEST(C54, "Parcel Directory Free Space.*Percentage"), "パーセルディレクトリの空き容量割合（%）", _xlfn.REGEXTEST(C54, "Host Network Frame Error Percentage"), "ホストのネットワークフレームエラー割合（%）", _xlfn.REGEXTEST(C54, "Network Interfaces Slow Link Modes"), "ホストのネットワークインターフェースの低速リンクモード検出", _xlfn.REGEXTEST(C54, "Host Memory Swapping"), "ホストのメモリのスワップ発生状態", TRUE, "要手動確認")</f>
        <v>ZooKeeper Serverの健全ノード割合（稼働率）</v>
      </c>
      <c r="H54" s="479" t="s">
        <v>807</v>
      </c>
    </row>
    <row r="55" spans="1:8" ht="33.6">
      <c r="A55" s="468"/>
      <c r="B55" s="473"/>
      <c r="C55" s="471" t="s">
        <v>808</v>
      </c>
      <c r="D55" s="471" t="s">
        <v>809</v>
      </c>
      <c r="E55" s="471" t="s">
        <v>810</v>
      </c>
      <c r="F55" s="471"/>
      <c r="G55" s="471" t="str" cm="1">
        <f t="array" ref="G55">_xlfn.IFS(C55 = "", "", _xlfn.REGEXTEST(C55, "Host Clock Offset"), "ホストのクロックオフセット（時刻同期のズレ）", _xlfn.REGEXTEST(C55, "Memory Overcommit Validation"), "メモリオーバーコミット設定の検証", _xlfn.REGEXTEST(C55, "Gateway Logging"), "ゲートウェイのログ出力設定", _xlfn.REGEXTEST(C55, "CPU Balance"), "CPU使用率の分散バランス状態", _xlfn.REGEXTEST(C55, "Disk Balance"), "ディスク使用量の分散バランス状態", _xlfn.REGEXTEST(C55, "Network Inbound Balance"), "ネットワークインバウンド（受信）の分散バランス状態", _xlfn.REGEXTEST(C55, "Network Outbound Balance"), "ネットワークアウトバウンド（送信）の分散バランス状態", _xlfn.REGEXTEST(C55, "Replica Count Balance"), "レプリカ数の分散バランス状態", _xlfn.REGEXTEST(C55, "Disk Capacity"), "ディスク総容量の限界・使用容量", _xlfn.REGEXTEST(C55, "CPU Capacity"), "CPU総処理能力の限界・使用量", _xlfn.REGEXTEST(C55, "Network Inbound Capacity"), "ネットワークインバウンド（受信）帯域の限界・使用量", _xlfn.REGEXTEST(C55, "Network Outbound Capacity"), "ネットワークアウトバウンド（送信）帯域の限界・使用量", _xlfn.REGEXTEST(C55, "Leader Replica Count Balance"), "リーダーレプリカ数の分散バランス状態", _xlfn.REGEXTEST(C55, "Host DNS Resolution Duration"), "ホストのDNS名前解決の所要時間", _xlfn.REGEXTEST(C55, "TLS Certificate Expiry"), "TLS証明書の有効期限切れ", _xlfn.REGEXTEST(C55, "Host Entropy"), "ホストのエントロピー（乱数生成能力）の不足", _xlfn.REGEXTEST(C55, "File Descriptor"), "プロセスのファイルディスクリプタ使用率", _xlfn.REGEXTEST(C55, "Unexpected Exits"), "プロセスの異常終了（予期せぬ停止）", _xlfn.REGEXTEST(C55, "Swap Memory Thresholds"), "プロセスのスワップメモリ使用量", _xlfn.REGEXTEST(C55, "Swap Memory Usage Rate"), "スワップメモリ使用量の変化率（増加速度）", _xlfn.REGEXTEST(C55, "Log Directory Free Space.*Absolute"), "ログディレクトリの空き容量（絶対値）", _xlfn.REGEXTEST(C55, "Log Directory Free Space.*Percentage"), "ログディレクトリの空き容量割合（%）", _xlfn.REGEXTEST(C55, "Heap Dump Directory Free Space.*Absolute"), "ヒープダンプディレクトリの空き容量（絶対値）", _xlfn.REGEXTEST(C55, "Heap Dump Directory Free Space.*Percentage"), "ヒープダンプディレクトリの空き容量割合（%）", _xlfn.REGEXTEST(C55, "Data Directory Free Space.*Absolute"), "データディレクトリの空き容量（絶対値）", _xlfn.REGEXTEST(C55, "Data Directory Free Space.*Percentage"), "データディレクトリの空き容量割合（%）", _xlfn.REGEXTEST(C55, "Transaction Log Directory Free Space.*Absolute"), "トランザクションログディレクトリの空き容量（絶対値）", _xlfn.REGEXTEST(C55, "Logging Threshold|Logger Threshold"), "ログ出力レベルの閾値設定", _xlfn.REGEXTEST(C55, "Enable.*Alerts"), "ヘルスアラートの有効化状態", _xlfn.REGEXTEST(C55, "Triggers"), "カスタムアラート条件（トリガー設定）", _xlfn.REGEXTEST(C55, "Healthy Kafka Broker"), "Kafka Brokerの健全ノード割合（稼働率）", _xlfn.REGEXTEST(C55, "Healthy Kafka Connect"), "Kafka Connectの健全ノード割合（稼働率）", _xlfn.REGEXTEST(C55, "Healthy KRaft Controller"), "KRaft Controllerの健全ノード割合（稼働率）", _xlfn.REGEXTEST(C55, "Healthy Knox IDBroker"), "Knox IDBrokerの健全ノード割合（稼働率）", _xlfn.REGEXTEST(C55, "Healthy Knox Gateway"), "Knox Gatewayの健全ノード割合（稼働率）", _xlfn.REGEXTEST(C55, "Healthy ZooKeeper Server"), "ZooKeeper Serverの健全ノード割合（稼働率）", _xlfn.REGEXTEST(C55, "Healthy NodeManager"), "NodeManagerの健全ノード割合（稼働率）", _xlfn.REGEXTEST(C55, "Maximum Latency"), "リクエストの最大レイテンシ（処理遅延）", _xlfn.REGEXTEST(C55, "Garbage Collection Duration"), "Javaのガベージコレクション（GC）の所要時間", _xlfn.REGEXTEST(C55, "Spool Directory Usage"), "Rangerプラグインのスプールディレクトリ使用量", _xlfn.REGEXTEST(C55, "Process Directory Free Space Monitoring Absolute"), "プロセスディレクトリの空き容量（絶対値)", _xlfn.REGEXTEST(C55, "Process Directory Free Space.*Percentage"), "プロセスディレクトリの空き容量割合（%）", _xlfn.REGEXTEST(C55, "Parcel Directory Free Space.*Absolute"), "パーセルディレクトリの空き容量（絶対値）", _xlfn.REGEXTEST(C55, "Parcel Directory Free Space.*Percentage"), "パーセルディレクトリの空き容量割合（%）", _xlfn.REGEXTEST(C55, "Host Network Frame Error Percentage"), "ホストのネットワークフレームエラー割合（%）", _xlfn.REGEXTEST(C55, "Network Interfaces Slow Link Modes"), "ホストのネットワークインターフェースの低速リンクモード検出", _xlfn.REGEXTEST(C55, "Host Memory Swapping"), "ホストのメモリのスワップ発生状態", TRUE, "要手動確認")</f>
        <v>リクエストの最大レイテンシ（処理遅延）</v>
      </c>
      <c r="H55" s="479" t="s">
        <v>811</v>
      </c>
    </row>
    <row r="56" spans="1:8" ht="33.6">
      <c r="A56" s="468"/>
      <c r="B56" s="473"/>
      <c r="C56" s="471" t="s">
        <v>736</v>
      </c>
      <c r="D56" s="471" t="s">
        <v>812</v>
      </c>
      <c r="E56" s="471" t="s">
        <v>810</v>
      </c>
      <c r="F56" s="471"/>
      <c r="G56" s="471" t="str" cm="1">
        <f t="array" ref="G56">_xlfn.IFS(C56 = "", "", _xlfn.REGEXTEST(C56, "Host Clock Offset"), "ホストのクロックオフセット（時刻同期のズレ）", _xlfn.REGEXTEST(C56, "Memory Overcommit Validation"), "メモリオーバーコミット設定の検証", _xlfn.REGEXTEST(C56, "Gateway Logging"), "ゲートウェイのログ出力設定", _xlfn.REGEXTEST(C56, "CPU Balance"), "CPU使用率の分散バランス状態", _xlfn.REGEXTEST(C56, "Disk Balance"), "ディスク使用量の分散バランス状態", _xlfn.REGEXTEST(C56, "Network Inbound Balance"), "ネットワークインバウンド（受信）の分散バランス状態", _xlfn.REGEXTEST(C56, "Network Outbound Balance"), "ネットワークアウトバウンド（送信）の分散バランス状態", _xlfn.REGEXTEST(C56, "Replica Count Balance"), "レプリカ数の分散バランス状態", _xlfn.REGEXTEST(C56, "Disk Capacity"), "ディスク総容量の限界・使用容量", _xlfn.REGEXTEST(C56, "CPU Capacity"), "CPU総処理能力の限界・使用量", _xlfn.REGEXTEST(C56, "Network Inbound Capacity"), "ネットワークインバウンド（受信）帯域の限界・使用量", _xlfn.REGEXTEST(C56, "Network Outbound Capacity"), "ネットワークアウトバウンド（送信）帯域の限界・使用量", _xlfn.REGEXTEST(C56, "Leader Replica Count Balance"), "リーダーレプリカ数の分散バランス状態", _xlfn.REGEXTEST(C56, "Host DNS Resolution Duration"), "ホストのDNS名前解決の所要時間", _xlfn.REGEXTEST(C56, "TLS Certificate Expiry"), "TLS証明書の有効期限切れ", _xlfn.REGEXTEST(C56, "Host Entropy"), "ホストのエントロピー（乱数生成能力）の不足", _xlfn.REGEXTEST(C56, "File Descriptor"), "プロセスのファイルディスクリプタ使用率", _xlfn.REGEXTEST(C56, "Unexpected Exits"), "プロセスの異常終了（予期せぬ停止）", _xlfn.REGEXTEST(C56, "Swap Memory Thresholds"), "プロセスのスワップメモリ使用量", _xlfn.REGEXTEST(C56, "Swap Memory Usage Rate"), "スワップメモリ使用量の変化率（増加速度）", _xlfn.REGEXTEST(C56, "Log Directory Free Space.*Absolute"), "ログディレクトリの空き容量（絶対値）", _xlfn.REGEXTEST(C56, "Log Directory Free Space.*Percentage"), "ログディレクトリの空き容量割合（%）", _xlfn.REGEXTEST(C56, "Heap Dump Directory Free Space.*Absolute"), "ヒープダンプディレクトリの空き容量（絶対値）", _xlfn.REGEXTEST(C56, "Heap Dump Directory Free Space.*Percentage"), "ヒープダンプディレクトリの空き容量割合（%）", _xlfn.REGEXTEST(C56, "Data Directory Free Space.*Absolute"), "データディレクトリの空き容量（絶対値）", _xlfn.REGEXTEST(C56, "Data Directory Free Space.*Percentage"), "データディレクトリの空き容量割合（%）", _xlfn.REGEXTEST(C56, "Transaction Log Directory Free Space.*Absolute"), "トランザクションログディレクトリの空き容量（絶対値）", _xlfn.REGEXTEST(C56, "Logging Threshold|Logger Threshold"), "ログ出力レベルの閾値設定", _xlfn.REGEXTEST(C56, "Enable.*Alerts"), "ヘルスアラートの有効化状態", _xlfn.REGEXTEST(C56, "Triggers"), "カスタムアラート条件（トリガー設定）", _xlfn.REGEXTEST(C56, "Healthy Kafka Broker"), "Kafka Brokerの健全ノード割合（稼働率）", _xlfn.REGEXTEST(C56, "Healthy Kafka Connect"), "Kafka Connectの健全ノード割合（稼働率）", _xlfn.REGEXTEST(C56, "Healthy KRaft Controller"), "KRaft Controllerの健全ノード割合（稼働率）", _xlfn.REGEXTEST(C56, "Healthy Knox IDBroker"), "Knox IDBrokerの健全ノード割合（稼働率）", _xlfn.REGEXTEST(C56, "Healthy Knox Gateway"), "Knox Gatewayの健全ノード割合（稼働率）", _xlfn.REGEXTEST(C56, "Healthy ZooKeeper Server"), "ZooKeeper Serverの健全ノード割合（稼働率）", _xlfn.REGEXTEST(C56, "Healthy NodeManager"), "NodeManagerの健全ノード割合（稼働率）", _xlfn.REGEXTEST(C56, "Maximum Latency"), "リクエストの最大レイテンシ（処理遅延）", _xlfn.REGEXTEST(C56, "Garbage Collection Duration"), "Javaのガベージコレクション（GC）の所要時間", _xlfn.REGEXTEST(C56, "Spool Directory Usage"), "Rangerプラグインのスプールディレクトリ使用量", _xlfn.REGEXTEST(C56, "Process Directory Free Space Monitoring Absolute"), "プロセスディレクトリの空き容量（絶対値)", _xlfn.REGEXTEST(C56, "Process Directory Free Space.*Percentage"), "プロセスディレクトリの空き容量割合（%）", _xlfn.REGEXTEST(C56, "Parcel Directory Free Space.*Absolute"), "パーセルディレクトリの空き容量（絶対値）", _xlfn.REGEXTEST(C56, "Parcel Directory Free Space.*Percentage"), "パーセルディレクトリの空き容量割合（%）", _xlfn.REGEXTEST(C56, "Host Network Frame Error Percentage"), "ホストのネットワークフレームエラー割合（%）", _xlfn.REGEXTEST(C56, "Network Interfaces Slow Link Modes"), "ホストのネットワークインターフェースの低速リンクモード検出", _xlfn.REGEXTEST(C56, "Host Memory Swapping"), "ホストのメモリのスワップ発生状態", TRUE, "要手動確認")</f>
        <v>プロセスのファイルディスクリプタ使用率</v>
      </c>
      <c r="H56" s="479" t="s">
        <v>813</v>
      </c>
    </row>
    <row r="57" spans="1:8" ht="33.6">
      <c r="A57" s="468"/>
      <c r="B57" s="473"/>
      <c r="C57" s="471" t="s">
        <v>741</v>
      </c>
      <c r="D57" s="471" t="s">
        <v>742</v>
      </c>
      <c r="E57" s="471" t="s">
        <v>810</v>
      </c>
      <c r="F57" s="471"/>
      <c r="G57" s="471" t="str" cm="1">
        <f t="array" ref="G57">_xlfn.IFS(C57 = "", "", _xlfn.REGEXTEST(C57, "Host Clock Offset"), "ホストのクロックオフセット（時刻同期のズレ）", _xlfn.REGEXTEST(C57, "Memory Overcommit Validation"), "メモリオーバーコミット設定の検証", _xlfn.REGEXTEST(C57, "Gateway Logging"), "ゲートウェイのログ出力設定", _xlfn.REGEXTEST(C57, "CPU Balance"), "CPU使用率の分散バランス状態", _xlfn.REGEXTEST(C57, "Disk Balance"), "ディスク使用量の分散バランス状態", _xlfn.REGEXTEST(C57, "Network Inbound Balance"), "ネットワークインバウンド（受信）の分散バランス状態", _xlfn.REGEXTEST(C57, "Network Outbound Balance"), "ネットワークアウトバウンド（送信）の分散バランス状態", _xlfn.REGEXTEST(C57, "Replica Count Balance"), "レプリカ数の分散バランス状態", _xlfn.REGEXTEST(C57, "Disk Capacity"), "ディスク総容量の限界・使用容量", _xlfn.REGEXTEST(C57, "CPU Capacity"), "CPU総処理能力の限界・使用量", _xlfn.REGEXTEST(C57, "Network Inbound Capacity"), "ネットワークインバウンド（受信）帯域の限界・使用量", _xlfn.REGEXTEST(C57, "Network Outbound Capacity"), "ネットワークアウトバウンド（送信）帯域の限界・使用量", _xlfn.REGEXTEST(C57, "Leader Replica Count Balance"), "リーダーレプリカ数の分散バランス状態", _xlfn.REGEXTEST(C57, "Host DNS Resolution Duration"), "ホストのDNS名前解決の所要時間", _xlfn.REGEXTEST(C57, "TLS Certificate Expiry"), "TLS証明書の有効期限切れ", _xlfn.REGEXTEST(C57, "Host Entropy"), "ホストのエントロピー（乱数生成能力）の不足", _xlfn.REGEXTEST(C57, "File Descriptor"), "プロセスのファイルディスクリプタ使用率", _xlfn.REGEXTEST(C57, "Unexpected Exits"), "プロセスの異常終了（予期せぬ停止）", _xlfn.REGEXTEST(C57, "Swap Memory Thresholds"), "プロセスのスワップメモリ使用量", _xlfn.REGEXTEST(C57, "Swap Memory Usage Rate"), "スワップメモリ使用量の変化率（増加速度）", _xlfn.REGEXTEST(C57, "Log Directory Free Space.*Absolute"), "ログディレクトリの空き容量（絶対値）", _xlfn.REGEXTEST(C57, "Log Directory Free Space.*Percentage"), "ログディレクトリの空き容量割合（%）", _xlfn.REGEXTEST(C57, "Heap Dump Directory Free Space.*Absolute"), "ヒープダンプディレクトリの空き容量（絶対値）", _xlfn.REGEXTEST(C57, "Heap Dump Directory Free Space.*Percentage"), "ヒープダンプディレクトリの空き容量割合（%）", _xlfn.REGEXTEST(C57, "Data Directory Free Space.*Absolute"), "データディレクトリの空き容量（絶対値）", _xlfn.REGEXTEST(C57, "Data Directory Free Space.*Percentage"), "データディレクトリの空き容量割合（%）", _xlfn.REGEXTEST(C57, "Transaction Log Directory Free Space.*Absolute"), "トランザクションログディレクトリの空き容量（絶対値）", _xlfn.REGEXTEST(C57, "Logging Threshold|Logger Threshold"), "ログ出力レベルの閾値設定", _xlfn.REGEXTEST(C57, "Enable.*Alerts"), "ヘルスアラートの有効化状態", _xlfn.REGEXTEST(C57, "Triggers"), "カスタムアラート条件（トリガー設定）", _xlfn.REGEXTEST(C57, "Healthy Kafka Broker"), "Kafka Brokerの健全ノード割合（稼働率）", _xlfn.REGEXTEST(C57, "Healthy Kafka Connect"), "Kafka Connectの健全ノード割合（稼働率）", _xlfn.REGEXTEST(C57, "Healthy KRaft Controller"), "KRaft Controllerの健全ノード割合（稼働率）", _xlfn.REGEXTEST(C57, "Healthy Knox IDBroker"), "Knox IDBrokerの健全ノード割合（稼働率）", _xlfn.REGEXTEST(C57, "Healthy Knox Gateway"), "Knox Gatewayの健全ノード割合（稼働率）", _xlfn.REGEXTEST(C57, "Healthy ZooKeeper Server"), "ZooKeeper Serverの健全ノード割合（稼働率）", _xlfn.REGEXTEST(C57, "Healthy NodeManager"), "NodeManagerの健全ノード割合（稼働率）", _xlfn.REGEXTEST(C57, "Maximum Latency"), "リクエストの最大レイテンシ（処理遅延）", _xlfn.REGEXTEST(C57, "Garbage Collection Duration"), "Javaのガベージコレクション（GC）の所要時間", _xlfn.REGEXTEST(C57, "Spool Directory Usage"), "Rangerプラグインのスプールディレクトリ使用量", _xlfn.REGEXTEST(C57, "Process Directory Free Space Monitoring Absolute"), "プロセスディレクトリの空き容量（絶対値)", _xlfn.REGEXTEST(C57, "Process Directory Free Space.*Percentage"), "プロセスディレクトリの空き容量割合（%）", _xlfn.REGEXTEST(C57, "Parcel Directory Free Space.*Absolute"), "パーセルディレクトリの空き容量（絶対値）", _xlfn.REGEXTEST(C57, "Parcel Directory Free Space.*Percentage"), "パーセルディレクトリの空き容量割合（%）", _xlfn.REGEXTEST(C57, "Host Network Frame Error Percentage"), "ホストのネットワークフレームエラー割合（%）", _xlfn.REGEXTEST(C57, "Network Interfaces Slow Link Modes"), "ホストのネットワークインターフェースの低速リンクモード検出", _xlfn.REGEXTEST(C57, "Host Memory Swapping"), "ホストのメモリのスワップ発生状態", TRUE, "要手動確認")</f>
        <v>ログディレクトリの空き容量（絶対値）</v>
      </c>
      <c r="H57" s="479" t="s">
        <v>692</v>
      </c>
    </row>
    <row r="58" spans="1:8" ht="33.6">
      <c r="A58" s="468"/>
      <c r="B58" s="473"/>
      <c r="C58" s="471" t="s">
        <v>746</v>
      </c>
      <c r="D58" s="471" t="s">
        <v>747</v>
      </c>
      <c r="E58" s="471" t="s">
        <v>810</v>
      </c>
      <c r="F58" s="471"/>
      <c r="G58" s="471" t="str" cm="1">
        <f t="array" ref="G58">_xlfn.IFS(C58 = "", "", _xlfn.REGEXTEST(C58, "Host Clock Offset"), "ホストのクロックオフセット（時刻同期のズレ）", _xlfn.REGEXTEST(C58, "Memory Overcommit Validation"), "メモリオーバーコミット設定の検証", _xlfn.REGEXTEST(C58, "Gateway Logging"), "ゲートウェイのログ出力設定", _xlfn.REGEXTEST(C58, "CPU Balance"), "CPU使用率の分散バランス状態", _xlfn.REGEXTEST(C58, "Disk Balance"), "ディスク使用量の分散バランス状態", _xlfn.REGEXTEST(C58, "Network Inbound Balance"), "ネットワークインバウンド（受信）の分散バランス状態", _xlfn.REGEXTEST(C58, "Network Outbound Balance"), "ネットワークアウトバウンド（送信）の分散バランス状態", _xlfn.REGEXTEST(C58, "Replica Count Balance"), "レプリカ数の分散バランス状態", _xlfn.REGEXTEST(C58, "Disk Capacity"), "ディスク総容量の限界・使用容量", _xlfn.REGEXTEST(C58, "CPU Capacity"), "CPU総処理能力の限界・使用量", _xlfn.REGEXTEST(C58, "Network Inbound Capacity"), "ネットワークインバウンド（受信）帯域の限界・使用量", _xlfn.REGEXTEST(C58, "Network Outbound Capacity"), "ネットワークアウトバウンド（送信）帯域の限界・使用量", _xlfn.REGEXTEST(C58, "Leader Replica Count Balance"), "リーダーレプリカ数の分散バランス状態", _xlfn.REGEXTEST(C58, "Host DNS Resolution Duration"), "ホストのDNS名前解決の所要時間", _xlfn.REGEXTEST(C58, "TLS Certificate Expiry"), "TLS証明書の有効期限切れ", _xlfn.REGEXTEST(C58, "Host Entropy"), "ホストのエントロピー（乱数生成能力）の不足", _xlfn.REGEXTEST(C58, "File Descriptor"), "プロセスのファイルディスクリプタ使用率", _xlfn.REGEXTEST(C58, "Unexpected Exits"), "プロセスの異常終了（予期せぬ停止）", _xlfn.REGEXTEST(C58, "Swap Memory Thresholds"), "プロセスのスワップメモリ使用量", _xlfn.REGEXTEST(C58, "Swap Memory Usage Rate"), "スワップメモリ使用量の変化率（増加速度）", _xlfn.REGEXTEST(C58, "Log Directory Free Space.*Absolute"), "ログディレクトリの空き容量（絶対値）", _xlfn.REGEXTEST(C58, "Log Directory Free Space.*Percentage"), "ログディレクトリの空き容量割合（%）", _xlfn.REGEXTEST(C58, "Heap Dump Directory Free Space.*Absolute"), "ヒープダンプディレクトリの空き容量（絶対値）", _xlfn.REGEXTEST(C58, "Heap Dump Directory Free Space.*Percentage"), "ヒープダンプディレクトリの空き容量割合（%）", _xlfn.REGEXTEST(C58, "Data Directory Free Space.*Absolute"), "データディレクトリの空き容量（絶対値）", _xlfn.REGEXTEST(C58, "Data Directory Free Space.*Percentage"), "データディレクトリの空き容量割合（%）", _xlfn.REGEXTEST(C58, "Transaction Log Directory Free Space.*Absolute"), "トランザクションログディレクトリの空き容量（絶対値）", _xlfn.REGEXTEST(C58, "Logging Threshold|Logger Threshold"), "ログ出力レベルの閾値設定", _xlfn.REGEXTEST(C58, "Enable.*Alerts"), "ヘルスアラートの有効化状態", _xlfn.REGEXTEST(C58, "Triggers"), "カスタムアラート条件（トリガー設定）", _xlfn.REGEXTEST(C58, "Healthy Kafka Broker"), "Kafka Brokerの健全ノード割合（稼働率）", _xlfn.REGEXTEST(C58, "Healthy Kafka Connect"), "Kafka Connectの健全ノード割合（稼働率）", _xlfn.REGEXTEST(C58, "Healthy KRaft Controller"), "KRaft Controllerの健全ノード割合（稼働率）", _xlfn.REGEXTEST(C58, "Healthy Knox IDBroker"), "Knox IDBrokerの健全ノード割合（稼働率）", _xlfn.REGEXTEST(C58, "Healthy Knox Gateway"), "Knox Gatewayの健全ノード割合（稼働率）", _xlfn.REGEXTEST(C58, "Healthy ZooKeeper Server"), "ZooKeeper Serverの健全ノード割合（稼働率）", _xlfn.REGEXTEST(C58, "Healthy NodeManager"), "NodeManagerの健全ノード割合（稼働率）", _xlfn.REGEXTEST(C58, "Maximum Latency"), "リクエストの最大レイテンシ（処理遅延）", _xlfn.REGEXTEST(C58, "Garbage Collection Duration"), "Javaのガベージコレクション（GC）の所要時間", _xlfn.REGEXTEST(C58, "Spool Directory Usage"), "Rangerプラグインのスプールディレクトリ使用量", _xlfn.REGEXTEST(C58, "Process Directory Free Space Monitoring Absolute"), "プロセスディレクトリの空き容量（絶対値)", _xlfn.REGEXTEST(C58, "Process Directory Free Space.*Percentage"), "プロセスディレクトリの空き容量割合（%）", _xlfn.REGEXTEST(C58, "Parcel Directory Free Space.*Absolute"), "パーセルディレクトリの空き容量（絶対値）", _xlfn.REGEXTEST(C58, "Parcel Directory Free Space.*Percentage"), "パーセルディレクトリの空き容量割合（%）", _xlfn.REGEXTEST(C58, "Host Network Frame Error Percentage"), "ホストのネットワークフレームエラー割合（%）", _xlfn.REGEXTEST(C58, "Network Interfaces Slow Link Modes"), "ホストのネットワークインターフェースの低速リンクモード検出", _xlfn.REGEXTEST(C58, "Host Memory Swapping"), "ホストのメモリのスワップ発生状態", TRUE, "要手動確認")</f>
        <v>ログディレクトリの空き容量割合（%）</v>
      </c>
      <c r="H58" s="479" t="s">
        <v>689</v>
      </c>
    </row>
    <row r="59" spans="1:8" ht="33.6">
      <c r="A59" s="468"/>
      <c r="B59" s="473"/>
      <c r="C59" s="471" t="s">
        <v>814</v>
      </c>
      <c r="D59" s="471" t="s">
        <v>815</v>
      </c>
      <c r="E59" s="471" t="s">
        <v>810</v>
      </c>
      <c r="F59" s="471"/>
      <c r="G59" s="471" t="str" cm="1">
        <f t="array" ref="G59">_xlfn.IFS(C59 = "", "", _xlfn.REGEXTEST(C59, "Host Clock Offset"), "ホストのクロックオフセット（時刻同期のズレ）", _xlfn.REGEXTEST(C59, "Memory Overcommit Validation"), "メモリオーバーコミット設定の検証", _xlfn.REGEXTEST(C59, "Gateway Logging"), "ゲートウェイのログ出力設定", _xlfn.REGEXTEST(C59, "CPU Balance"), "CPU使用率の分散バランス状態", _xlfn.REGEXTEST(C59, "Disk Balance"), "ディスク使用量の分散バランス状態", _xlfn.REGEXTEST(C59, "Network Inbound Balance"), "ネットワークインバウンド（受信）の分散バランス状態", _xlfn.REGEXTEST(C59, "Network Outbound Balance"), "ネットワークアウトバウンド（送信）の分散バランス状態", _xlfn.REGEXTEST(C59, "Replica Count Balance"), "レプリカ数の分散バランス状態", _xlfn.REGEXTEST(C59, "Disk Capacity"), "ディスク総容量の限界・使用容量", _xlfn.REGEXTEST(C59, "CPU Capacity"), "CPU総処理能力の限界・使用量", _xlfn.REGEXTEST(C59, "Network Inbound Capacity"), "ネットワークインバウンド（受信）帯域の限界・使用量", _xlfn.REGEXTEST(C59, "Network Outbound Capacity"), "ネットワークアウトバウンド（送信）帯域の限界・使用量", _xlfn.REGEXTEST(C59, "Leader Replica Count Balance"), "リーダーレプリカ数の分散バランス状態", _xlfn.REGEXTEST(C59, "Host DNS Resolution Duration"), "ホストのDNS名前解決の所要時間", _xlfn.REGEXTEST(C59, "TLS Certificate Expiry"), "TLS証明書の有効期限切れ", _xlfn.REGEXTEST(C59, "Host Entropy"), "ホストのエントロピー（乱数生成能力）の不足", _xlfn.REGEXTEST(C59, "File Descriptor"), "プロセスのファイルディスクリプタ使用率", _xlfn.REGEXTEST(C59, "Unexpected Exits"), "プロセスの異常終了（予期せぬ停止）", _xlfn.REGEXTEST(C59, "Swap Memory Thresholds"), "プロセスのスワップメモリ使用量", _xlfn.REGEXTEST(C59, "Swap Memory Usage Rate"), "スワップメモリ使用量の変化率（増加速度）", _xlfn.REGEXTEST(C59, "Log Directory Free Space.*Absolute"), "ログディレクトリの空き容量（絶対値）", _xlfn.REGEXTEST(C59, "Log Directory Free Space.*Percentage"), "ログディレクトリの空き容量割合（%）", _xlfn.REGEXTEST(C59, "Heap Dump Directory Free Space.*Absolute"), "ヒープダンプディレクトリの空き容量（絶対値）", _xlfn.REGEXTEST(C59, "Heap Dump Directory Free Space.*Percentage"), "ヒープダンプディレクトリの空き容量割合（%）", _xlfn.REGEXTEST(C59, "Data Directory Free Space.*Absolute"), "データディレクトリの空き容量（絶対値）", _xlfn.REGEXTEST(C59, "Data Directory Free Space.*Percentage"), "データディレクトリの空き容量割合（%）", _xlfn.REGEXTEST(C59, "Transaction Log Directory Free Space.*Absolute"), "トランザクションログディレクトリの空き容量（絶対値）", _xlfn.REGEXTEST(C59, "Logging Threshold|Logger Threshold"), "ログ出力レベルの閾値設定", _xlfn.REGEXTEST(C59, "Enable.*Alerts"), "ヘルスアラートの有効化状態", _xlfn.REGEXTEST(C59, "Triggers"), "カスタムアラート条件（トリガー設定）", _xlfn.REGEXTEST(C59, "Healthy Kafka Broker"), "Kafka Brokerの健全ノード割合（稼働率）", _xlfn.REGEXTEST(C59, "Healthy Kafka Connect"), "Kafka Connectの健全ノード割合（稼働率）", _xlfn.REGEXTEST(C59, "Healthy KRaft Controller"), "KRaft Controllerの健全ノード割合（稼働率）", _xlfn.REGEXTEST(C59, "Healthy Knox IDBroker"), "Knox IDBrokerの健全ノード割合（稼働率）", _xlfn.REGEXTEST(C59, "Healthy Knox Gateway"), "Knox Gatewayの健全ノード割合（稼働率）", _xlfn.REGEXTEST(C59, "Healthy ZooKeeper Server"), "ZooKeeper Serverの健全ノード割合（稼働率）", _xlfn.REGEXTEST(C59, "Healthy NodeManager"), "NodeManagerの健全ノード割合（稼働率）", _xlfn.REGEXTEST(C59, "Maximum Latency"), "リクエストの最大レイテンシ（処理遅延）", _xlfn.REGEXTEST(C59, "Garbage Collection Duration"), "Javaのガベージコレクション（GC）の所要時間", _xlfn.REGEXTEST(C59, "Spool Directory Usage"), "Rangerプラグインのスプールディレクトリ使用量", _xlfn.REGEXTEST(C59, "Process Directory Free Space Monitoring Absolute"), "プロセスディレクトリの空き容量（絶対値)", _xlfn.REGEXTEST(C59, "Process Directory Free Space.*Percentage"), "プロセスディレクトリの空き容量割合（%）", _xlfn.REGEXTEST(C59, "Parcel Directory Free Space.*Absolute"), "パーセルディレクトリの空き容量（絶対値）", _xlfn.REGEXTEST(C59, "Parcel Directory Free Space.*Percentage"), "パーセルディレクトリの空き容量割合（%）", _xlfn.REGEXTEST(C59, "Host Network Frame Error Percentage"), "ホストのネットワークフレームエラー割合（%）", _xlfn.REGEXTEST(C59, "Network Interfaces Slow Link Modes"), "ホストのネットワークインターフェースの低速リンクモード検出", _xlfn.REGEXTEST(C59, "Host Memory Swapping"), "ホストのメモリのスワップ発生状態", TRUE, "要手動確認")</f>
        <v>ヒープダンプディレクトリの空き容量（絶対値）</v>
      </c>
      <c r="H59" s="479" t="s">
        <v>692</v>
      </c>
    </row>
    <row r="60" spans="1:8" ht="33.6">
      <c r="A60" s="468"/>
      <c r="B60" s="473"/>
      <c r="C60" s="471" t="s">
        <v>816</v>
      </c>
      <c r="D60" s="471" t="s">
        <v>817</v>
      </c>
      <c r="E60" s="471" t="s">
        <v>810</v>
      </c>
      <c r="F60" s="471"/>
      <c r="G60" s="471" t="str" cm="1">
        <f t="array" ref="G60">_xlfn.IFS(C60 = "", "", _xlfn.REGEXTEST(C60, "Host Clock Offset"), "ホストのクロックオフセット（時刻同期のズレ）", _xlfn.REGEXTEST(C60, "Memory Overcommit Validation"), "メモリオーバーコミット設定の検証", _xlfn.REGEXTEST(C60, "Gateway Logging"), "ゲートウェイのログ出力設定", _xlfn.REGEXTEST(C60, "CPU Balance"), "CPU使用率の分散バランス状態", _xlfn.REGEXTEST(C60, "Disk Balance"), "ディスク使用量の分散バランス状態", _xlfn.REGEXTEST(C60, "Network Inbound Balance"), "ネットワークインバウンド（受信）の分散バランス状態", _xlfn.REGEXTEST(C60, "Network Outbound Balance"), "ネットワークアウトバウンド（送信）の分散バランス状態", _xlfn.REGEXTEST(C60, "Replica Count Balance"), "レプリカ数の分散バランス状態", _xlfn.REGEXTEST(C60, "Disk Capacity"), "ディスク総容量の限界・使用容量", _xlfn.REGEXTEST(C60, "CPU Capacity"), "CPU総処理能力の限界・使用量", _xlfn.REGEXTEST(C60, "Network Inbound Capacity"), "ネットワークインバウンド（受信）帯域の限界・使用量", _xlfn.REGEXTEST(C60, "Network Outbound Capacity"), "ネットワークアウトバウンド（送信）帯域の限界・使用量", _xlfn.REGEXTEST(C60, "Leader Replica Count Balance"), "リーダーレプリカ数の分散バランス状態", _xlfn.REGEXTEST(C60, "Host DNS Resolution Duration"), "ホストのDNS名前解決の所要時間", _xlfn.REGEXTEST(C60, "TLS Certificate Expiry"), "TLS証明書の有効期限切れ", _xlfn.REGEXTEST(C60, "Host Entropy"), "ホストのエントロピー（乱数生成能力）の不足", _xlfn.REGEXTEST(C60, "File Descriptor"), "プロセスのファイルディスクリプタ使用率", _xlfn.REGEXTEST(C60, "Unexpected Exits"), "プロセスの異常終了（予期せぬ停止）", _xlfn.REGEXTEST(C60, "Swap Memory Thresholds"), "プロセスのスワップメモリ使用量", _xlfn.REGEXTEST(C60, "Swap Memory Usage Rate"), "スワップメモリ使用量の変化率（増加速度）", _xlfn.REGEXTEST(C60, "Log Directory Free Space.*Absolute"), "ログディレクトリの空き容量（絶対値）", _xlfn.REGEXTEST(C60, "Log Directory Free Space.*Percentage"), "ログディレクトリの空き容量割合（%）", _xlfn.REGEXTEST(C60, "Heap Dump Directory Free Space.*Absolute"), "ヒープダンプディレクトリの空き容量（絶対値）", _xlfn.REGEXTEST(C60, "Heap Dump Directory Free Space.*Percentage"), "ヒープダンプディレクトリの空き容量割合（%）", _xlfn.REGEXTEST(C60, "Data Directory Free Space.*Absolute"), "データディレクトリの空き容量（絶対値）", _xlfn.REGEXTEST(C60, "Data Directory Free Space.*Percentage"), "データディレクトリの空き容量割合（%）", _xlfn.REGEXTEST(C60, "Transaction Log Directory Free Space.*Absolute"), "トランザクションログディレクトリの空き容量（絶対値）", _xlfn.REGEXTEST(C60, "Logging Threshold|Logger Threshold"), "ログ出力レベルの閾値設定", _xlfn.REGEXTEST(C60, "Enable.*Alerts"), "ヘルスアラートの有効化状態", _xlfn.REGEXTEST(C60, "Triggers"), "カスタムアラート条件（トリガー設定）", _xlfn.REGEXTEST(C60, "Healthy Kafka Broker"), "Kafka Brokerの健全ノード割合（稼働率）", _xlfn.REGEXTEST(C60, "Healthy Kafka Connect"), "Kafka Connectの健全ノード割合（稼働率）", _xlfn.REGEXTEST(C60, "Healthy KRaft Controller"), "KRaft Controllerの健全ノード割合（稼働率）", _xlfn.REGEXTEST(C60, "Healthy Knox IDBroker"), "Knox IDBrokerの健全ノード割合（稼働率）", _xlfn.REGEXTEST(C60, "Healthy Knox Gateway"), "Knox Gatewayの健全ノード割合（稼働率）", _xlfn.REGEXTEST(C60, "Healthy ZooKeeper Server"), "ZooKeeper Serverの健全ノード割合（稼働率）", _xlfn.REGEXTEST(C60, "Healthy NodeManager"), "NodeManagerの健全ノード割合（稼働率）", _xlfn.REGEXTEST(C60, "Maximum Latency"), "リクエストの最大レイテンシ（処理遅延）", _xlfn.REGEXTEST(C60, "Garbage Collection Duration"), "Javaのガベージコレクション（GC）の所要時間", _xlfn.REGEXTEST(C60, "Spool Directory Usage"), "Rangerプラグインのスプールディレクトリ使用量", _xlfn.REGEXTEST(C60, "Process Directory Free Space Monitoring Absolute"), "プロセスディレクトリの空き容量（絶対値)", _xlfn.REGEXTEST(C60, "Process Directory Free Space.*Percentage"), "プロセスディレクトリの空き容量割合（%）", _xlfn.REGEXTEST(C60, "Parcel Directory Free Space.*Absolute"), "パーセルディレクトリの空き容量（絶対値）", _xlfn.REGEXTEST(C60, "Parcel Directory Free Space.*Percentage"), "パーセルディレクトリの空き容量割合（%）", _xlfn.REGEXTEST(C60, "Host Network Frame Error Percentage"), "ホストのネットワークフレームエラー割合（%）", _xlfn.REGEXTEST(C60, "Network Interfaces Slow Link Modes"), "ホストのネットワークインターフェースの低速リンクモード検出", _xlfn.REGEXTEST(C60, "Host Memory Swapping"), "ホストのメモリのスワップ発生状態", TRUE, "要手動確認")</f>
        <v>ヒープダンプディレクトリの空き容量割合（%）</v>
      </c>
      <c r="H60" s="479" t="s">
        <v>689</v>
      </c>
    </row>
    <row r="61" spans="1:8" ht="33.6">
      <c r="A61" s="468"/>
      <c r="B61" s="473"/>
      <c r="C61" s="471" t="s">
        <v>749</v>
      </c>
      <c r="D61" s="471" t="s">
        <v>750</v>
      </c>
      <c r="E61" s="471" t="s">
        <v>810</v>
      </c>
      <c r="F61" s="471"/>
      <c r="G61" s="471" t="str" cm="1">
        <f t="array" ref="G61">_xlfn.IFS(C61 = "", "", _xlfn.REGEXTEST(C61, "Host Clock Offset"), "ホストのクロックオフセット（時刻同期のズレ）", _xlfn.REGEXTEST(C61, "Memory Overcommit Validation"), "メモリオーバーコミット設定の検証", _xlfn.REGEXTEST(C61, "Gateway Logging"), "ゲートウェイのログ出力設定", _xlfn.REGEXTEST(C61, "CPU Balance"), "CPU使用率の分散バランス状態", _xlfn.REGEXTEST(C61, "Disk Balance"), "ディスク使用量の分散バランス状態", _xlfn.REGEXTEST(C61, "Network Inbound Balance"), "ネットワークインバウンド（受信）の分散バランス状態", _xlfn.REGEXTEST(C61, "Network Outbound Balance"), "ネットワークアウトバウンド（送信）の分散バランス状態", _xlfn.REGEXTEST(C61, "Replica Count Balance"), "レプリカ数の分散バランス状態", _xlfn.REGEXTEST(C61, "Disk Capacity"), "ディスク総容量の限界・使用容量", _xlfn.REGEXTEST(C61, "CPU Capacity"), "CPU総処理能力の限界・使用量", _xlfn.REGEXTEST(C61, "Network Inbound Capacity"), "ネットワークインバウンド（受信）帯域の限界・使用量", _xlfn.REGEXTEST(C61, "Network Outbound Capacity"), "ネットワークアウトバウンド（送信）帯域の限界・使用量", _xlfn.REGEXTEST(C61, "Leader Replica Count Balance"), "リーダーレプリカ数の分散バランス状態", _xlfn.REGEXTEST(C61, "Host DNS Resolution Duration"), "ホストのDNS名前解決の所要時間", _xlfn.REGEXTEST(C61, "TLS Certificate Expiry"), "TLS証明書の有効期限切れ", _xlfn.REGEXTEST(C61, "Host Entropy"), "ホストのエントロピー（乱数生成能力）の不足", _xlfn.REGEXTEST(C61, "File Descriptor"), "プロセスのファイルディスクリプタ使用率", _xlfn.REGEXTEST(C61, "Unexpected Exits"), "プロセスの異常終了（予期せぬ停止）", _xlfn.REGEXTEST(C61, "Swap Memory Thresholds"), "プロセスのスワップメモリ使用量", _xlfn.REGEXTEST(C61, "Swap Memory Usage Rate"), "スワップメモリ使用量の変化率（増加速度）", _xlfn.REGEXTEST(C61, "Log Directory Free Space.*Absolute"), "ログディレクトリの空き容量（絶対値）", _xlfn.REGEXTEST(C61, "Log Directory Free Space.*Percentage"), "ログディレクトリの空き容量割合（%）", _xlfn.REGEXTEST(C61, "Heap Dump Directory Free Space.*Absolute"), "ヒープダンプディレクトリの空き容量（絶対値）", _xlfn.REGEXTEST(C61, "Heap Dump Directory Free Space.*Percentage"), "ヒープダンプディレクトリの空き容量割合（%）", _xlfn.REGEXTEST(C61, "Data Directory Free Space.*Absolute"), "データディレクトリの空き容量（絶対値）", _xlfn.REGEXTEST(C61, "Data Directory Free Space.*Percentage"), "データディレクトリの空き容量割合（%）", _xlfn.REGEXTEST(C61, "Transaction Log Directory Free Space.*Absolute"), "トランザクションログディレクトリの空き容量（絶対値）", _xlfn.REGEXTEST(C61, "Logging Threshold|Logger Threshold"), "ログ出力レベルの閾値設定", _xlfn.REGEXTEST(C61, "Enable.*Alerts"), "ヘルスアラートの有効化状態", _xlfn.REGEXTEST(C61, "Triggers"), "カスタムアラート条件（トリガー設定）", _xlfn.REGEXTEST(C61, "Healthy Kafka Broker"), "Kafka Brokerの健全ノード割合（稼働率）", _xlfn.REGEXTEST(C61, "Healthy Kafka Connect"), "Kafka Connectの健全ノード割合（稼働率）", _xlfn.REGEXTEST(C61, "Healthy KRaft Controller"), "KRaft Controllerの健全ノード割合（稼働率）", _xlfn.REGEXTEST(C61, "Healthy Knox IDBroker"), "Knox IDBrokerの健全ノード割合（稼働率）", _xlfn.REGEXTEST(C61, "Healthy Knox Gateway"), "Knox Gatewayの健全ノード割合（稼働率）", _xlfn.REGEXTEST(C61, "Healthy ZooKeeper Server"), "ZooKeeper Serverの健全ノード割合（稼働率）", _xlfn.REGEXTEST(C61, "Healthy NodeManager"), "NodeManagerの健全ノード割合（稼働率）", _xlfn.REGEXTEST(C61, "Maximum Latency"), "リクエストの最大レイテンシ（処理遅延）", _xlfn.REGEXTEST(C61, "Garbage Collection Duration"), "Javaのガベージコレクション（GC）の所要時間", _xlfn.REGEXTEST(C61, "Spool Directory Usage"), "Rangerプラグインのスプールディレクトリ使用量", _xlfn.REGEXTEST(C61, "Process Directory Free Space Monitoring Absolute"), "プロセスディレクトリの空き容量（絶対値)", _xlfn.REGEXTEST(C61, "Process Directory Free Space.*Percentage"), "プロセスディレクトリの空き容量割合（%）", _xlfn.REGEXTEST(C61, "Parcel Directory Free Space.*Absolute"), "パーセルディレクトリの空き容量（絶対値）", _xlfn.REGEXTEST(C61, "Parcel Directory Free Space.*Percentage"), "パーセルディレクトリの空き容量割合（%）", _xlfn.REGEXTEST(C61, "Host Network Frame Error Percentage"), "ホストのネットワークフレームエラー割合（%）", _xlfn.REGEXTEST(C61, "Network Interfaces Slow Link Modes"), "ホストのネットワークインターフェースの低速リンクモード検出", _xlfn.REGEXTEST(C61, "Host Memory Swapping"), "ホストのメモリのスワップ発生状態", TRUE, "要手動確認")</f>
        <v>プロセスの異常終了（予期せぬ停止）</v>
      </c>
      <c r="H61" s="479" t="s">
        <v>818</v>
      </c>
    </row>
    <row r="62" spans="1:8" ht="33.6">
      <c r="A62" s="468"/>
      <c r="B62" s="473"/>
      <c r="C62" s="471" t="s">
        <v>755</v>
      </c>
      <c r="D62" s="471" t="s">
        <v>756</v>
      </c>
      <c r="E62" s="471" t="s">
        <v>810</v>
      </c>
      <c r="F62" s="471"/>
      <c r="G62" s="471" t="str" cm="1">
        <f t="array" ref="G62">_xlfn.IFS(C62 = "", "", _xlfn.REGEXTEST(C62, "Host Clock Offset"), "ホストのクロックオフセット（時刻同期のズレ）", _xlfn.REGEXTEST(C62, "Memory Overcommit Validation"), "メモリオーバーコミット設定の検証", _xlfn.REGEXTEST(C62, "Gateway Logging"), "ゲートウェイのログ出力設定", _xlfn.REGEXTEST(C62, "CPU Balance"), "CPU使用率の分散バランス状態", _xlfn.REGEXTEST(C62, "Disk Balance"), "ディスク使用量の分散バランス状態", _xlfn.REGEXTEST(C62, "Network Inbound Balance"), "ネットワークインバウンド（受信）の分散バランス状態", _xlfn.REGEXTEST(C62, "Network Outbound Balance"), "ネットワークアウトバウンド（送信）の分散バランス状態", _xlfn.REGEXTEST(C62, "Replica Count Balance"), "レプリカ数の分散バランス状態", _xlfn.REGEXTEST(C62, "Disk Capacity"), "ディスク総容量の限界・使用容量", _xlfn.REGEXTEST(C62, "CPU Capacity"), "CPU総処理能力の限界・使用量", _xlfn.REGEXTEST(C62, "Network Inbound Capacity"), "ネットワークインバウンド（受信）帯域の限界・使用量", _xlfn.REGEXTEST(C62, "Network Outbound Capacity"), "ネットワークアウトバウンド（送信）帯域の限界・使用量", _xlfn.REGEXTEST(C62, "Leader Replica Count Balance"), "リーダーレプリカ数の分散バランス状態", _xlfn.REGEXTEST(C62, "Host DNS Resolution Duration"), "ホストのDNS名前解決の所要時間", _xlfn.REGEXTEST(C62, "TLS Certificate Expiry"), "TLS証明書の有効期限切れ", _xlfn.REGEXTEST(C62, "Host Entropy"), "ホストのエントロピー（乱数生成能力）の不足", _xlfn.REGEXTEST(C62, "File Descriptor"), "プロセスのファイルディスクリプタ使用率", _xlfn.REGEXTEST(C62, "Unexpected Exits"), "プロセスの異常終了（予期せぬ停止）", _xlfn.REGEXTEST(C62, "Swap Memory Thresholds"), "プロセスのスワップメモリ使用量", _xlfn.REGEXTEST(C62, "Swap Memory Usage Rate"), "スワップメモリ使用量の変化率（増加速度）", _xlfn.REGEXTEST(C62, "Log Directory Free Space.*Absolute"), "ログディレクトリの空き容量（絶対値）", _xlfn.REGEXTEST(C62, "Log Directory Free Space.*Percentage"), "ログディレクトリの空き容量割合（%）", _xlfn.REGEXTEST(C62, "Heap Dump Directory Free Space.*Absolute"), "ヒープダンプディレクトリの空き容量（絶対値）", _xlfn.REGEXTEST(C62, "Heap Dump Directory Free Space.*Percentage"), "ヒープダンプディレクトリの空き容量割合（%）", _xlfn.REGEXTEST(C62, "Data Directory Free Space.*Absolute"), "データディレクトリの空き容量（絶対値）", _xlfn.REGEXTEST(C62, "Data Directory Free Space.*Percentage"), "データディレクトリの空き容量割合（%）", _xlfn.REGEXTEST(C62, "Transaction Log Directory Free Space.*Absolute"), "トランザクションログディレクトリの空き容量（絶対値）", _xlfn.REGEXTEST(C62, "Logging Threshold|Logger Threshold"), "ログ出力レベルの閾値設定", _xlfn.REGEXTEST(C62, "Enable.*Alerts"), "ヘルスアラートの有効化状態", _xlfn.REGEXTEST(C62, "Triggers"), "カスタムアラート条件（トリガー設定）", _xlfn.REGEXTEST(C62, "Healthy Kafka Broker"), "Kafka Brokerの健全ノード割合（稼働率）", _xlfn.REGEXTEST(C62, "Healthy Kafka Connect"), "Kafka Connectの健全ノード割合（稼働率）", _xlfn.REGEXTEST(C62, "Healthy KRaft Controller"), "KRaft Controllerの健全ノード割合（稼働率）", _xlfn.REGEXTEST(C62, "Healthy Knox IDBroker"), "Knox IDBrokerの健全ノード割合（稼働率）", _xlfn.REGEXTEST(C62, "Healthy Knox Gateway"), "Knox Gatewayの健全ノード割合（稼働率）", _xlfn.REGEXTEST(C62, "Healthy ZooKeeper Server"), "ZooKeeper Serverの健全ノード割合（稼働率）", _xlfn.REGEXTEST(C62, "Healthy NodeManager"), "NodeManagerの健全ノード割合（稼働率）", _xlfn.REGEXTEST(C62, "Maximum Latency"), "リクエストの最大レイテンシ（処理遅延）", _xlfn.REGEXTEST(C62, "Garbage Collection Duration"), "Javaのガベージコレクション（GC）の所要時間", _xlfn.REGEXTEST(C62, "Spool Directory Usage"), "Rangerプラグインのスプールディレクトリ使用量", _xlfn.REGEXTEST(C62, "Process Directory Free Space Monitoring Absolute"), "プロセスディレクトリの空き容量（絶対値)", _xlfn.REGEXTEST(C62, "Process Directory Free Space.*Percentage"), "プロセスディレクトリの空き容量割合（%）", _xlfn.REGEXTEST(C62, "Parcel Directory Free Space.*Absolute"), "パーセルディレクトリの空き容量（絶対値）", _xlfn.REGEXTEST(C62, "Parcel Directory Free Space.*Percentage"), "パーセルディレクトリの空き容量割合（%）", _xlfn.REGEXTEST(C62, "Host Network Frame Error Percentage"), "ホストのネットワークフレームエラー割合（%）", _xlfn.REGEXTEST(C62, "Network Interfaces Slow Link Modes"), "ホストのネットワークインターフェースの低速リンクモード検出", _xlfn.REGEXTEST(C62, "Host Memory Swapping"), "ホストのメモリのスワップ発生状態", TRUE, "要手動確認")</f>
        <v>プロセスのスワップメモリ使用量</v>
      </c>
      <c r="H62" s="479" t="s">
        <v>819</v>
      </c>
    </row>
    <row r="63" spans="1:8" ht="33.6">
      <c r="A63" s="468"/>
      <c r="B63" s="473"/>
      <c r="C63" s="471" t="s">
        <v>758</v>
      </c>
      <c r="D63" s="471" t="s">
        <v>759</v>
      </c>
      <c r="E63" s="471" t="s">
        <v>810</v>
      </c>
      <c r="F63" s="471"/>
      <c r="G63" s="471" t="str" cm="1">
        <f t="array" ref="G63">_xlfn.IFS(C63 = "", "", _xlfn.REGEXTEST(C63, "Host Clock Offset"), "ホストのクロックオフセット（時刻同期のズレ）", _xlfn.REGEXTEST(C63, "Memory Overcommit Validation"), "メモリオーバーコミット設定の検証", _xlfn.REGEXTEST(C63, "Gateway Logging"), "ゲートウェイのログ出力設定", _xlfn.REGEXTEST(C63, "CPU Balance"), "CPU使用率の分散バランス状態", _xlfn.REGEXTEST(C63, "Disk Balance"), "ディスク使用量の分散バランス状態", _xlfn.REGEXTEST(C63, "Network Inbound Balance"), "ネットワークインバウンド（受信）の分散バランス状態", _xlfn.REGEXTEST(C63, "Network Outbound Balance"), "ネットワークアウトバウンド（送信）の分散バランス状態", _xlfn.REGEXTEST(C63, "Replica Count Balance"), "レプリカ数の分散バランス状態", _xlfn.REGEXTEST(C63, "Disk Capacity"), "ディスク総容量の限界・使用容量", _xlfn.REGEXTEST(C63, "CPU Capacity"), "CPU総処理能力の限界・使用量", _xlfn.REGEXTEST(C63, "Network Inbound Capacity"), "ネットワークインバウンド（受信）帯域の限界・使用量", _xlfn.REGEXTEST(C63, "Network Outbound Capacity"), "ネットワークアウトバウンド（送信）帯域の限界・使用量", _xlfn.REGEXTEST(C63, "Leader Replica Count Balance"), "リーダーレプリカ数の分散バランス状態", _xlfn.REGEXTEST(C63, "Host DNS Resolution Duration"), "ホストのDNS名前解決の所要時間", _xlfn.REGEXTEST(C63, "TLS Certificate Expiry"), "TLS証明書の有効期限切れ", _xlfn.REGEXTEST(C63, "Host Entropy"), "ホストのエントロピー（乱数生成能力）の不足", _xlfn.REGEXTEST(C63, "File Descriptor"), "プロセスのファイルディスクリプタ使用率", _xlfn.REGEXTEST(C63, "Unexpected Exits"), "プロセスの異常終了（予期せぬ停止）", _xlfn.REGEXTEST(C63, "Swap Memory Thresholds"), "プロセスのスワップメモリ使用量", _xlfn.REGEXTEST(C63, "Swap Memory Usage Rate"), "スワップメモリ使用量の変化率（増加速度）", _xlfn.REGEXTEST(C63, "Log Directory Free Space.*Absolute"), "ログディレクトリの空き容量（絶対値）", _xlfn.REGEXTEST(C63, "Log Directory Free Space.*Percentage"), "ログディレクトリの空き容量割合（%）", _xlfn.REGEXTEST(C63, "Heap Dump Directory Free Space.*Absolute"), "ヒープダンプディレクトリの空き容量（絶対値）", _xlfn.REGEXTEST(C63, "Heap Dump Directory Free Space.*Percentage"), "ヒープダンプディレクトリの空き容量割合（%）", _xlfn.REGEXTEST(C63, "Data Directory Free Space.*Absolute"), "データディレクトリの空き容量（絶対値）", _xlfn.REGEXTEST(C63, "Data Directory Free Space.*Percentage"), "データディレクトリの空き容量割合（%）", _xlfn.REGEXTEST(C63, "Transaction Log Directory Free Space.*Absolute"), "トランザクションログディレクトリの空き容量（絶対値）", _xlfn.REGEXTEST(C63, "Logging Threshold|Logger Threshold"), "ログ出力レベルの閾値設定", _xlfn.REGEXTEST(C63, "Enable.*Alerts"), "ヘルスアラートの有効化状態", _xlfn.REGEXTEST(C63, "Triggers"), "カスタムアラート条件（トリガー設定）", _xlfn.REGEXTEST(C63, "Healthy Kafka Broker"), "Kafka Brokerの健全ノード割合（稼働率）", _xlfn.REGEXTEST(C63, "Healthy Kafka Connect"), "Kafka Connectの健全ノード割合（稼働率）", _xlfn.REGEXTEST(C63, "Healthy KRaft Controller"), "KRaft Controllerの健全ノード割合（稼働率）", _xlfn.REGEXTEST(C63, "Healthy Knox IDBroker"), "Knox IDBrokerの健全ノード割合（稼働率）", _xlfn.REGEXTEST(C63, "Healthy Knox Gateway"), "Knox Gatewayの健全ノード割合（稼働率）", _xlfn.REGEXTEST(C63, "Healthy ZooKeeper Server"), "ZooKeeper Serverの健全ノード割合（稼働率）", _xlfn.REGEXTEST(C63, "Healthy NodeManager"), "NodeManagerの健全ノード割合（稼働率）", _xlfn.REGEXTEST(C63, "Maximum Latency"), "リクエストの最大レイテンシ（処理遅延）", _xlfn.REGEXTEST(C63, "Garbage Collection Duration"), "Javaのガベージコレクション（GC）の所要時間", _xlfn.REGEXTEST(C63, "Spool Directory Usage"), "Rangerプラグインのスプールディレクトリ使用量", _xlfn.REGEXTEST(C63, "Process Directory Free Space Monitoring Absolute"), "プロセスディレクトリの空き容量（絶対値)", _xlfn.REGEXTEST(C63, "Process Directory Free Space.*Percentage"), "プロセスディレクトリの空き容量割合（%）", _xlfn.REGEXTEST(C63, "Parcel Directory Free Space.*Absolute"), "パーセルディレクトリの空き容量（絶対値）", _xlfn.REGEXTEST(C63, "Parcel Directory Free Space.*Percentage"), "パーセルディレクトリの空き容量割合（%）", _xlfn.REGEXTEST(C63, "Host Network Frame Error Percentage"), "ホストのネットワークフレームエラー割合（%）", _xlfn.REGEXTEST(C63, "Network Interfaces Slow Link Modes"), "ホストのネットワークインターフェースの低速リンクモード検出", _xlfn.REGEXTEST(C63, "Host Memory Swapping"), "ホストのメモリのスワップ発生状態", TRUE, "要手動確認")</f>
        <v>スワップメモリ使用量の変化率（増加速度）</v>
      </c>
      <c r="H63" s="479" t="s">
        <v>689</v>
      </c>
    </row>
    <row r="64" spans="1:8" ht="33.6">
      <c r="A64" s="468"/>
      <c r="B64" s="473"/>
      <c r="C64" s="471" t="s">
        <v>820</v>
      </c>
      <c r="D64" s="471" t="s">
        <v>821</v>
      </c>
      <c r="E64" s="471" t="s">
        <v>810</v>
      </c>
      <c r="F64" s="471"/>
      <c r="G64" s="471" t="str" cm="1">
        <f t="array" ref="G64">_xlfn.IFS(C64 = "", "", _xlfn.REGEXTEST(C64, "Host Clock Offset"), "ホストのクロックオフセット（時刻同期のズレ）", _xlfn.REGEXTEST(C64, "Memory Overcommit Validation"), "メモリオーバーコミット設定の検証", _xlfn.REGEXTEST(C64, "Gateway Logging"), "ゲートウェイのログ出力設定", _xlfn.REGEXTEST(C64, "CPU Balance"), "CPU使用率の分散バランス状態", _xlfn.REGEXTEST(C64, "Disk Balance"), "ディスク使用量の分散バランス状態", _xlfn.REGEXTEST(C64, "Network Inbound Balance"), "ネットワークインバウンド（受信）の分散バランス状態", _xlfn.REGEXTEST(C64, "Network Outbound Balance"), "ネットワークアウトバウンド（送信）の分散バランス状態", _xlfn.REGEXTEST(C64, "Replica Count Balance"), "レプリカ数の分散バランス状態", _xlfn.REGEXTEST(C64, "Disk Capacity"), "ディスク総容量の限界・使用容量", _xlfn.REGEXTEST(C64, "CPU Capacity"), "CPU総処理能力の限界・使用量", _xlfn.REGEXTEST(C64, "Network Inbound Capacity"), "ネットワークインバウンド（受信）帯域の限界・使用量", _xlfn.REGEXTEST(C64, "Network Outbound Capacity"), "ネットワークアウトバウンド（送信）帯域の限界・使用量", _xlfn.REGEXTEST(C64, "Leader Replica Count Balance"), "リーダーレプリカ数の分散バランス状態", _xlfn.REGEXTEST(C64, "Host DNS Resolution Duration"), "ホストのDNS名前解決の所要時間", _xlfn.REGEXTEST(C64, "TLS Certificate Expiry"), "TLS証明書の有効期限切れ", _xlfn.REGEXTEST(C64, "Host Entropy"), "ホストのエントロピー（乱数生成能力）の不足", _xlfn.REGEXTEST(C64, "File Descriptor"), "プロセスのファイルディスクリプタ使用率", _xlfn.REGEXTEST(C64, "Unexpected Exits"), "プロセスの異常終了（予期せぬ停止）", _xlfn.REGEXTEST(C64, "Swap Memory Thresholds"), "プロセスのスワップメモリ使用量", _xlfn.REGEXTEST(C64, "Swap Memory Usage Rate"), "スワップメモリ使用量の変化率（増加速度）", _xlfn.REGEXTEST(C64, "Log Directory Free Space.*Absolute"), "ログディレクトリの空き容量（絶対値）", _xlfn.REGEXTEST(C64, "Log Directory Free Space.*Percentage"), "ログディレクトリの空き容量割合（%）", _xlfn.REGEXTEST(C64, "Heap Dump Directory Free Space.*Absolute"), "ヒープダンプディレクトリの空き容量（絶対値）", _xlfn.REGEXTEST(C64, "Heap Dump Directory Free Space.*Percentage"), "ヒープダンプディレクトリの空き容量割合（%）", _xlfn.REGEXTEST(C64, "Data Directory Free Space.*Absolute"), "データディレクトリの空き容量（絶対値）", _xlfn.REGEXTEST(C64, "Data Directory Free Space.*Percentage"), "データディレクトリの空き容量割合（%）", _xlfn.REGEXTEST(C64, "Transaction Log Directory Free Space.*Absolute"), "トランザクションログディレクトリの空き容量（絶対値）", _xlfn.REGEXTEST(C64, "Logging Threshold|Logger Threshold"), "ログ出力レベルの閾値設定", _xlfn.REGEXTEST(C64, "Enable.*Alerts"), "ヘルスアラートの有効化状態", _xlfn.REGEXTEST(C64, "Triggers"), "カスタムアラート条件（トリガー設定）", _xlfn.REGEXTEST(C64, "Healthy Kafka Broker"), "Kafka Brokerの健全ノード割合（稼働率）", _xlfn.REGEXTEST(C64, "Healthy Kafka Connect"), "Kafka Connectの健全ノード割合（稼働率）", _xlfn.REGEXTEST(C64, "Healthy KRaft Controller"), "KRaft Controllerの健全ノード割合（稼働率）", _xlfn.REGEXTEST(C64, "Healthy Knox IDBroker"), "Knox IDBrokerの健全ノード割合（稼働率）", _xlfn.REGEXTEST(C64, "Healthy Knox Gateway"), "Knox Gatewayの健全ノード割合（稼働率）", _xlfn.REGEXTEST(C64, "Healthy ZooKeeper Server"), "ZooKeeper Serverの健全ノード割合（稼働率）", _xlfn.REGEXTEST(C64, "Healthy NodeManager"), "NodeManagerの健全ノード割合（稼働率）", _xlfn.REGEXTEST(C64, "Maximum Latency"), "リクエストの最大レイテンシ（処理遅延）", _xlfn.REGEXTEST(C64, "Garbage Collection Duration"), "Javaのガベージコレクション（GC）の所要時間", _xlfn.REGEXTEST(C64, "Spool Directory Usage"), "Rangerプラグインのスプールディレクトリ使用量", _xlfn.REGEXTEST(C64, "Process Directory Free Space Monitoring Absolute"), "プロセスディレクトリの空き容量（絶対値)", _xlfn.REGEXTEST(C64, "Process Directory Free Space.*Percentage"), "プロセスディレクトリの空き容量割合（%）", _xlfn.REGEXTEST(C64, "Parcel Directory Free Space.*Absolute"), "パーセルディレクトリの空き容量（絶対値）", _xlfn.REGEXTEST(C64, "Parcel Directory Free Space.*Percentage"), "パーセルディレクトリの空き容量割合（%）", _xlfn.REGEXTEST(C64, "Host Network Frame Error Percentage"), "ホストのネットワークフレームエラー割合（%）", _xlfn.REGEXTEST(C64, "Network Interfaces Slow Link Modes"), "ホストのネットワークインターフェースの低速リンクモード検出", _xlfn.REGEXTEST(C64, "Host Memory Swapping"), "ホストのメモリのスワップ発生状態", TRUE, "要手動確認")</f>
        <v>Javaのガベージコレクション（GC）の所要時間</v>
      </c>
      <c r="H64" s="479" t="s">
        <v>822</v>
      </c>
    </row>
    <row r="65" spans="1:8" ht="33.6">
      <c r="A65" s="468"/>
      <c r="B65" s="473"/>
      <c r="C65" s="471" t="s">
        <v>823</v>
      </c>
      <c r="D65" s="471" t="s">
        <v>824</v>
      </c>
      <c r="E65" s="471" t="s">
        <v>810</v>
      </c>
      <c r="F65" s="471"/>
      <c r="G65" s="471" t="str" cm="1">
        <f t="array" ref="G65">_xlfn.IFS(C65 = "", "", _xlfn.REGEXTEST(C65, "Host Clock Offset"), "ホストのクロックオフセット（時刻同期のズレ）", _xlfn.REGEXTEST(C65, "Memory Overcommit Validation"), "メモリオーバーコミット設定の検証", _xlfn.REGEXTEST(C65, "Gateway Logging"), "ゲートウェイのログ出力設定", _xlfn.REGEXTEST(C65, "CPU Balance"), "CPU使用率の分散バランス状態", _xlfn.REGEXTEST(C65, "Disk Balance"), "ディスク使用量の分散バランス状態", _xlfn.REGEXTEST(C65, "Network Inbound Balance"), "ネットワークインバウンド（受信）の分散バランス状態", _xlfn.REGEXTEST(C65, "Network Outbound Balance"), "ネットワークアウトバウンド（送信）の分散バランス状態", _xlfn.REGEXTEST(C65, "Replica Count Balance"), "レプリカ数の分散バランス状態", _xlfn.REGEXTEST(C65, "Disk Capacity"), "ディスク総容量の限界・使用容量", _xlfn.REGEXTEST(C65, "CPU Capacity"), "CPU総処理能力の限界・使用量", _xlfn.REGEXTEST(C65, "Network Inbound Capacity"), "ネットワークインバウンド（受信）帯域の限界・使用量", _xlfn.REGEXTEST(C65, "Network Outbound Capacity"), "ネットワークアウトバウンド（送信）帯域の限界・使用量", _xlfn.REGEXTEST(C65, "Leader Replica Count Balance"), "リーダーレプリカ数の分散バランス状態", _xlfn.REGEXTEST(C65, "Host DNS Resolution Duration"), "ホストのDNS名前解決の所要時間", _xlfn.REGEXTEST(C65, "TLS Certificate Expiry"), "TLS証明書の有効期限切れ", _xlfn.REGEXTEST(C65, "Host Entropy"), "ホストのエントロピー（乱数生成能力）の不足", _xlfn.REGEXTEST(C65, "File Descriptor"), "プロセスのファイルディスクリプタ使用率", _xlfn.REGEXTEST(C65, "Unexpected Exits"), "プロセスの異常終了（予期せぬ停止）", _xlfn.REGEXTEST(C65, "Swap Memory Thresholds"), "プロセスのスワップメモリ使用量", _xlfn.REGEXTEST(C65, "Swap Memory Usage Rate"), "スワップメモリ使用量の変化率（増加速度）", _xlfn.REGEXTEST(C65, "Log Directory Free Space.*Absolute"), "ログディレクトリの空き容量（絶対値）", _xlfn.REGEXTEST(C65, "Log Directory Free Space.*Percentage"), "ログディレクトリの空き容量割合（%）", _xlfn.REGEXTEST(C65, "Heap Dump Directory Free Space.*Absolute"), "ヒープダンプディレクトリの空き容量（絶対値）", _xlfn.REGEXTEST(C65, "Heap Dump Directory Free Space.*Percentage"), "ヒープダンプディレクトリの空き容量割合（%）", _xlfn.REGEXTEST(C65, "Data Directory Free Space.*Absolute"), "データディレクトリの空き容量（絶対値）", _xlfn.REGEXTEST(C65, "Data Directory Free Space.*Percentage"), "データディレクトリの空き容量割合（%）", _xlfn.REGEXTEST(C65, "Transaction Log Directory Free Space.*Absolute"), "トランザクションログディレクトリの空き容量（絶対値）", _xlfn.REGEXTEST(C65, "Logging Threshold|Logger Threshold"), "ログ出力レベルの閾値設定", _xlfn.REGEXTEST(C65, "Enable.*Alerts"), "ヘルスアラートの有効化状態", _xlfn.REGEXTEST(C65, "Triggers"), "カスタムアラート条件（トリガー設定）", _xlfn.REGEXTEST(C65, "Healthy Kafka Broker"), "Kafka Brokerの健全ノード割合（稼働率）", _xlfn.REGEXTEST(C65, "Healthy Kafka Connect"), "Kafka Connectの健全ノード割合（稼働率）", _xlfn.REGEXTEST(C65, "Healthy KRaft Controller"), "KRaft Controllerの健全ノード割合（稼働率）", _xlfn.REGEXTEST(C65, "Healthy Knox IDBroker"), "Knox IDBrokerの健全ノード割合（稼働率）", _xlfn.REGEXTEST(C65, "Healthy Knox Gateway"), "Knox Gatewayの健全ノード割合（稼働率）", _xlfn.REGEXTEST(C65, "Healthy ZooKeeper Server"), "ZooKeeper Serverの健全ノード割合（稼働率）", _xlfn.REGEXTEST(C65, "Healthy NodeManager"), "NodeManagerの健全ノード割合（稼働率）", _xlfn.REGEXTEST(C65, "Maximum Latency"), "リクエストの最大レイテンシ（処理遅延）", _xlfn.REGEXTEST(C65, "Garbage Collection Duration"), "Javaのガベージコレクション（GC）の所要時間", _xlfn.REGEXTEST(C65, "Spool Directory Usage"), "Rangerプラグインのスプールディレクトリ使用量", _xlfn.REGEXTEST(C65, "Process Directory Free Space Monitoring Absolute"), "プロセスディレクトリの空き容量（絶対値)", _xlfn.REGEXTEST(C65, "Process Directory Free Space.*Percentage"), "プロセスディレクトリの空き容量割合（%）", _xlfn.REGEXTEST(C65, "Parcel Directory Free Space.*Absolute"), "パーセルディレクトリの空き容量（絶対値）", _xlfn.REGEXTEST(C65, "Parcel Directory Free Space.*Percentage"), "パーセルディレクトリの空き容量割合（%）", _xlfn.REGEXTEST(C65, "Host Network Frame Error Percentage"), "ホストのネットワークフレームエラー割合（%）", _xlfn.REGEXTEST(C65, "Network Interfaces Slow Link Modes"), "ホストのネットワークインターフェースの低速リンクモード検出", _xlfn.REGEXTEST(C65, "Host Memory Swapping"), "ホストのメモリのスワップ発生状態", TRUE, "要手動確認")</f>
        <v>データディレクトリの空き容量（絶対値）</v>
      </c>
      <c r="H65" s="479" t="s">
        <v>692</v>
      </c>
    </row>
    <row r="66" spans="1:8" ht="33.6">
      <c r="A66" s="468"/>
      <c r="B66" s="473"/>
      <c r="C66" s="471" t="s">
        <v>825</v>
      </c>
      <c r="D66" s="471" t="s">
        <v>826</v>
      </c>
      <c r="E66" s="471" t="s">
        <v>810</v>
      </c>
      <c r="F66" s="471"/>
      <c r="G66" s="471" t="str" cm="1">
        <f t="array" ref="G66">_xlfn.IFS(C66 = "", "", _xlfn.REGEXTEST(C66, "Host Clock Offset"), "ホストのクロックオフセット（時刻同期のズレ）", _xlfn.REGEXTEST(C66, "Memory Overcommit Validation"), "メモリオーバーコミット設定の検証", _xlfn.REGEXTEST(C66, "Gateway Logging"), "ゲートウェイのログ出力設定", _xlfn.REGEXTEST(C66, "CPU Balance"), "CPU使用率の分散バランス状態", _xlfn.REGEXTEST(C66, "Disk Balance"), "ディスク使用量の分散バランス状態", _xlfn.REGEXTEST(C66, "Network Inbound Balance"), "ネットワークインバウンド（受信）の分散バランス状態", _xlfn.REGEXTEST(C66, "Network Outbound Balance"), "ネットワークアウトバウンド（送信）の分散バランス状態", _xlfn.REGEXTEST(C66, "Replica Count Balance"), "レプリカ数の分散バランス状態", _xlfn.REGEXTEST(C66, "Disk Capacity"), "ディスク総容量の限界・使用容量", _xlfn.REGEXTEST(C66, "CPU Capacity"), "CPU総処理能力の限界・使用量", _xlfn.REGEXTEST(C66, "Network Inbound Capacity"), "ネットワークインバウンド（受信）帯域の限界・使用量", _xlfn.REGEXTEST(C66, "Network Outbound Capacity"), "ネットワークアウトバウンド（送信）帯域の限界・使用量", _xlfn.REGEXTEST(C66, "Leader Replica Count Balance"), "リーダーレプリカ数の分散バランス状態", _xlfn.REGEXTEST(C66, "Host DNS Resolution Duration"), "ホストのDNS名前解決の所要時間", _xlfn.REGEXTEST(C66, "TLS Certificate Expiry"), "TLS証明書の有効期限切れ", _xlfn.REGEXTEST(C66, "Host Entropy"), "ホストのエントロピー（乱数生成能力）の不足", _xlfn.REGEXTEST(C66, "File Descriptor"), "プロセスのファイルディスクリプタ使用率", _xlfn.REGEXTEST(C66, "Unexpected Exits"), "プロセスの異常終了（予期せぬ停止）", _xlfn.REGEXTEST(C66, "Swap Memory Thresholds"), "プロセスのスワップメモリ使用量", _xlfn.REGEXTEST(C66, "Swap Memory Usage Rate"), "スワップメモリ使用量の変化率（増加速度）", _xlfn.REGEXTEST(C66, "Log Directory Free Space.*Absolute"), "ログディレクトリの空き容量（絶対値）", _xlfn.REGEXTEST(C66, "Log Directory Free Space.*Percentage"), "ログディレクトリの空き容量割合（%）", _xlfn.REGEXTEST(C66, "Heap Dump Directory Free Space.*Absolute"), "ヒープダンプディレクトリの空き容量（絶対値）", _xlfn.REGEXTEST(C66, "Heap Dump Directory Free Space.*Percentage"), "ヒープダンプディレクトリの空き容量割合（%）", _xlfn.REGEXTEST(C66, "Data Directory Free Space.*Absolute"), "データディレクトリの空き容量（絶対値）", _xlfn.REGEXTEST(C66, "Data Directory Free Space.*Percentage"), "データディレクトリの空き容量割合（%）", _xlfn.REGEXTEST(C66, "Transaction Log Directory Free Space.*Absolute"), "トランザクションログディレクトリの空き容量（絶対値）", _xlfn.REGEXTEST(C66, "Logging Threshold|Logger Threshold"), "ログ出力レベルの閾値設定", _xlfn.REGEXTEST(C66, "Enable.*Alerts"), "ヘルスアラートの有効化状態", _xlfn.REGEXTEST(C66, "Triggers"), "カスタムアラート条件（トリガー設定）", _xlfn.REGEXTEST(C66, "Healthy Kafka Broker"), "Kafka Brokerの健全ノード割合（稼働率）", _xlfn.REGEXTEST(C66, "Healthy Kafka Connect"), "Kafka Connectの健全ノード割合（稼働率）", _xlfn.REGEXTEST(C66, "Healthy KRaft Controller"), "KRaft Controllerの健全ノード割合（稼働率）", _xlfn.REGEXTEST(C66, "Healthy Knox IDBroker"), "Knox IDBrokerの健全ノード割合（稼働率）", _xlfn.REGEXTEST(C66, "Healthy Knox Gateway"), "Knox Gatewayの健全ノード割合（稼働率）", _xlfn.REGEXTEST(C66, "Healthy ZooKeeper Server"), "ZooKeeper Serverの健全ノード割合（稼働率）", _xlfn.REGEXTEST(C66, "Healthy NodeManager"), "NodeManagerの健全ノード割合（稼働率）", _xlfn.REGEXTEST(C66, "Maximum Latency"), "リクエストの最大レイテンシ（処理遅延）", _xlfn.REGEXTEST(C66, "Garbage Collection Duration"), "Javaのガベージコレクション（GC）の所要時間", _xlfn.REGEXTEST(C66, "Spool Directory Usage"), "Rangerプラグインのスプールディレクトリ使用量", _xlfn.REGEXTEST(C66, "Process Directory Free Space Monitoring Absolute"), "プロセスディレクトリの空き容量（絶対値)", _xlfn.REGEXTEST(C66, "Process Directory Free Space.*Percentage"), "プロセスディレクトリの空き容量割合（%）", _xlfn.REGEXTEST(C66, "Parcel Directory Free Space.*Absolute"), "パーセルディレクトリの空き容量（絶対値）", _xlfn.REGEXTEST(C66, "Parcel Directory Free Space.*Percentage"), "パーセルディレクトリの空き容量割合（%）", _xlfn.REGEXTEST(C66, "Host Network Frame Error Percentage"), "ホストのネットワークフレームエラー割合（%）", _xlfn.REGEXTEST(C66, "Network Interfaces Slow Link Modes"), "ホストのネットワークインターフェースの低速リンクモード検出", _xlfn.REGEXTEST(C66, "Host Memory Swapping"), "ホストのメモリのスワップ発生状態", TRUE, "要手動確認")</f>
        <v>データディレクトリの空き容量割合（%）</v>
      </c>
      <c r="H66" s="479" t="s">
        <v>689</v>
      </c>
    </row>
    <row r="67" spans="1:8" ht="33.6">
      <c r="A67" s="468"/>
      <c r="B67" s="473"/>
      <c r="C67" s="471" t="s">
        <v>827</v>
      </c>
      <c r="D67" s="471" t="s">
        <v>828</v>
      </c>
      <c r="E67" s="471" t="s">
        <v>810</v>
      </c>
      <c r="F67" s="471"/>
      <c r="G67" s="471" t="str" cm="1">
        <f t="array" ref="G67">_xlfn.IFS(C67 = "", "", _xlfn.REGEXTEST(C67, "Host Clock Offset"), "ホストのクロックオフセット（時刻同期のズレ）", _xlfn.REGEXTEST(C67, "Memory Overcommit Validation"), "メモリオーバーコミット設定の検証", _xlfn.REGEXTEST(C67, "Gateway Logging"), "ゲートウェイのログ出力設定", _xlfn.REGEXTEST(C67, "CPU Balance"), "CPU使用率の分散バランス状態", _xlfn.REGEXTEST(C67, "Disk Balance"), "ディスク使用量の分散バランス状態", _xlfn.REGEXTEST(C67, "Network Inbound Balance"), "ネットワークインバウンド（受信）の分散バランス状態", _xlfn.REGEXTEST(C67, "Network Outbound Balance"), "ネットワークアウトバウンド（送信）の分散バランス状態", _xlfn.REGEXTEST(C67, "Replica Count Balance"), "レプリカ数の分散バランス状態", _xlfn.REGEXTEST(C67, "Disk Capacity"), "ディスク総容量の限界・使用容量", _xlfn.REGEXTEST(C67, "CPU Capacity"), "CPU総処理能力の限界・使用量", _xlfn.REGEXTEST(C67, "Network Inbound Capacity"), "ネットワークインバウンド（受信）帯域の限界・使用量", _xlfn.REGEXTEST(C67, "Network Outbound Capacity"), "ネットワークアウトバウンド（送信）帯域の限界・使用量", _xlfn.REGEXTEST(C67, "Leader Replica Count Balance"), "リーダーレプリカ数の分散バランス状態", _xlfn.REGEXTEST(C67, "Host DNS Resolution Duration"), "ホストのDNS名前解決の所要時間", _xlfn.REGEXTEST(C67, "TLS Certificate Expiry"), "TLS証明書の有効期限切れ", _xlfn.REGEXTEST(C67, "Host Entropy"), "ホストのエントロピー（乱数生成能力）の不足", _xlfn.REGEXTEST(C67, "File Descriptor"), "プロセスのファイルディスクリプタ使用率", _xlfn.REGEXTEST(C67, "Unexpected Exits"), "プロセスの異常終了（予期せぬ停止）", _xlfn.REGEXTEST(C67, "Swap Memory Thresholds"), "プロセスのスワップメモリ使用量", _xlfn.REGEXTEST(C67, "Swap Memory Usage Rate"), "スワップメモリ使用量の変化率（増加速度）", _xlfn.REGEXTEST(C67, "Log Directory Free Space.*Absolute"), "ログディレクトリの空き容量（絶対値）", _xlfn.REGEXTEST(C67, "Log Directory Free Space.*Percentage"), "ログディレクトリの空き容量割合（%）", _xlfn.REGEXTEST(C67, "Heap Dump Directory Free Space.*Absolute"), "ヒープダンプディレクトリの空き容量（絶対値）", _xlfn.REGEXTEST(C67, "Heap Dump Directory Free Space.*Percentage"), "ヒープダンプディレクトリの空き容量割合（%）", _xlfn.REGEXTEST(C67, "Data Directory Free Space.*Absolute"), "データディレクトリの空き容量（絶対値）", _xlfn.REGEXTEST(C67, "Data Directory Free Space.*Percentage"), "データディレクトリの空き容量割合（%）", _xlfn.REGEXTEST(C67, "Transaction Log Directory Free Space.*Absolute"), "トランザクションログディレクトリの空き容量（絶対値）", _xlfn.REGEXTEST(C67, "Logging Threshold|Logger Threshold"), "ログ出力レベルの閾値設定", _xlfn.REGEXTEST(C67, "Enable.*Alerts"), "ヘルスアラートの有効化状態", _xlfn.REGEXTEST(C67, "Triggers"), "カスタムアラート条件（トリガー設定）", _xlfn.REGEXTEST(C67, "Healthy Kafka Broker"), "Kafka Brokerの健全ノード割合（稼働率）", _xlfn.REGEXTEST(C67, "Healthy Kafka Connect"), "Kafka Connectの健全ノード割合（稼働率）", _xlfn.REGEXTEST(C67, "Healthy KRaft Controller"), "KRaft Controllerの健全ノード割合（稼働率）", _xlfn.REGEXTEST(C67, "Healthy Knox IDBroker"), "Knox IDBrokerの健全ノード割合（稼働率）", _xlfn.REGEXTEST(C67, "Healthy Knox Gateway"), "Knox Gatewayの健全ノード割合（稼働率）", _xlfn.REGEXTEST(C67, "Healthy ZooKeeper Server"), "ZooKeeper Serverの健全ノード割合（稼働率）", _xlfn.REGEXTEST(C67, "Healthy NodeManager"), "NodeManagerの健全ノード割合（稼働率）", _xlfn.REGEXTEST(C67, "Maximum Latency"), "リクエストの最大レイテンシ（処理遅延）", _xlfn.REGEXTEST(C67, "Garbage Collection Duration"), "Javaのガベージコレクション（GC）の所要時間", _xlfn.REGEXTEST(C67, "Spool Directory Usage"), "Rangerプラグインのスプールディレクトリ使用量", _xlfn.REGEXTEST(C67, "Process Directory Free Space Monitoring Absolute"), "プロセスディレクトリの空き容量（絶対値)", _xlfn.REGEXTEST(C67, "Process Directory Free Space.*Percentage"), "プロセスディレクトリの空き容量割合（%）", _xlfn.REGEXTEST(C67, "Parcel Directory Free Space.*Absolute"), "パーセルディレクトリの空き容量（絶対値）", _xlfn.REGEXTEST(C67, "Parcel Directory Free Space.*Percentage"), "パーセルディレクトリの空き容量割合（%）", _xlfn.REGEXTEST(C67, "Host Network Frame Error Percentage"), "ホストのネットワークフレームエラー割合（%）", _xlfn.REGEXTEST(C67, "Network Interfaces Slow Link Modes"), "ホストのネットワークインターフェースの低速リンクモード検出", _xlfn.REGEXTEST(C67, "Host Memory Swapping"), "ホストのメモリのスワップ発生状態", TRUE, "要手動確認")</f>
        <v>ログディレクトリの空き容量（絶対値）</v>
      </c>
      <c r="H67" s="479" t="s">
        <v>692</v>
      </c>
    </row>
    <row r="68" spans="1:8" ht="33.6">
      <c r="A68" s="514"/>
      <c r="B68" s="470"/>
      <c r="C68" s="471" t="s">
        <v>829</v>
      </c>
      <c r="D68" s="471" t="s">
        <v>830</v>
      </c>
      <c r="E68" s="471" t="s">
        <v>810</v>
      </c>
      <c r="F68" s="471"/>
      <c r="G68" s="471" t="str" cm="1">
        <f t="array" ref="G68">_xlfn.IFS(C68 = "", "", _xlfn.REGEXTEST(C68, "Host Clock Offset"), "ホストのクロックオフセット（時刻同期のズレ）", _xlfn.REGEXTEST(C68, "Memory Overcommit Validation"), "メモリオーバーコミット設定の検証", _xlfn.REGEXTEST(C68, "Gateway Logging"), "ゲートウェイのログ出力設定", _xlfn.REGEXTEST(C68, "CPU Balance"), "CPU使用率の分散バランス状態", _xlfn.REGEXTEST(C68, "Disk Balance"), "ディスク使用量の分散バランス状態", _xlfn.REGEXTEST(C68, "Network Inbound Balance"), "ネットワークインバウンド（受信）の分散バランス状態", _xlfn.REGEXTEST(C68, "Network Outbound Balance"), "ネットワークアウトバウンド（送信）の分散バランス状態", _xlfn.REGEXTEST(C68, "Replica Count Balance"), "レプリカ数の分散バランス状態", _xlfn.REGEXTEST(C68, "Disk Capacity"), "ディスク総容量の限界・使用容量", _xlfn.REGEXTEST(C68, "CPU Capacity"), "CPU総処理能力の限界・使用量", _xlfn.REGEXTEST(C68, "Network Inbound Capacity"), "ネットワークインバウンド（受信）帯域の限界・使用量", _xlfn.REGEXTEST(C68, "Network Outbound Capacity"), "ネットワークアウトバウンド（送信）帯域の限界・使用量", _xlfn.REGEXTEST(C68, "Leader Replica Count Balance"), "リーダーレプリカ数の分散バランス状態", _xlfn.REGEXTEST(C68, "Host DNS Resolution Duration"), "ホストのDNS名前解決の所要時間", _xlfn.REGEXTEST(C68, "TLS Certificate Expiry"), "TLS証明書の有効期限切れ", _xlfn.REGEXTEST(C68, "Host Entropy"), "ホストのエントロピー（乱数生成能力）の不足", _xlfn.REGEXTEST(C68, "File Descriptor"), "プロセスのファイルディスクリプタ使用率", _xlfn.REGEXTEST(C68, "Unexpected Exits"), "プロセスの異常終了（予期せぬ停止）", _xlfn.REGEXTEST(C68, "Swap Memory Thresholds"), "プロセスのスワップメモリ使用量", _xlfn.REGEXTEST(C68, "Swap Memory Usage Rate"), "スワップメモリ使用量の変化率（増加速度）", _xlfn.REGEXTEST(C68, "Log Directory Free Space.*Absolute"), "ログディレクトリの空き容量（絶対値）", _xlfn.REGEXTEST(C68, "Log Directory Free Space.*Percentage"), "ログディレクトリの空き容量割合（%）", _xlfn.REGEXTEST(C68, "Heap Dump Directory Free Space.*Absolute"), "ヒープダンプディレクトリの空き容量（絶対値）", _xlfn.REGEXTEST(C68, "Heap Dump Directory Free Space.*Percentage"), "ヒープダンプディレクトリの空き容量割合（%）", _xlfn.REGEXTEST(C68, "Data Directory Free Space.*Absolute"), "データディレクトリの空き容量（絶対値）", _xlfn.REGEXTEST(C68, "Data Directory Free Space.*Percentage"), "データディレクトリの空き容量割合（%）", _xlfn.REGEXTEST(C68, "Transaction Log Directory Free Space.*Absolute"), "トランザクションログディレクトリの空き容量（絶対値）", _xlfn.REGEXTEST(C68, "Logging Threshold|Logger Threshold"), "ログ出力レベルの閾値設定", _xlfn.REGEXTEST(C68, "Enable.*Alerts"), "ヘルスアラートの有効化状態", _xlfn.REGEXTEST(C68, "Triggers"), "カスタムアラート条件（トリガー設定）", _xlfn.REGEXTEST(C68, "Healthy Kafka Broker"), "Kafka Brokerの健全ノード割合（稼働率）", _xlfn.REGEXTEST(C68, "Healthy Kafka Connect"), "Kafka Connectの健全ノード割合（稼働率）", _xlfn.REGEXTEST(C68, "Healthy KRaft Controller"), "KRaft Controllerの健全ノード割合（稼働率）", _xlfn.REGEXTEST(C68, "Healthy Knox IDBroker"), "Knox IDBrokerの健全ノード割合（稼働率）", _xlfn.REGEXTEST(C68, "Healthy Knox Gateway"), "Knox Gatewayの健全ノード割合（稼働率）", _xlfn.REGEXTEST(C68, "Healthy ZooKeeper Server"), "ZooKeeper Serverの健全ノード割合（稼働率）", _xlfn.REGEXTEST(C68, "Healthy NodeManager"), "NodeManagerの健全ノード割合（稼働率）", _xlfn.REGEXTEST(C68, "Maximum Latency"), "リクエストの最大レイテンシ（処理遅延）", _xlfn.REGEXTEST(C68, "Garbage Collection Duration"), "Javaのガベージコレクション（GC）の所要時間", _xlfn.REGEXTEST(C68, "Spool Directory Usage"), "Rangerプラグインのスプールディレクトリ使用量", _xlfn.REGEXTEST(C68, "Process Directory Free Space Monitoring Absolute"), "プロセスディレクトリの空き容量（絶対値)", _xlfn.REGEXTEST(C68, "Process Directory Free Space.*Percentage"), "プロセスディレクトリの空き容量割合（%）", _xlfn.REGEXTEST(C68, "Parcel Directory Free Space.*Absolute"), "パーセルディレクトリの空き容量（絶対値）", _xlfn.REGEXTEST(C68, "Parcel Directory Free Space.*Percentage"), "パーセルディレクトリの空き容量割合（%）", _xlfn.REGEXTEST(C68, "Host Network Frame Error Percentage"), "ホストのネットワークフレームエラー割合（%）", _xlfn.REGEXTEST(C68, "Network Interfaces Slow Link Modes"), "ホストのネットワークインターフェースの低速リンクモード検出", _xlfn.REGEXTEST(C68, "Host Memory Swapping"), "ホストのメモリのスワップ発生状態", TRUE, "要手動確認")</f>
        <v>ログディレクトリの空き容量割合（%）</v>
      </c>
      <c r="H68" s="479" t="s">
        <v>689</v>
      </c>
    </row>
    <row r="69" spans="1:8" ht="16.899999999999999">
      <c r="A69" s="514"/>
      <c r="B69" s="472" t="s">
        <v>831</v>
      </c>
      <c r="C69" s="471" t="s">
        <v>771</v>
      </c>
      <c r="D69" s="471" t="s">
        <v>772</v>
      </c>
      <c r="E69" s="471" t="s">
        <v>773</v>
      </c>
      <c r="F69" s="471"/>
      <c r="G69" s="471" t="str" cm="1">
        <f t="array" ref="G69">_xlfn.IFS(C69 = "", "", _xlfn.REGEXTEST(C69, "Host Clock Offset"), "ホストのクロックオフセット（時刻同期のズレ）", _xlfn.REGEXTEST(C69, "Memory Overcommit Validation"), "メモリオーバーコミット設定の検証", _xlfn.REGEXTEST(C69, "Gateway Logging"), "ゲートウェイのログ出力設定", _xlfn.REGEXTEST(C69, "CPU Balance"), "CPU使用率の分散バランス状態", _xlfn.REGEXTEST(C69, "Disk Balance"), "ディスク使用量の分散バランス状態", _xlfn.REGEXTEST(C69, "Network Inbound Balance"), "ネットワークインバウンド（受信）の分散バランス状態", _xlfn.REGEXTEST(C69, "Network Outbound Balance"), "ネットワークアウトバウンド（送信）の分散バランス状態", _xlfn.REGEXTEST(C69, "Replica Count Balance"), "レプリカ数の分散バランス状態", _xlfn.REGEXTEST(C69, "Disk Capacity"), "ディスク総容量の限界・使用容量", _xlfn.REGEXTEST(C69, "CPU Capacity"), "CPU総処理能力の限界・使用量", _xlfn.REGEXTEST(C69, "Network Inbound Capacity"), "ネットワークインバウンド（受信）帯域の限界・使用量", _xlfn.REGEXTEST(C69, "Network Outbound Capacity"), "ネットワークアウトバウンド（送信）帯域の限界・使用量", _xlfn.REGEXTEST(C69, "Leader Replica Count Balance"), "リーダーレプリカ数の分散バランス状態", _xlfn.REGEXTEST(C69, "Host DNS Resolution Duration"), "ホストのDNS名前解決の所要時間", _xlfn.REGEXTEST(C69, "TLS Certificate Expiry"), "TLS証明書の有効期限切れ", _xlfn.REGEXTEST(C69, "Host Entropy"), "ホストのエントロピー（乱数生成能力）の不足", _xlfn.REGEXTEST(C69, "File Descriptor"), "プロセスのファイルディスクリプタ使用率", _xlfn.REGEXTEST(C69, "Unexpected Exits"), "プロセスの異常終了（予期せぬ停止）", _xlfn.REGEXTEST(C69, "Swap Memory Thresholds"), "プロセスのスワップメモリ使用量", _xlfn.REGEXTEST(C69, "Swap Memory Usage Rate"), "スワップメモリ使用量の変化率（増加速度）", _xlfn.REGEXTEST(C69, "Log Directory Free Space.*Absolute"), "ログディレクトリの空き容量（絶対値）", _xlfn.REGEXTEST(C69, "Log Directory Free Space.*Percentage"), "ログディレクトリの空き容量割合（%）", _xlfn.REGEXTEST(C69, "Heap Dump Directory Free Space.*Absolute"), "ヒープダンプディレクトリの空き容量（絶対値）", _xlfn.REGEXTEST(C69, "Heap Dump Directory Free Space.*Percentage"), "ヒープダンプディレクトリの空き容量割合（%）", _xlfn.REGEXTEST(C69, "Data Directory Free Space.*Absolute"), "データディレクトリの空き容量（絶対値）", _xlfn.REGEXTEST(C69, "Data Directory Free Space.*Percentage"), "データディレクトリの空き容量割合（%）", _xlfn.REGEXTEST(C69, "Transaction Log Directory Free Space.*Absolute"), "トランザクションログディレクトリの空き容量（絶対値）", _xlfn.REGEXTEST(C69, "Logging Threshold|Logger Threshold"), "ログ出力レベルの閾値設定", _xlfn.REGEXTEST(C69, "Enable.*Alerts"), "ヘルスアラートの有効化状態", _xlfn.REGEXTEST(C69, "Triggers"), "カスタムアラート条件（トリガー設定）", _xlfn.REGEXTEST(C69, "Healthy Kafka Broker"), "Kafka Brokerの健全ノード割合（稼働率）", _xlfn.REGEXTEST(C69, "Healthy Kafka Connect"), "Kafka Connectの健全ノード割合（稼働率）", _xlfn.REGEXTEST(C69, "Healthy KRaft Controller"), "KRaft Controllerの健全ノード割合（稼働率）", _xlfn.REGEXTEST(C69, "Healthy Knox IDBroker"), "Knox IDBrokerの健全ノード割合（稼働率）", _xlfn.REGEXTEST(C69, "Healthy Knox Gateway"), "Knox Gatewayの健全ノード割合（稼働率）", _xlfn.REGEXTEST(C69, "Healthy ZooKeeper Server"), "ZooKeeper Serverの健全ノード割合（稼働率）", _xlfn.REGEXTEST(C69, "Healthy NodeManager"), "NodeManagerの健全ノード割合（稼働率）", _xlfn.REGEXTEST(C69, "Maximum Latency"), "リクエストの最大レイテンシ（処理遅延）", _xlfn.REGEXTEST(C69, "Garbage Collection Duration"), "Javaのガベージコレクション（GC）の所要時間", _xlfn.REGEXTEST(C69, "Spool Directory Usage"), "Rangerプラグインのスプールディレクトリ使用量", _xlfn.REGEXTEST(C69, "Process Directory Free Space Monitoring Absolute"), "プロセスディレクトリの空き容量（絶対値)", _xlfn.REGEXTEST(C69, "Process Directory Free Space.*Percentage"), "プロセスディレクトリの空き容量割合（%）", _xlfn.REGEXTEST(C69, "Parcel Directory Free Space.*Absolute"), "パーセルディレクトリの空き容量（絶対値）", _xlfn.REGEXTEST(C69, "Parcel Directory Free Space.*Percentage"), "パーセルディレクトリの空き容量割合（%）", _xlfn.REGEXTEST(C69, "Host Network Frame Error Percentage"), "ホストのネットワークフレームエラー割合（%）", _xlfn.REGEXTEST(C69, "Network Interfaces Slow Link Modes"), "ホストのネットワークインターフェースの低速リンクモード検出", _xlfn.REGEXTEST(C69, "Host Memory Swapping"), "ホストのメモリのスワップ発生状態", TRUE, "要手動確認")</f>
        <v>ゲートウェイのログ出力設定</v>
      </c>
      <c r="H69" s="479" t="s">
        <v>775</v>
      </c>
    </row>
    <row r="70" spans="1:8" ht="16.899999999999999">
      <c r="A70" s="468"/>
      <c r="B70" s="473"/>
      <c r="C70" s="471" t="s">
        <v>788</v>
      </c>
      <c r="D70" s="471" t="s">
        <v>710</v>
      </c>
      <c r="E70" s="471" t="s">
        <v>832</v>
      </c>
      <c r="F70" s="471"/>
      <c r="G70" s="471" t="str" cm="1">
        <f t="array" ref="G70">_xlfn.IFS(C70 = "", "", _xlfn.REGEXTEST(C70, "Host Clock Offset"), "ホストのクロックオフセット（時刻同期のズレ）", _xlfn.REGEXTEST(C70, "Memory Overcommit Validation"), "メモリオーバーコミット設定の検証", _xlfn.REGEXTEST(C70, "Gateway Logging"), "ゲートウェイのログ出力設定", _xlfn.REGEXTEST(C70, "CPU Balance"), "CPU使用率の分散バランス状態", _xlfn.REGEXTEST(C70, "Disk Balance"), "ディスク使用量の分散バランス状態", _xlfn.REGEXTEST(C70, "Network Inbound Balance"), "ネットワークインバウンド（受信）の分散バランス状態", _xlfn.REGEXTEST(C70, "Network Outbound Balance"), "ネットワークアウトバウンド（送信）の分散バランス状態", _xlfn.REGEXTEST(C70, "Replica Count Balance"), "レプリカ数の分散バランス状態", _xlfn.REGEXTEST(C70, "Disk Capacity"), "ディスク総容量の限界・使用容量", _xlfn.REGEXTEST(C70, "CPU Capacity"), "CPU総処理能力の限界・使用量", _xlfn.REGEXTEST(C70, "Network Inbound Capacity"), "ネットワークインバウンド（受信）帯域の限界・使用量", _xlfn.REGEXTEST(C70, "Network Outbound Capacity"), "ネットワークアウトバウンド（送信）帯域の限界・使用量", _xlfn.REGEXTEST(C70, "Leader Replica Count Balance"), "リーダーレプリカ数の分散バランス状態", _xlfn.REGEXTEST(C70, "Host DNS Resolution Duration"), "ホストのDNS名前解決の所要時間", _xlfn.REGEXTEST(C70, "TLS Certificate Expiry"), "TLS証明書の有効期限切れ", _xlfn.REGEXTEST(C70, "Host Entropy"), "ホストのエントロピー（乱数生成能力）の不足", _xlfn.REGEXTEST(C70, "File Descriptor"), "プロセスのファイルディスクリプタ使用率", _xlfn.REGEXTEST(C70, "Unexpected Exits"), "プロセスの異常終了（予期せぬ停止）", _xlfn.REGEXTEST(C70, "Swap Memory Thresholds"), "プロセスのスワップメモリ使用量", _xlfn.REGEXTEST(C70, "Swap Memory Usage Rate"), "スワップメモリ使用量の変化率（増加速度）", _xlfn.REGEXTEST(C70, "Log Directory Free Space.*Absolute"), "ログディレクトリの空き容量（絶対値）", _xlfn.REGEXTEST(C70, "Log Directory Free Space.*Percentage"), "ログディレクトリの空き容量割合（%）", _xlfn.REGEXTEST(C70, "Heap Dump Directory Free Space.*Absolute"), "ヒープダンプディレクトリの空き容量（絶対値）", _xlfn.REGEXTEST(C70, "Heap Dump Directory Free Space.*Percentage"), "ヒープダンプディレクトリの空き容量割合（%）", _xlfn.REGEXTEST(C70, "Data Directory Free Space.*Absolute"), "データディレクトリの空き容量（絶対値）", _xlfn.REGEXTEST(C70, "Data Directory Free Space.*Percentage"), "データディレクトリの空き容量割合（%）", _xlfn.REGEXTEST(C70, "Transaction Log Directory Free Space.*Absolute"), "トランザクションログディレクトリの空き容量（絶対値）", _xlfn.REGEXTEST(C70, "Logging Threshold|Logger Threshold"), "ログ出力レベルの閾値設定", _xlfn.REGEXTEST(C70, "Enable.*Alerts"), "ヘルスアラートの有効化状態", _xlfn.REGEXTEST(C70, "Triggers"), "カスタムアラート条件（トリガー設定）", _xlfn.REGEXTEST(C70, "Healthy Kafka Broker"), "Kafka Brokerの健全ノード割合（稼働率）", _xlfn.REGEXTEST(C70, "Healthy Kafka Connect"), "Kafka Connectの健全ノード割合（稼働率）", _xlfn.REGEXTEST(C70, "Healthy KRaft Controller"), "KRaft Controllerの健全ノード割合（稼働率）", _xlfn.REGEXTEST(C70, "Healthy Knox IDBroker"), "Knox IDBrokerの健全ノード割合（稼働率）", _xlfn.REGEXTEST(C70, "Healthy Knox Gateway"), "Knox Gatewayの健全ノード割合（稼働率）", _xlfn.REGEXTEST(C70, "Healthy ZooKeeper Server"), "ZooKeeper Serverの健全ノード割合（稼働率）", _xlfn.REGEXTEST(C70, "Healthy NodeManager"), "NodeManagerの健全ノード割合（稼働率）", _xlfn.REGEXTEST(C70, "Maximum Latency"), "リクエストの最大レイテンシ（処理遅延）", _xlfn.REGEXTEST(C70, "Garbage Collection Duration"), "Javaのガベージコレクション（GC）の所要時間", _xlfn.REGEXTEST(C70, "Spool Directory Usage"), "Rangerプラグインのスプールディレクトリ使用量", _xlfn.REGEXTEST(C70, "Process Directory Free Space Monitoring Absolute"), "プロセスディレクトリの空き容量（絶対値)", _xlfn.REGEXTEST(C70, "Process Directory Free Space.*Percentage"), "プロセスディレクトリの空き容量割合（%）", _xlfn.REGEXTEST(C70, "Parcel Directory Free Space.*Absolute"), "パーセルディレクトリの空き容量（絶対値）", _xlfn.REGEXTEST(C70, "Parcel Directory Free Space.*Percentage"), "パーセルディレクトリの空き容量割合（%）", _xlfn.REGEXTEST(C70, "Host Network Frame Error Percentage"), "ホストのネットワークフレームエラー割合（%）", _xlfn.REGEXTEST(C70, "Network Interfaces Slow Link Modes"), "ホストのネットワークインターフェースの低速リンクモード検出", _xlfn.REGEXTEST(C70, "Host Memory Swapping"), "ホストのメモリのスワップ発生状態", TRUE, "要手動確認")</f>
        <v>ヘルスアラートの有効化状態</v>
      </c>
      <c r="H70" s="479" t="s">
        <v>790</v>
      </c>
    </row>
    <row r="71" spans="1:8" ht="16.899999999999999">
      <c r="A71" s="514"/>
      <c r="B71" s="470"/>
      <c r="C71" s="471" t="s">
        <v>791</v>
      </c>
      <c r="D71" s="471" t="s">
        <v>792</v>
      </c>
      <c r="E71" s="471" t="s">
        <v>832</v>
      </c>
      <c r="F71" s="471"/>
      <c r="G71" s="471" t="str" cm="1">
        <f t="array" ref="G71">_xlfn.IFS(C71 = "", "", _xlfn.REGEXTEST(C71, "Host Clock Offset"), "ホストのクロックオフセット（時刻同期のズレ）", _xlfn.REGEXTEST(C71, "Memory Overcommit Validation"), "メモリオーバーコミット設定の検証", _xlfn.REGEXTEST(C71, "Gateway Logging"), "ゲートウェイのログ出力設定", _xlfn.REGEXTEST(C71, "CPU Balance"), "CPU使用率の分散バランス状態", _xlfn.REGEXTEST(C71, "Disk Balance"), "ディスク使用量の分散バランス状態", _xlfn.REGEXTEST(C71, "Network Inbound Balance"), "ネットワークインバウンド（受信）の分散バランス状態", _xlfn.REGEXTEST(C71, "Network Outbound Balance"), "ネットワークアウトバウンド（送信）の分散バランス状態", _xlfn.REGEXTEST(C71, "Replica Count Balance"), "レプリカ数の分散バランス状態", _xlfn.REGEXTEST(C71, "Disk Capacity"), "ディスク総容量の限界・使用容量", _xlfn.REGEXTEST(C71, "CPU Capacity"), "CPU総処理能力の限界・使用量", _xlfn.REGEXTEST(C71, "Network Inbound Capacity"), "ネットワークインバウンド（受信）帯域の限界・使用量", _xlfn.REGEXTEST(C71, "Network Outbound Capacity"), "ネットワークアウトバウンド（送信）帯域の限界・使用量", _xlfn.REGEXTEST(C71, "Leader Replica Count Balance"), "リーダーレプリカ数の分散バランス状態", _xlfn.REGEXTEST(C71, "Host DNS Resolution Duration"), "ホストのDNS名前解決の所要時間", _xlfn.REGEXTEST(C71, "TLS Certificate Expiry"), "TLS証明書の有効期限切れ", _xlfn.REGEXTEST(C71, "Host Entropy"), "ホストのエントロピー（乱数生成能力）の不足", _xlfn.REGEXTEST(C71, "File Descriptor"), "プロセスのファイルディスクリプタ使用率", _xlfn.REGEXTEST(C71, "Unexpected Exits"), "プロセスの異常終了（予期せぬ停止）", _xlfn.REGEXTEST(C71, "Swap Memory Thresholds"), "プロセスのスワップメモリ使用量", _xlfn.REGEXTEST(C71, "Swap Memory Usage Rate"), "スワップメモリ使用量の変化率（増加速度）", _xlfn.REGEXTEST(C71, "Log Directory Free Space.*Absolute"), "ログディレクトリの空き容量（絶対値）", _xlfn.REGEXTEST(C71, "Log Directory Free Space.*Percentage"), "ログディレクトリの空き容量割合（%）", _xlfn.REGEXTEST(C71, "Heap Dump Directory Free Space.*Absolute"), "ヒープダンプディレクトリの空き容量（絶対値）", _xlfn.REGEXTEST(C71, "Heap Dump Directory Free Space.*Percentage"), "ヒープダンプディレクトリの空き容量割合（%）", _xlfn.REGEXTEST(C71, "Data Directory Free Space.*Absolute"), "データディレクトリの空き容量（絶対値）", _xlfn.REGEXTEST(C71, "Data Directory Free Space.*Percentage"), "データディレクトリの空き容量割合（%）", _xlfn.REGEXTEST(C71, "Transaction Log Directory Free Space.*Absolute"), "トランザクションログディレクトリの空き容量（絶対値）", _xlfn.REGEXTEST(C71, "Logging Threshold|Logger Threshold"), "ログ出力レベルの閾値設定", _xlfn.REGEXTEST(C71, "Enable.*Alerts"), "ヘルスアラートの有効化状態", _xlfn.REGEXTEST(C71, "Triggers"), "カスタムアラート条件（トリガー設定）", _xlfn.REGEXTEST(C71, "Healthy Kafka Broker"), "Kafka Brokerの健全ノード割合（稼働率）", _xlfn.REGEXTEST(C71, "Healthy Kafka Connect"), "Kafka Connectの健全ノード割合（稼働率）", _xlfn.REGEXTEST(C71, "Healthy KRaft Controller"), "KRaft Controllerの健全ノード割合（稼働率）", _xlfn.REGEXTEST(C71, "Healthy Knox IDBroker"), "Knox IDBrokerの健全ノード割合（稼働率）", _xlfn.REGEXTEST(C71, "Healthy Knox Gateway"), "Knox Gatewayの健全ノード割合（稼働率）", _xlfn.REGEXTEST(C71, "Healthy ZooKeeper Server"), "ZooKeeper Serverの健全ノード割合（稼働率）", _xlfn.REGEXTEST(C71, "Healthy NodeManager"), "NodeManagerの健全ノード割合（稼働率）", _xlfn.REGEXTEST(C71, "Maximum Latency"), "リクエストの最大レイテンシ（処理遅延）", _xlfn.REGEXTEST(C71, "Garbage Collection Duration"), "Javaのガベージコレクション（GC）の所要時間", _xlfn.REGEXTEST(C71, "Spool Directory Usage"), "Rangerプラグインのスプールディレクトリ使用量", _xlfn.REGEXTEST(C71, "Process Directory Free Space Monitoring Absolute"), "プロセスディレクトリの空き容量（絶対値)", _xlfn.REGEXTEST(C71, "Process Directory Free Space.*Percentage"), "プロセスディレクトリの空き容量割合（%）", _xlfn.REGEXTEST(C71, "Parcel Directory Free Space.*Absolute"), "パーセルディレクトリの空き容量（絶対値）", _xlfn.REGEXTEST(C71, "Parcel Directory Free Space.*Percentage"), "パーセルディレクトリの空き容量割合（%）", _xlfn.REGEXTEST(C71, "Host Network Frame Error Percentage"), "ホストのネットワークフレームエラー割合（%）", _xlfn.REGEXTEST(C71, "Network Interfaces Slow Link Modes"), "ホストのネットワークインターフェースの低速リンクモード検出", _xlfn.REGEXTEST(C71, "Host Memory Swapping"), "ホストのメモリのスワップ発生状態", TRUE, "要手動確認")</f>
        <v>カスタムアラート条件（トリガー設定）</v>
      </c>
      <c r="H71" s="479" t="s">
        <v>754</v>
      </c>
    </row>
    <row r="72" spans="1:8" ht="16.899999999999999">
      <c r="A72" s="514"/>
      <c r="B72" s="472" t="s">
        <v>833</v>
      </c>
      <c r="C72" s="471" t="s">
        <v>834</v>
      </c>
      <c r="D72" s="471" t="s">
        <v>835</v>
      </c>
      <c r="E72" s="471" t="s">
        <v>836</v>
      </c>
      <c r="F72" s="471"/>
      <c r="G72" s="471" t="str" cm="1">
        <f t="array" ref="G72">_xlfn.IFS(C72 = "", "", _xlfn.REGEXTEST(C72, "Host Clock Offset"), "ホストのクロックオフセット（時刻同期のズレ）", _xlfn.REGEXTEST(C72, "Memory Overcommit Validation"), "メモリオーバーコミット設定の検証", _xlfn.REGEXTEST(C72, "Gateway Logging"), "ゲートウェイのログ出力設定", _xlfn.REGEXTEST(C72, "CPU Balance"), "CPU使用率の分散バランス状態", _xlfn.REGEXTEST(C72, "Disk Balance"), "ディスク使用量の分散バランス状態", _xlfn.REGEXTEST(C72, "Network Inbound Balance"), "ネットワークインバウンド（受信）の分散バランス状態", _xlfn.REGEXTEST(C72, "Network Outbound Balance"), "ネットワークアウトバウンド（送信）の分散バランス状態", _xlfn.REGEXTEST(C72, "Replica Count Balance"), "レプリカ数の分散バランス状態", _xlfn.REGEXTEST(C72, "Disk Capacity"), "ディスク総容量の限界・使用容量", _xlfn.REGEXTEST(C72, "CPU Capacity"), "CPU総処理能力の限界・使用量", _xlfn.REGEXTEST(C72, "Network Inbound Capacity"), "ネットワークインバウンド（受信）帯域の限界・使用量", _xlfn.REGEXTEST(C72, "Network Outbound Capacity"), "ネットワークアウトバウンド（送信）帯域の限界・使用量", _xlfn.REGEXTEST(C72, "Leader Replica Count Balance"), "リーダーレプリカ数の分散バランス状態", _xlfn.REGEXTEST(C72, "Host DNS Resolution Duration"), "ホストのDNS名前解決の所要時間", _xlfn.REGEXTEST(C72, "TLS Certificate Expiry"), "TLS証明書の有効期限切れ", _xlfn.REGEXTEST(C72, "Host Entropy"), "ホストのエントロピー（乱数生成能力）の不足", _xlfn.REGEXTEST(C72, "File Descriptor"), "プロセスのファイルディスクリプタ使用率", _xlfn.REGEXTEST(C72, "Unexpected Exits"), "プロセスの異常終了（予期せぬ停止）", _xlfn.REGEXTEST(C72, "Swap Memory Thresholds"), "プロセスのスワップメモリ使用量", _xlfn.REGEXTEST(C72, "Swap Memory Usage Rate"), "スワップメモリ使用量の変化率（増加速度）", _xlfn.REGEXTEST(C72, "Log Directory Free Space.*Absolute"), "ログディレクトリの空き容量（絶対値）", _xlfn.REGEXTEST(C72, "Log Directory Free Space.*Percentage"), "ログディレクトリの空き容量割合（%）", _xlfn.REGEXTEST(C72, "Heap Dump Directory Free Space.*Absolute"), "ヒープダンプディレクトリの空き容量（絶対値）", _xlfn.REGEXTEST(C72, "Heap Dump Directory Free Space.*Percentage"), "ヒープダンプディレクトリの空き容量割合（%）", _xlfn.REGEXTEST(C72, "Data Directory Free Space.*Absolute"), "データディレクトリの空き容量（絶対値）", _xlfn.REGEXTEST(C72, "Data Directory Free Space.*Percentage"), "データディレクトリの空き容量割合（%）", _xlfn.REGEXTEST(C72, "Transaction Log Directory Free Space.*Absolute"), "トランザクションログディレクトリの空き容量（絶対値）", _xlfn.REGEXTEST(C72, "Logging Threshold|Logger Threshold"), "ログ出力レベルの閾値設定", _xlfn.REGEXTEST(C72, "Enable.*Alerts"), "ヘルスアラートの有効化状態", _xlfn.REGEXTEST(C72, "Triggers"), "カスタムアラート条件（トリガー設定）", _xlfn.REGEXTEST(C72, "Healthy Kafka Broker"), "Kafka Brokerの健全ノード割合（稼働率）", _xlfn.REGEXTEST(C72, "Healthy Kafka Connect"), "Kafka Connectの健全ノード割合（稼働率）", _xlfn.REGEXTEST(C72, "Healthy KRaft Controller"), "KRaft Controllerの健全ノード割合（稼働率）", _xlfn.REGEXTEST(C72, "Healthy Knox IDBroker"), "Knox IDBrokerの健全ノード割合（稼働率）", _xlfn.REGEXTEST(C72, "Healthy Knox Gateway"), "Knox Gatewayの健全ノード割合（稼働率）", _xlfn.REGEXTEST(C72, "Healthy ZooKeeper Server"), "ZooKeeper Serverの健全ノード割合（稼働率）", _xlfn.REGEXTEST(C72, "Healthy NodeManager"), "NodeManagerの健全ノード割合（稼働率）", _xlfn.REGEXTEST(C72, "Maximum Latency"), "リクエストの最大レイテンシ（処理遅延）", _xlfn.REGEXTEST(C72, "Garbage Collection Duration"), "Javaのガベージコレクション（GC）の所要時間", _xlfn.REGEXTEST(C72, "Spool Directory Usage"), "Rangerプラグインのスプールディレクトリ使用量", _xlfn.REGEXTEST(C72, "Process Directory Free Space Monitoring Absolute"), "プロセスディレクトリの空き容量（絶対値)", _xlfn.REGEXTEST(C72, "Process Directory Free Space.*Percentage"), "プロセスディレクトリの空き容量割合（%）", _xlfn.REGEXTEST(C72, "Parcel Directory Free Space.*Absolute"), "パーセルディレクトリの空き容量（絶対値）", _xlfn.REGEXTEST(C72, "Parcel Directory Free Space.*Percentage"), "パーセルディレクトリの空き容量割合（%）", _xlfn.REGEXTEST(C72, "Host Network Frame Error Percentage"), "ホストのネットワークフレームエラー割合（%）", _xlfn.REGEXTEST(C72, "Network Interfaces Slow Link Modes"), "ホストのネットワークインターフェースの低速リンクモード検出", _xlfn.REGEXTEST(C72, "Host Memory Swapping"), "ホストのメモリのスワップ発生状態", TRUE, "要手動確認")</f>
        <v>CPU使用率の分散バランス状態</v>
      </c>
      <c r="H72" s="479">
        <v>1.5</v>
      </c>
    </row>
    <row r="73" spans="1:8" ht="16.899999999999999">
      <c r="A73" s="468"/>
      <c r="B73" s="473" t="s">
        <v>837</v>
      </c>
      <c r="C73" s="471" t="s">
        <v>838</v>
      </c>
      <c r="D73" s="471" t="s">
        <v>839</v>
      </c>
      <c r="E73" s="471" t="s">
        <v>836</v>
      </c>
      <c r="F73" s="471"/>
      <c r="G73" s="471" t="str" cm="1">
        <f t="array" ref="G73">_xlfn.IFS(C73 = "", "", _xlfn.REGEXTEST(C73, "Host Clock Offset"), "ホストのクロックオフセット（時刻同期のズレ）", _xlfn.REGEXTEST(C73, "Memory Overcommit Validation"), "メモリオーバーコミット設定の検証", _xlfn.REGEXTEST(C73, "Gateway Logging"), "ゲートウェイのログ出力設定", _xlfn.REGEXTEST(C73, "CPU Balance"), "CPU使用率の分散バランス状態", _xlfn.REGEXTEST(C73, "Disk Balance"), "ディスク使用量の分散バランス状態", _xlfn.REGEXTEST(C73, "Network Inbound Balance"), "ネットワークインバウンド（受信）の分散バランス状態", _xlfn.REGEXTEST(C73, "Network Outbound Balance"), "ネットワークアウトバウンド（送信）の分散バランス状態", _xlfn.REGEXTEST(C73, "Replica Count Balance"), "レプリカ数の分散バランス状態", _xlfn.REGEXTEST(C73, "Disk Capacity"), "ディスク総容量の限界・使用容量", _xlfn.REGEXTEST(C73, "CPU Capacity"), "CPU総処理能力の限界・使用量", _xlfn.REGEXTEST(C73, "Network Inbound Capacity"), "ネットワークインバウンド（受信）帯域の限界・使用量", _xlfn.REGEXTEST(C73, "Network Outbound Capacity"), "ネットワークアウトバウンド（送信）帯域の限界・使用量", _xlfn.REGEXTEST(C73, "Leader Replica Count Balance"), "リーダーレプリカ数の分散バランス状態", _xlfn.REGEXTEST(C73, "Host DNS Resolution Duration"), "ホストのDNS名前解決の所要時間", _xlfn.REGEXTEST(C73, "TLS Certificate Expiry"), "TLS証明書の有効期限切れ", _xlfn.REGEXTEST(C73, "Host Entropy"), "ホストのエントロピー（乱数生成能力）の不足", _xlfn.REGEXTEST(C73, "File Descriptor"), "プロセスのファイルディスクリプタ使用率", _xlfn.REGEXTEST(C73, "Unexpected Exits"), "プロセスの異常終了（予期せぬ停止）", _xlfn.REGEXTEST(C73, "Swap Memory Thresholds"), "プロセスのスワップメモリ使用量", _xlfn.REGEXTEST(C73, "Swap Memory Usage Rate"), "スワップメモリ使用量の変化率（増加速度）", _xlfn.REGEXTEST(C73, "Log Directory Free Space.*Absolute"), "ログディレクトリの空き容量（絶対値）", _xlfn.REGEXTEST(C73, "Log Directory Free Space.*Percentage"), "ログディレクトリの空き容量割合（%）", _xlfn.REGEXTEST(C73, "Heap Dump Directory Free Space.*Absolute"), "ヒープダンプディレクトリの空き容量（絶対値）", _xlfn.REGEXTEST(C73, "Heap Dump Directory Free Space.*Percentage"), "ヒープダンプディレクトリの空き容量割合（%）", _xlfn.REGEXTEST(C73, "Data Directory Free Space.*Absolute"), "データディレクトリの空き容量（絶対値）", _xlfn.REGEXTEST(C73, "Data Directory Free Space.*Percentage"), "データディレクトリの空き容量割合（%）", _xlfn.REGEXTEST(C73, "Transaction Log Directory Free Space.*Absolute"), "トランザクションログディレクトリの空き容量（絶対値）", _xlfn.REGEXTEST(C73, "Logging Threshold|Logger Threshold"), "ログ出力レベルの閾値設定", _xlfn.REGEXTEST(C73, "Enable.*Alerts"), "ヘルスアラートの有効化状態", _xlfn.REGEXTEST(C73, "Triggers"), "カスタムアラート条件（トリガー設定）", _xlfn.REGEXTEST(C73, "Healthy Kafka Broker"), "Kafka Brokerの健全ノード割合（稼働率）", _xlfn.REGEXTEST(C73, "Healthy Kafka Connect"), "Kafka Connectの健全ノード割合（稼働率）", _xlfn.REGEXTEST(C73, "Healthy KRaft Controller"), "KRaft Controllerの健全ノード割合（稼働率）", _xlfn.REGEXTEST(C73, "Healthy Knox IDBroker"), "Knox IDBrokerの健全ノード割合（稼働率）", _xlfn.REGEXTEST(C73, "Healthy Knox Gateway"), "Knox Gatewayの健全ノード割合（稼働率）", _xlfn.REGEXTEST(C73, "Healthy ZooKeeper Server"), "ZooKeeper Serverの健全ノード割合（稼働率）", _xlfn.REGEXTEST(C73, "Healthy NodeManager"), "NodeManagerの健全ノード割合（稼働率）", _xlfn.REGEXTEST(C73, "Maximum Latency"), "リクエストの最大レイテンシ（処理遅延）", _xlfn.REGEXTEST(C73, "Garbage Collection Duration"), "Javaのガベージコレクション（GC）の所要時間", _xlfn.REGEXTEST(C73, "Spool Directory Usage"), "Rangerプラグインのスプールディレクトリ使用量", _xlfn.REGEXTEST(C73, "Process Directory Free Space Monitoring Absolute"), "プロセスディレクトリの空き容量（絶対値)", _xlfn.REGEXTEST(C73, "Process Directory Free Space.*Percentage"), "プロセスディレクトリの空き容量割合（%）", _xlfn.REGEXTEST(C73, "Parcel Directory Free Space.*Absolute"), "パーセルディレクトリの空き容量（絶対値）", _xlfn.REGEXTEST(C73, "Parcel Directory Free Space.*Percentage"), "パーセルディレクトリの空き容量割合（%）", _xlfn.REGEXTEST(C73, "Host Network Frame Error Percentage"), "ホストのネットワークフレームエラー割合（%）", _xlfn.REGEXTEST(C73, "Network Interfaces Slow Link Modes"), "ホストのネットワークインターフェースの低速リンクモード検出", _xlfn.REGEXTEST(C73, "Host Memory Swapping"), "ホストのメモリのスワップ発生状態", TRUE, "要手動確認")</f>
        <v>ディスク使用量の分散バランス状態</v>
      </c>
      <c r="H73" s="479">
        <v>1.1000000000000001</v>
      </c>
    </row>
    <row r="74" spans="1:8" ht="16.899999999999999">
      <c r="A74" s="468"/>
      <c r="B74" s="473"/>
      <c r="C74" s="471" t="s">
        <v>840</v>
      </c>
      <c r="D74" s="471" t="s">
        <v>841</v>
      </c>
      <c r="E74" s="471" t="s">
        <v>836</v>
      </c>
      <c r="F74" s="471"/>
      <c r="G74" s="471" t="str" cm="1">
        <f t="array" ref="G74">_xlfn.IFS(C74 = "", "", _xlfn.REGEXTEST(C74, "Host Clock Offset"), "ホストのクロックオフセット（時刻同期のズレ）", _xlfn.REGEXTEST(C74, "Memory Overcommit Validation"), "メモリオーバーコミット設定の検証", _xlfn.REGEXTEST(C74, "Gateway Logging"), "ゲートウェイのログ出力設定", _xlfn.REGEXTEST(C74, "CPU Balance"), "CPU使用率の分散バランス状態", _xlfn.REGEXTEST(C74, "Disk Balance"), "ディスク使用量の分散バランス状態", _xlfn.REGEXTEST(C74, "Network Inbound Balance"), "ネットワークインバウンド（受信）の分散バランス状態", _xlfn.REGEXTEST(C74, "Network Outbound Balance"), "ネットワークアウトバウンド（送信）の分散バランス状態", _xlfn.REGEXTEST(C74, "Replica Count Balance"), "レプリカ数の分散バランス状態", _xlfn.REGEXTEST(C74, "Disk Capacity"), "ディスク総容量の限界・使用容量", _xlfn.REGEXTEST(C74, "CPU Capacity"), "CPU総処理能力の限界・使用量", _xlfn.REGEXTEST(C74, "Network Inbound Capacity"), "ネットワークインバウンド（受信）帯域の限界・使用量", _xlfn.REGEXTEST(C74, "Network Outbound Capacity"), "ネットワークアウトバウンド（送信）帯域の限界・使用量", _xlfn.REGEXTEST(C74, "Leader Replica Count Balance"), "リーダーレプリカ数の分散バランス状態", _xlfn.REGEXTEST(C74, "Host DNS Resolution Duration"), "ホストのDNS名前解決の所要時間", _xlfn.REGEXTEST(C74, "TLS Certificate Expiry"), "TLS証明書の有効期限切れ", _xlfn.REGEXTEST(C74, "Host Entropy"), "ホストのエントロピー（乱数生成能力）の不足", _xlfn.REGEXTEST(C74, "File Descriptor"), "プロセスのファイルディスクリプタ使用率", _xlfn.REGEXTEST(C74, "Unexpected Exits"), "プロセスの異常終了（予期せぬ停止）", _xlfn.REGEXTEST(C74, "Swap Memory Thresholds"), "プロセスのスワップメモリ使用量", _xlfn.REGEXTEST(C74, "Swap Memory Usage Rate"), "スワップメモリ使用量の変化率（増加速度）", _xlfn.REGEXTEST(C74, "Log Directory Free Space.*Absolute"), "ログディレクトリの空き容量（絶対値）", _xlfn.REGEXTEST(C74, "Log Directory Free Space.*Percentage"), "ログディレクトリの空き容量割合（%）", _xlfn.REGEXTEST(C74, "Heap Dump Directory Free Space.*Absolute"), "ヒープダンプディレクトリの空き容量（絶対値）", _xlfn.REGEXTEST(C74, "Heap Dump Directory Free Space.*Percentage"), "ヒープダンプディレクトリの空き容量割合（%）", _xlfn.REGEXTEST(C74, "Data Directory Free Space.*Absolute"), "データディレクトリの空き容量（絶対値）", _xlfn.REGEXTEST(C74, "Data Directory Free Space.*Percentage"), "データディレクトリの空き容量割合（%）", _xlfn.REGEXTEST(C74, "Transaction Log Directory Free Space.*Absolute"), "トランザクションログディレクトリの空き容量（絶対値）", _xlfn.REGEXTEST(C74, "Logging Threshold|Logger Threshold"), "ログ出力レベルの閾値設定", _xlfn.REGEXTEST(C74, "Enable.*Alerts"), "ヘルスアラートの有効化状態", _xlfn.REGEXTEST(C74, "Triggers"), "カスタムアラート条件（トリガー設定）", _xlfn.REGEXTEST(C74, "Healthy Kafka Broker"), "Kafka Brokerの健全ノード割合（稼働率）", _xlfn.REGEXTEST(C74, "Healthy Kafka Connect"), "Kafka Connectの健全ノード割合（稼働率）", _xlfn.REGEXTEST(C74, "Healthy KRaft Controller"), "KRaft Controllerの健全ノード割合（稼働率）", _xlfn.REGEXTEST(C74, "Healthy Knox IDBroker"), "Knox IDBrokerの健全ノード割合（稼働率）", _xlfn.REGEXTEST(C74, "Healthy Knox Gateway"), "Knox Gatewayの健全ノード割合（稼働率）", _xlfn.REGEXTEST(C74, "Healthy ZooKeeper Server"), "ZooKeeper Serverの健全ノード割合（稼働率）", _xlfn.REGEXTEST(C74, "Healthy NodeManager"), "NodeManagerの健全ノード割合（稼働率）", _xlfn.REGEXTEST(C74, "Maximum Latency"), "リクエストの最大レイテンシ（処理遅延）", _xlfn.REGEXTEST(C74, "Garbage Collection Duration"), "Javaのガベージコレクション（GC）の所要時間", _xlfn.REGEXTEST(C74, "Spool Directory Usage"), "Rangerプラグインのスプールディレクトリ使用量", _xlfn.REGEXTEST(C74, "Process Directory Free Space Monitoring Absolute"), "プロセスディレクトリの空き容量（絶対値)", _xlfn.REGEXTEST(C74, "Process Directory Free Space.*Percentage"), "プロセスディレクトリの空き容量割合（%）", _xlfn.REGEXTEST(C74, "Parcel Directory Free Space.*Absolute"), "パーセルディレクトリの空き容量（絶対値）", _xlfn.REGEXTEST(C74, "Parcel Directory Free Space.*Percentage"), "パーセルディレクトリの空き容量割合（%）", _xlfn.REGEXTEST(C74, "Host Network Frame Error Percentage"), "ホストのネットワークフレームエラー割合（%）", _xlfn.REGEXTEST(C74, "Network Interfaces Slow Link Modes"), "ホストのネットワークインターフェースの低速リンクモード検出", _xlfn.REGEXTEST(C74, "Host Memory Swapping"), "ホストのメモリのスワップ発生状態", TRUE, "要手動確認")</f>
        <v>ネットワークインバウンド（受信）の分散バランス状態</v>
      </c>
      <c r="H74" s="479">
        <v>1.5</v>
      </c>
    </row>
    <row r="75" spans="1:8" ht="16.899999999999999">
      <c r="A75" s="468"/>
      <c r="B75" s="473"/>
      <c r="C75" s="471" t="s">
        <v>842</v>
      </c>
      <c r="D75" s="471" t="s">
        <v>843</v>
      </c>
      <c r="E75" s="471" t="s">
        <v>836</v>
      </c>
      <c r="F75" s="471"/>
      <c r="G75" s="471" t="str" cm="1">
        <f t="array" ref="G75">_xlfn.IFS(C75 = "", "", _xlfn.REGEXTEST(C75, "Host Clock Offset"), "ホストのクロックオフセット（時刻同期のズレ）", _xlfn.REGEXTEST(C75, "Memory Overcommit Validation"), "メモリオーバーコミット設定の検証", _xlfn.REGEXTEST(C75, "Gateway Logging"), "ゲートウェイのログ出力設定", _xlfn.REGEXTEST(C75, "CPU Balance"), "CPU使用率の分散バランス状態", _xlfn.REGEXTEST(C75, "Disk Balance"), "ディスク使用量の分散バランス状態", _xlfn.REGEXTEST(C75, "Network Inbound Balance"), "ネットワークインバウンド（受信）の分散バランス状態", _xlfn.REGEXTEST(C75, "Network Outbound Balance"), "ネットワークアウトバウンド（送信）の分散バランス状態", _xlfn.REGEXTEST(C75, "Replica Count Balance"), "レプリカ数の分散バランス状態", _xlfn.REGEXTEST(C75, "Disk Capacity"), "ディスク総容量の限界・使用容量", _xlfn.REGEXTEST(C75, "CPU Capacity"), "CPU総処理能力の限界・使用量", _xlfn.REGEXTEST(C75, "Network Inbound Capacity"), "ネットワークインバウンド（受信）帯域の限界・使用量", _xlfn.REGEXTEST(C75, "Network Outbound Capacity"), "ネットワークアウトバウンド（送信）帯域の限界・使用量", _xlfn.REGEXTEST(C75, "Leader Replica Count Balance"), "リーダーレプリカ数の分散バランス状態", _xlfn.REGEXTEST(C75, "Host DNS Resolution Duration"), "ホストのDNS名前解決の所要時間", _xlfn.REGEXTEST(C75, "TLS Certificate Expiry"), "TLS証明書の有効期限切れ", _xlfn.REGEXTEST(C75, "Host Entropy"), "ホストのエントロピー（乱数生成能力）の不足", _xlfn.REGEXTEST(C75, "File Descriptor"), "プロセスのファイルディスクリプタ使用率", _xlfn.REGEXTEST(C75, "Unexpected Exits"), "プロセスの異常終了（予期せぬ停止）", _xlfn.REGEXTEST(C75, "Swap Memory Thresholds"), "プロセスのスワップメモリ使用量", _xlfn.REGEXTEST(C75, "Swap Memory Usage Rate"), "スワップメモリ使用量の変化率（増加速度）", _xlfn.REGEXTEST(C75, "Log Directory Free Space.*Absolute"), "ログディレクトリの空き容量（絶対値）", _xlfn.REGEXTEST(C75, "Log Directory Free Space.*Percentage"), "ログディレクトリの空き容量割合（%）", _xlfn.REGEXTEST(C75, "Heap Dump Directory Free Space.*Absolute"), "ヒープダンプディレクトリの空き容量（絶対値）", _xlfn.REGEXTEST(C75, "Heap Dump Directory Free Space.*Percentage"), "ヒープダンプディレクトリの空き容量割合（%）", _xlfn.REGEXTEST(C75, "Data Directory Free Space.*Absolute"), "データディレクトリの空き容量（絶対値）", _xlfn.REGEXTEST(C75, "Data Directory Free Space.*Percentage"), "データディレクトリの空き容量割合（%）", _xlfn.REGEXTEST(C75, "Transaction Log Directory Free Space.*Absolute"), "トランザクションログディレクトリの空き容量（絶対値）", _xlfn.REGEXTEST(C75, "Logging Threshold|Logger Threshold"), "ログ出力レベルの閾値設定", _xlfn.REGEXTEST(C75, "Enable.*Alerts"), "ヘルスアラートの有効化状態", _xlfn.REGEXTEST(C75, "Triggers"), "カスタムアラート条件（トリガー設定）", _xlfn.REGEXTEST(C75, "Healthy Kafka Broker"), "Kafka Brokerの健全ノード割合（稼働率）", _xlfn.REGEXTEST(C75, "Healthy Kafka Connect"), "Kafka Connectの健全ノード割合（稼働率）", _xlfn.REGEXTEST(C75, "Healthy KRaft Controller"), "KRaft Controllerの健全ノード割合（稼働率）", _xlfn.REGEXTEST(C75, "Healthy Knox IDBroker"), "Knox IDBrokerの健全ノード割合（稼働率）", _xlfn.REGEXTEST(C75, "Healthy Knox Gateway"), "Knox Gatewayの健全ノード割合（稼働率）", _xlfn.REGEXTEST(C75, "Healthy ZooKeeper Server"), "ZooKeeper Serverの健全ノード割合（稼働率）", _xlfn.REGEXTEST(C75, "Healthy NodeManager"), "NodeManagerの健全ノード割合（稼働率）", _xlfn.REGEXTEST(C75, "Maximum Latency"), "リクエストの最大レイテンシ（処理遅延）", _xlfn.REGEXTEST(C75, "Garbage Collection Duration"), "Javaのガベージコレクション（GC）の所要時間", _xlfn.REGEXTEST(C75, "Spool Directory Usage"), "Rangerプラグインのスプールディレクトリ使用量", _xlfn.REGEXTEST(C75, "Process Directory Free Space Monitoring Absolute"), "プロセスディレクトリの空き容量（絶対値)", _xlfn.REGEXTEST(C75, "Process Directory Free Space.*Percentage"), "プロセスディレクトリの空き容量割合（%）", _xlfn.REGEXTEST(C75, "Parcel Directory Free Space.*Absolute"), "パーセルディレクトリの空き容量（絶対値）", _xlfn.REGEXTEST(C75, "Parcel Directory Free Space.*Percentage"), "パーセルディレクトリの空き容量割合（%）", _xlfn.REGEXTEST(C75, "Host Network Frame Error Percentage"), "ホストのネットワークフレームエラー割合（%）", _xlfn.REGEXTEST(C75, "Network Interfaces Slow Link Modes"), "ホストのネットワークインターフェースの低速リンクモード検出", _xlfn.REGEXTEST(C75, "Host Memory Swapping"), "ホストのメモリのスワップ発生状態", TRUE, "要手動確認")</f>
        <v>ネットワークアウトバウンド（送信）の分散バランス状態</v>
      </c>
      <c r="H75" s="479">
        <v>1.5</v>
      </c>
    </row>
    <row r="76" spans="1:8" ht="16.899999999999999">
      <c r="A76" s="468"/>
      <c r="B76" s="473"/>
      <c r="C76" s="471" t="s">
        <v>844</v>
      </c>
      <c r="D76" s="471" t="s">
        <v>845</v>
      </c>
      <c r="E76" s="471" t="s">
        <v>836</v>
      </c>
      <c r="F76" s="471"/>
      <c r="G76" s="471" t="str" cm="1">
        <f t="array" ref="G76">_xlfn.IFS(C76 = "", "", _xlfn.REGEXTEST(C76, "Host Clock Offset"), "ホストのクロックオフセット（時刻同期のズレ）", _xlfn.REGEXTEST(C76, "Memory Overcommit Validation"), "メモリオーバーコミット設定の検証", _xlfn.REGEXTEST(C76, "Gateway Logging"), "ゲートウェイのログ出力設定", _xlfn.REGEXTEST(C76, "CPU Balance"), "CPU使用率の分散バランス状態", _xlfn.REGEXTEST(C76, "Disk Balance"), "ディスク使用量の分散バランス状態", _xlfn.REGEXTEST(C76, "Network Inbound Balance"), "ネットワークインバウンド（受信）の分散バランス状態", _xlfn.REGEXTEST(C76, "Network Outbound Balance"), "ネットワークアウトバウンド（送信）の分散バランス状態", _xlfn.REGEXTEST(C76, "Replica Count Balance"), "レプリカ数の分散バランス状態", _xlfn.REGEXTEST(C76, "Disk Capacity"), "ディスク総容量の限界・使用容量", _xlfn.REGEXTEST(C76, "CPU Capacity"), "CPU総処理能力の限界・使用量", _xlfn.REGEXTEST(C76, "Network Inbound Capacity"), "ネットワークインバウンド（受信）帯域の限界・使用量", _xlfn.REGEXTEST(C76, "Network Outbound Capacity"), "ネットワークアウトバウンド（送信）帯域の限界・使用量", _xlfn.REGEXTEST(C76, "Leader Replica Count Balance"), "リーダーレプリカ数の分散バランス状態", _xlfn.REGEXTEST(C76, "Host DNS Resolution Duration"), "ホストのDNS名前解決の所要時間", _xlfn.REGEXTEST(C76, "TLS Certificate Expiry"), "TLS証明書の有効期限切れ", _xlfn.REGEXTEST(C76, "Host Entropy"), "ホストのエントロピー（乱数生成能力）の不足", _xlfn.REGEXTEST(C76, "File Descriptor"), "プロセスのファイルディスクリプタ使用率", _xlfn.REGEXTEST(C76, "Unexpected Exits"), "プロセスの異常終了（予期せぬ停止）", _xlfn.REGEXTEST(C76, "Swap Memory Thresholds"), "プロセスのスワップメモリ使用量", _xlfn.REGEXTEST(C76, "Swap Memory Usage Rate"), "スワップメモリ使用量の変化率（増加速度）", _xlfn.REGEXTEST(C76, "Log Directory Free Space.*Absolute"), "ログディレクトリの空き容量（絶対値）", _xlfn.REGEXTEST(C76, "Log Directory Free Space.*Percentage"), "ログディレクトリの空き容量割合（%）", _xlfn.REGEXTEST(C76, "Heap Dump Directory Free Space.*Absolute"), "ヒープダンプディレクトリの空き容量（絶対値）", _xlfn.REGEXTEST(C76, "Heap Dump Directory Free Space.*Percentage"), "ヒープダンプディレクトリの空き容量割合（%）", _xlfn.REGEXTEST(C76, "Data Directory Free Space.*Absolute"), "データディレクトリの空き容量（絶対値）", _xlfn.REGEXTEST(C76, "Data Directory Free Space.*Percentage"), "データディレクトリの空き容量割合（%）", _xlfn.REGEXTEST(C76, "Transaction Log Directory Free Space.*Absolute"), "トランザクションログディレクトリの空き容量（絶対値）", _xlfn.REGEXTEST(C76, "Logging Threshold|Logger Threshold"), "ログ出力レベルの閾値設定", _xlfn.REGEXTEST(C76, "Enable.*Alerts"), "ヘルスアラートの有効化状態", _xlfn.REGEXTEST(C76, "Triggers"), "カスタムアラート条件（トリガー設定）", _xlfn.REGEXTEST(C76, "Healthy Kafka Broker"), "Kafka Brokerの健全ノード割合（稼働率）", _xlfn.REGEXTEST(C76, "Healthy Kafka Connect"), "Kafka Connectの健全ノード割合（稼働率）", _xlfn.REGEXTEST(C76, "Healthy KRaft Controller"), "KRaft Controllerの健全ノード割合（稼働率）", _xlfn.REGEXTEST(C76, "Healthy Knox IDBroker"), "Knox IDBrokerの健全ノード割合（稼働率）", _xlfn.REGEXTEST(C76, "Healthy Knox Gateway"), "Knox Gatewayの健全ノード割合（稼働率）", _xlfn.REGEXTEST(C76, "Healthy ZooKeeper Server"), "ZooKeeper Serverの健全ノード割合（稼働率）", _xlfn.REGEXTEST(C76, "Healthy NodeManager"), "NodeManagerの健全ノード割合（稼働率）", _xlfn.REGEXTEST(C76, "Maximum Latency"), "リクエストの最大レイテンシ（処理遅延）", _xlfn.REGEXTEST(C76, "Garbage Collection Duration"), "Javaのガベージコレクション（GC）の所要時間", _xlfn.REGEXTEST(C76, "Spool Directory Usage"), "Rangerプラグインのスプールディレクトリ使用量", _xlfn.REGEXTEST(C76, "Process Directory Free Space Monitoring Absolute"), "プロセスディレクトリの空き容量（絶対値)", _xlfn.REGEXTEST(C76, "Process Directory Free Space.*Percentage"), "プロセスディレクトリの空き容量割合（%）", _xlfn.REGEXTEST(C76, "Parcel Directory Free Space.*Absolute"), "パーセルディレクトリの空き容量（絶対値）", _xlfn.REGEXTEST(C76, "Parcel Directory Free Space.*Percentage"), "パーセルディレクトリの空き容量割合（%）", _xlfn.REGEXTEST(C76, "Host Network Frame Error Percentage"), "ホストのネットワークフレームエラー割合（%）", _xlfn.REGEXTEST(C76, "Network Interfaces Slow Link Modes"), "ホストのネットワークインターフェースの低速リンクモード検出", _xlfn.REGEXTEST(C76, "Host Memory Swapping"), "ホストのメモリのスワップ発生状態", TRUE, "要手動確認")</f>
        <v>レプリカ数の分散バランス状態</v>
      </c>
      <c r="H76" s="479">
        <v>1.5</v>
      </c>
    </row>
    <row r="77" spans="1:8" ht="16.899999999999999">
      <c r="A77" s="468"/>
      <c r="B77" s="473"/>
      <c r="C77" s="471" t="s">
        <v>846</v>
      </c>
      <c r="D77" s="471" t="s">
        <v>847</v>
      </c>
      <c r="E77" s="471" t="s">
        <v>836</v>
      </c>
      <c r="F77" s="471"/>
      <c r="G77" s="471" t="str" cm="1">
        <f t="array" ref="G77">_xlfn.IFS(C77 = "", "", _xlfn.REGEXTEST(C77, "Host Clock Offset"), "ホストのクロックオフセット（時刻同期のズレ）", _xlfn.REGEXTEST(C77, "Memory Overcommit Validation"), "メモリオーバーコミット設定の検証", _xlfn.REGEXTEST(C77, "Gateway Logging"), "ゲートウェイのログ出力設定", _xlfn.REGEXTEST(C77, "CPU Balance"), "CPU使用率の分散バランス状態", _xlfn.REGEXTEST(C77, "Disk Balance"), "ディスク使用量の分散バランス状態", _xlfn.REGEXTEST(C77, "Network Inbound Balance"), "ネットワークインバウンド（受信）の分散バランス状態", _xlfn.REGEXTEST(C77, "Network Outbound Balance"), "ネットワークアウトバウンド（送信）の分散バランス状態", _xlfn.REGEXTEST(C77, "Replica Count Balance"), "レプリカ数の分散バランス状態", _xlfn.REGEXTEST(C77, "Disk Capacity"), "ディスク総容量の限界・使用容量", _xlfn.REGEXTEST(C77, "CPU Capacity"), "CPU総処理能力の限界・使用量", _xlfn.REGEXTEST(C77, "Network Inbound Capacity"), "ネットワークインバウンド（受信）帯域の限界・使用量", _xlfn.REGEXTEST(C77, "Network Outbound Capacity"), "ネットワークアウトバウンド（送信）帯域の限界・使用量", _xlfn.REGEXTEST(C77, "Leader Replica Count Balance"), "リーダーレプリカ数の分散バランス状態", _xlfn.REGEXTEST(C77, "Host DNS Resolution Duration"), "ホストのDNS名前解決の所要時間", _xlfn.REGEXTEST(C77, "TLS Certificate Expiry"), "TLS証明書の有効期限切れ", _xlfn.REGEXTEST(C77, "Host Entropy"), "ホストのエントロピー（乱数生成能力）の不足", _xlfn.REGEXTEST(C77, "File Descriptor"), "プロセスのファイルディスクリプタ使用率", _xlfn.REGEXTEST(C77, "Unexpected Exits"), "プロセスの異常終了（予期せぬ停止）", _xlfn.REGEXTEST(C77, "Swap Memory Thresholds"), "プロセスのスワップメモリ使用量", _xlfn.REGEXTEST(C77, "Swap Memory Usage Rate"), "スワップメモリ使用量の変化率（増加速度）", _xlfn.REGEXTEST(C77, "Log Directory Free Space.*Absolute"), "ログディレクトリの空き容量（絶対値）", _xlfn.REGEXTEST(C77, "Log Directory Free Space.*Percentage"), "ログディレクトリの空き容量割合（%）", _xlfn.REGEXTEST(C77, "Heap Dump Directory Free Space.*Absolute"), "ヒープダンプディレクトリの空き容量（絶対値）", _xlfn.REGEXTEST(C77, "Heap Dump Directory Free Space.*Percentage"), "ヒープダンプディレクトリの空き容量割合（%）", _xlfn.REGEXTEST(C77, "Data Directory Free Space.*Absolute"), "データディレクトリの空き容量（絶対値）", _xlfn.REGEXTEST(C77, "Data Directory Free Space.*Percentage"), "データディレクトリの空き容量割合（%）", _xlfn.REGEXTEST(C77, "Transaction Log Directory Free Space.*Absolute"), "トランザクションログディレクトリの空き容量（絶対値）", _xlfn.REGEXTEST(C77, "Logging Threshold|Logger Threshold"), "ログ出力レベルの閾値設定", _xlfn.REGEXTEST(C77, "Enable.*Alerts"), "ヘルスアラートの有効化状態", _xlfn.REGEXTEST(C77, "Triggers"), "カスタムアラート条件（トリガー設定）", _xlfn.REGEXTEST(C77, "Healthy Kafka Broker"), "Kafka Brokerの健全ノード割合（稼働率）", _xlfn.REGEXTEST(C77, "Healthy Kafka Connect"), "Kafka Connectの健全ノード割合（稼働率）", _xlfn.REGEXTEST(C77, "Healthy KRaft Controller"), "KRaft Controllerの健全ノード割合（稼働率）", _xlfn.REGEXTEST(C77, "Healthy Knox IDBroker"), "Knox IDBrokerの健全ノード割合（稼働率）", _xlfn.REGEXTEST(C77, "Healthy Knox Gateway"), "Knox Gatewayの健全ノード割合（稼働率）", _xlfn.REGEXTEST(C77, "Healthy ZooKeeper Server"), "ZooKeeper Serverの健全ノード割合（稼働率）", _xlfn.REGEXTEST(C77, "Healthy NodeManager"), "NodeManagerの健全ノード割合（稼働率）", _xlfn.REGEXTEST(C77, "Maximum Latency"), "リクエストの最大レイテンシ（処理遅延）", _xlfn.REGEXTEST(C77, "Garbage Collection Duration"), "Javaのガベージコレクション（GC）の所要時間", _xlfn.REGEXTEST(C77, "Spool Directory Usage"), "Rangerプラグインのスプールディレクトリ使用量", _xlfn.REGEXTEST(C77, "Process Directory Free Space Monitoring Absolute"), "プロセスディレクトリの空き容量（絶対値)", _xlfn.REGEXTEST(C77, "Process Directory Free Space.*Percentage"), "プロセスディレクトリの空き容量割合（%）", _xlfn.REGEXTEST(C77, "Parcel Directory Free Space.*Absolute"), "パーセルディレクトリの空き容量（絶対値）", _xlfn.REGEXTEST(C77, "Parcel Directory Free Space.*Percentage"), "パーセルディレクトリの空き容量割合（%）", _xlfn.REGEXTEST(C77, "Host Network Frame Error Percentage"), "ホストのネットワークフレームエラー割合（%）", _xlfn.REGEXTEST(C77, "Network Interfaces Slow Link Modes"), "ホストのネットワークインターフェースの低速リンクモード検出", _xlfn.REGEXTEST(C77, "Host Memory Swapping"), "ホストのメモリのスワップ発生状態", TRUE, "要手動確認")</f>
        <v>ディスク総容量の限界・使用容量</v>
      </c>
      <c r="H77" s="479">
        <v>0.85</v>
      </c>
    </row>
    <row r="78" spans="1:8" ht="16.899999999999999">
      <c r="A78" s="468"/>
      <c r="B78" s="473"/>
      <c r="C78" s="471" t="s">
        <v>848</v>
      </c>
      <c r="D78" s="471" t="s">
        <v>849</v>
      </c>
      <c r="E78" s="471" t="s">
        <v>836</v>
      </c>
      <c r="F78" s="471"/>
      <c r="G78" s="471" t="str" cm="1">
        <f t="array" ref="G78">_xlfn.IFS(C78 = "", "", _xlfn.REGEXTEST(C78, "Host Clock Offset"), "ホストのクロックオフセット（時刻同期のズレ）", _xlfn.REGEXTEST(C78, "Memory Overcommit Validation"), "メモリオーバーコミット設定の検証", _xlfn.REGEXTEST(C78, "Gateway Logging"), "ゲートウェイのログ出力設定", _xlfn.REGEXTEST(C78, "CPU Balance"), "CPU使用率の分散バランス状態", _xlfn.REGEXTEST(C78, "Disk Balance"), "ディスク使用量の分散バランス状態", _xlfn.REGEXTEST(C78, "Network Inbound Balance"), "ネットワークインバウンド（受信）の分散バランス状態", _xlfn.REGEXTEST(C78, "Network Outbound Balance"), "ネットワークアウトバウンド（送信）の分散バランス状態", _xlfn.REGEXTEST(C78, "Replica Count Balance"), "レプリカ数の分散バランス状態", _xlfn.REGEXTEST(C78, "Disk Capacity"), "ディスク総容量の限界・使用容量", _xlfn.REGEXTEST(C78, "CPU Capacity"), "CPU総処理能力の限界・使用量", _xlfn.REGEXTEST(C78, "Network Inbound Capacity"), "ネットワークインバウンド（受信）帯域の限界・使用量", _xlfn.REGEXTEST(C78, "Network Outbound Capacity"), "ネットワークアウトバウンド（送信）帯域の限界・使用量", _xlfn.REGEXTEST(C78, "Leader Replica Count Balance"), "リーダーレプリカ数の分散バランス状態", _xlfn.REGEXTEST(C78, "Host DNS Resolution Duration"), "ホストのDNS名前解決の所要時間", _xlfn.REGEXTEST(C78, "TLS Certificate Expiry"), "TLS証明書の有効期限切れ", _xlfn.REGEXTEST(C78, "Host Entropy"), "ホストのエントロピー（乱数生成能力）の不足", _xlfn.REGEXTEST(C78, "File Descriptor"), "プロセスのファイルディスクリプタ使用率", _xlfn.REGEXTEST(C78, "Unexpected Exits"), "プロセスの異常終了（予期せぬ停止）", _xlfn.REGEXTEST(C78, "Swap Memory Thresholds"), "プロセスのスワップメモリ使用量", _xlfn.REGEXTEST(C78, "Swap Memory Usage Rate"), "スワップメモリ使用量の変化率（増加速度）", _xlfn.REGEXTEST(C78, "Log Directory Free Space.*Absolute"), "ログディレクトリの空き容量（絶対値）", _xlfn.REGEXTEST(C78, "Log Directory Free Space.*Percentage"), "ログディレクトリの空き容量割合（%）", _xlfn.REGEXTEST(C78, "Heap Dump Directory Free Space.*Absolute"), "ヒープダンプディレクトリの空き容量（絶対値）", _xlfn.REGEXTEST(C78, "Heap Dump Directory Free Space.*Percentage"), "ヒープダンプディレクトリの空き容量割合（%）", _xlfn.REGEXTEST(C78, "Data Directory Free Space.*Absolute"), "データディレクトリの空き容量（絶対値）", _xlfn.REGEXTEST(C78, "Data Directory Free Space.*Percentage"), "データディレクトリの空き容量割合（%）", _xlfn.REGEXTEST(C78, "Transaction Log Directory Free Space.*Absolute"), "トランザクションログディレクトリの空き容量（絶対値）", _xlfn.REGEXTEST(C78, "Logging Threshold|Logger Threshold"), "ログ出力レベルの閾値設定", _xlfn.REGEXTEST(C78, "Enable.*Alerts"), "ヘルスアラートの有効化状態", _xlfn.REGEXTEST(C78, "Triggers"), "カスタムアラート条件（トリガー設定）", _xlfn.REGEXTEST(C78, "Healthy Kafka Broker"), "Kafka Brokerの健全ノード割合（稼働率）", _xlfn.REGEXTEST(C78, "Healthy Kafka Connect"), "Kafka Connectの健全ノード割合（稼働率）", _xlfn.REGEXTEST(C78, "Healthy KRaft Controller"), "KRaft Controllerの健全ノード割合（稼働率）", _xlfn.REGEXTEST(C78, "Healthy Knox IDBroker"), "Knox IDBrokerの健全ノード割合（稼働率）", _xlfn.REGEXTEST(C78, "Healthy Knox Gateway"), "Knox Gatewayの健全ノード割合（稼働率）", _xlfn.REGEXTEST(C78, "Healthy ZooKeeper Server"), "ZooKeeper Serverの健全ノード割合（稼働率）", _xlfn.REGEXTEST(C78, "Healthy NodeManager"), "NodeManagerの健全ノード割合（稼働率）", _xlfn.REGEXTEST(C78, "Maximum Latency"), "リクエストの最大レイテンシ（処理遅延）", _xlfn.REGEXTEST(C78, "Garbage Collection Duration"), "Javaのガベージコレクション（GC）の所要時間", _xlfn.REGEXTEST(C78, "Spool Directory Usage"), "Rangerプラグインのスプールディレクトリ使用量", _xlfn.REGEXTEST(C78, "Process Directory Free Space Monitoring Absolute"), "プロセスディレクトリの空き容量（絶対値)", _xlfn.REGEXTEST(C78, "Process Directory Free Space.*Percentage"), "プロセスディレクトリの空き容量割合（%）", _xlfn.REGEXTEST(C78, "Parcel Directory Free Space.*Absolute"), "パーセルディレクトリの空き容量（絶対値）", _xlfn.REGEXTEST(C78, "Parcel Directory Free Space.*Percentage"), "パーセルディレクトリの空き容量割合（%）", _xlfn.REGEXTEST(C78, "Host Network Frame Error Percentage"), "ホストのネットワークフレームエラー割合（%）", _xlfn.REGEXTEST(C78, "Network Interfaces Slow Link Modes"), "ホストのネットワークインターフェースの低速リンクモード検出", _xlfn.REGEXTEST(C78, "Host Memory Swapping"), "ホストのメモリのスワップ発生状態", TRUE, "要手動確認")</f>
        <v>CPU総処理能力の限界・使用量</v>
      </c>
      <c r="H78" s="479">
        <v>0.75</v>
      </c>
    </row>
    <row r="79" spans="1:8" ht="16.899999999999999">
      <c r="A79" s="468"/>
      <c r="B79" s="473"/>
      <c r="C79" s="471" t="s">
        <v>850</v>
      </c>
      <c r="D79" s="471" t="s">
        <v>851</v>
      </c>
      <c r="E79" s="471" t="s">
        <v>836</v>
      </c>
      <c r="F79" s="471"/>
      <c r="G79" s="471" t="str" cm="1">
        <f t="array" ref="G79">_xlfn.IFS(C79 = "", "", _xlfn.REGEXTEST(C79, "Host Clock Offset"), "ホストのクロックオフセット（時刻同期のズレ）", _xlfn.REGEXTEST(C79, "Memory Overcommit Validation"), "メモリオーバーコミット設定の検証", _xlfn.REGEXTEST(C79, "Gateway Logging"), "ゲートウェイのログ出力設定", _xlfn.REGEXTEST(C79, "CPU Balance"), "CPU使用率の分散バランス状態", _xlfn.REGEXTEST(C79, "Disk Balance"), "ディスク使用量の分散バランス状態", _xlfn.REGEXTEST(C79, "Network Inbound Balance"), "ネットワークインバウンド（受信）の分散バランス状態", _xlfn.REGEXTEST(C79, "Network Outbound Balance"), "ネットワークアウトバウンド（送信）の分散バランス状態", _xlfn.REGEXTEST(C79, "Replica Count Balance"), "レプリカ数の分散バランス状態", _xlfn.REGEXTEST(C79, "Disk Capacity"), "ディスク総容量の限界・使用容量", _xlfn.REGEXTEST(C79, "CPU Capacity"), "CPU総処理能力の限界・使用量", _xlfn.REGEXTEST(C79, "Network Inbound Capacity"), "ネットワークインバウンド（受信）帯域の限界・使用量", _xlfn.REGEXTEST(C79, "Network Outbound Capacity"), "ネットワークアウトバウンド（送信）帯域の限界・使用量", _xlfn.REGEXTEST(C79, "Leader Replica Count Balance"), "リーダーレプリカ数の分散バランス状態", _xlfn.REGEXTEST(C79, "Host DNS Resolution Duration"), "ホストのDNS名前解決の所要時間", _xlfn.REGEXTEST(C79, "TLS Certificate Expiry"), "TLS証明書の有効期限切れ", _xlfn.REGEXTEST(C79, "Host Entropy"), "ホストのエントロピー（乱数生成能力）の不足", _xlfn.REGEXTEST(C79, "File Descriptor"), "プロセスのファイルディスクリプタ使用率", _xlfn.REGEXTEST(C79, "Unexpected Exits"), "プロセスの異常終了（予期せぬ停止）", _xlfn.REGEXTEST(C79, "Swap Memory Thresholds"), "プロセスのスワップメモリ使用量", _xlfn.REGEXTEST(C79, "Swap Memory Usage Rate"), "スワップメモリ使用量の変化率（増加速度）", _xlfn.REGEXTEST(C79, "Log Directory Free Space.*Absolute"), "ログディレクトリの空き容量（絶対値）", _xlfn.REGEXTEST(C79, "Log Directory Free Space.*Percentage"), "ログディレクトリの空き容量割合（%）", _xlfn.REGEXTEST(C79, "Heap Dump Directory Free Space.*Absolute"), "ヒープダンプディレクトリの空き容量（絶対値）", _xlfn.REGEXTEST(C79, "Heap Dump Directory Free Space.*Percentage"), "ヒープダンプディレクトリの空き容量割合（%）", _xlfn.REGEXTEST(C79, "Data Directory Free Space.*Absolute"), "データディレクトリの空き容量（絶対値）", _xlfn.REGEXTEST(C79, "Data Directory Free Space.*Percentage"), "データディレクトリの空き容量割合（%）", _xlfn.REGEXTEST(C79, "Transaction Log Directory Free Space.*Absolute"), "トランザクションログディレクトリの空き容量（絶対値）", _xlfn.REGEXTEST(C79, "Logging Threshold|Logger Threshold"), "ログ出力レベルの閾値設定", _xlfn.REGEXTEST(C79, "Enable.*Alerts"), "ヘルスアラートの有効化状態", _xlfn.REGEXTEST(C79, "Triggers"), "カスタムアラート条件（トリガー設定）", _xlfn.REGEXTEST(C79, "Healthy Kafka Broker"), "Kafka Brokerの健全ノード割合（稼働率）", _xlfn.REGEXTEST(C79, "Healthy Kafka Connect"), "Kafka Connectの健全ノード割合（稼働率）", _xlfn.REGEXTEST(C79, "Healthy KRaft Controller"), "KRaft Controllerの健全ノード割合（稼働率）", _xlfn.REGEXTEST(C79, "Healthy Knox IDBroker"), "Knox IDBrokerの健全ノード割合（稼働率）", _xlfn.REGEXTEST(C79, "Healthy Knox Gateway"), "Knox Gatewayの健全ノード割合（稼働率）", _xlfn.REGEXTEST(C79, "Healthy ZooKeeper Server"), "ZooKeeper Serverの健全ノード割合（稼働率）", _xlfn.REGEXTEST(C79, "Healthy NodeManager"), "NodeManagerの健全ノード割合（稼働率）", _xlfn.REGEXTEST(C79, "Maximum Latency"), "リクエストの最大レイテンシ（処理遅延）", _xlfn.REGEXTEST(C79, "Garbage Collection Duration"), "Javaのガベージコレクション（GC）の所要時間", _xlfn.REGEXTEST(C79, "Spool Directory Usage"), "Rangerプラグインのスプールディレクトリ使用量", _xlfn.REGEXTEST(C79, "Process Directory Free Space Monitoring Absolute"), "プロセスディレクトリの空き容量（絶対値)", _xlfn.REGEXTEST(C79, "Process Directory Free Space.*Percentage"), "プロセスディレクトリの空き容量割合（%）", _xlfn.REGEXTEST(C79, "Parcel Directory Free Space.*Absolute"), "パーセルディレクトリの空き容量（絶対値）", _xlfn.REGEXTEST(C79, "Parcel Directory Free Space.*Percentage"), "パーセルディレクトリの空き容量割合（%）", _xlfn.REGEXTEST(C79, "Host Network Frame Error Percentage"), "ホストのネットワークフレームエラー割合（%）", _xlfn.REGEXTEST(C79, "Network Interfaces Slow Link Modes"), "ホストのネットワークインターフェースの低速リンクモード検出", _xlfn.REGEXTEST(C79, "Host Memory Swapping"), "ホストのメモリのスワップ発生状態", TRUE, "要手動確認")</f>
        <v>ネットワークインバウンド（受信）帯域の限界・使用量</v>
      </c>
      <c r="H79" s="479">
        <v>0.85</v>
      </c>
    </row>
    <row r="80" spans="1:8" ht="16.899999999999999">
      <c r="A80" s="468"/>
      <c r="B80" s="473"/>
      <c r="C80" s="471" t="s">
        <v>852</v>
      </c>
      <c r="D80" s="471" t="s">
        <v>853</v>
      </c>
      <c r="E80" s="471" t="s">
        <v>836</v>
      </c>
      <c r="F80" s="471"/>
      <c r="G80" s="471" t="str" cm="1">
        <f t="array" ref="G80">_xlfn.IFS(C80 = "", "", _xlfn.REGEXTEST(C80, "Host Clock Offset"), "ホストのクロックオフセット（時刻同期のズレ）", _xlfn.REGEXTEST(C80, "Memory Overcommit Validation"), "メモリオーバーコミット設定の検証", _xlfn.REGEXTEST(C80, "Gateway Logging"), "ゲートウェイのログ出力設定", _xlfn.REGEXTEST(C80, "CPU Balance"), "CPU使用率の分散バランス状態", _xlfn.REGEXTEST(C80, "Disk Balance"), "ディスク使用量の分散バランス状態", _xlfn.REGEXTEST(C80, "Network Inbound Balance"), "ネットワークインバウンド（受信）の分散バランス状態", _xlfn.REGEXTEST(C80, "Network Outbound Balance"), "ネットワークアウトバウンド（送信）の分散バランス状態", _xlfn.REGEXTEST(C80, "Replica Count Balance"), "レプリカ数の分散バランス状態", _xlfn.REGEXTEST(C80, "Disk Capacity"), "ディスク総容量の限界・使用容量", _xlfn.REGEXTEST(C80, "CPU Capacity"), "CPU総処理能力の限界・使用量", _xlfn.REGEXTEST(C80, "Network Inbound Capacity"), "ネットワークインバウンド（受信）帯域の限界・使用量", _xlfn.REGEXTEST(C80, "Network Outbound Capacity"), "ネットワークアウトバウンド（送信）帯域の限界・使用量", _xlfn.REGEXTEST(C80, "Leader Replica Count Balance"), "リーダーレプリカ数の分散バランス状態", _xlfn.REGEXTEST(C80, "Host DNS Resolution Duration"), "ホストのDNS名前解決の所要時間", _xlfn.REGEXTEST(C80, "TLS Certificate Expiry"), "TLS証明書の有効期限切れ", _xlfn.REGEXTEST(C80, "Host Entropy"), "ホストのエントロピー（乱数生成能力）の不足", _xlfn.REGEXTEST(C80, "File Descriptor"), "プロセスのファイルディスクリプタ使用率", _xlfn.REGEXTEST(C80, "Unexpected Exits"), "プロセスの異常終了（予期せぬ停止）", _xlfn.REGEXTEST(C80, "Swap Memory Thresholds"), "プロセスのスワップメモリ使用量", _xlfn.REGEXTEST(C80, "Swap Memory Usage Rate"), "スワップメモリ使用量の変化率（増加速度）", _xlfn.REGEXTEST(C80, "Log Directory Free Space.*Absolute"), "ログディレクトリの空き容量（絶対値）", _xlfn.REGEXTEST(C80, "Log Directory Free Space.*Percentage"), "ログディレクトリの空き容量割合（%）", _xlfn.REGEXTEST(C80, "Heap Dump Directory Free Space.*Absolute"), "ヒープダンプディレクトリの空き容量（絶対値）", _xlfn.REGEXTEST(C80, "Heap Dump Directory Free Space.*Percentage"), "ヒープダンプディレクトリの空き容量割合（%）", _xlfn.REGEXTEST(C80, "Data Directory Free Space.*Absolute"), "データディレクトリの空き容量（絶対値）", _xlfn.REGEXTEST(C80, "Data Directory Free Space.*Percentage"), "データディレクトリの空き容量割合（%）", _xlfn.REGEXTEST(C80, "Transaction Log Directory Free Space.*Absolute"), "トランザクションログディレクトリの空き容量（絶対値）", _xlfn.REGEXTEST(C80, "Logging Threshold|Logger Threshold"), "ログ出力レベルの閾値設定", _xlfn.REGEXTEST(C80, "Enable.*Alerts"), "ヘルスアラートの有効化状態", _xlfn.REGEXTEST(C80, "Triggers"), "カスタムアラート条件（トリガー設定）", _xlfn.REGEXTEST(C80, "Healthy Kafka Broker"), "Kafka Brokerの健全ノード割合（稼働率）", _xlfn.REGEXTEST(C80, "Healthy Kafka Connect"), "Kafka Connectの健全ノード割合（稼働率）", _xlfn.REGEXTEST(C80, "Healthy KRaft Controller"), "KRaft Controllerの健全ノード割合（稼働率）", _xlfn.REGEXTEST(C80, "Healthy Knox IDBroker"), "Knox IDBrokerの健全ノード割合（稼働率）", _xlfn.REGEXTEST(C80, "Healthy Knox Gateway"), "Knox Gatewayの健全ノード割合（稼働率）", _xlfn.REGEXTEST(C80, "Healthy ZooKeeper Server"), "ZooKeeper Serverの健全ノード割合（稼働率）", _xlfn.REGEXTEST(C80, "Healthy NodeManager"), "NodeManagerの健全ノード割合（稼働率）", _xlfn.REGEXTEST(C80, "Maximum Latency"), "リクエストの最大レイテンシ（処理遅延）", _xlfn.REGEXTEST(C80, "Garbage Collection Duration"), "Javaのガベージコレクション（GC）の所要時間", _xlfn.REGEXTEST(C80, "Spool Directory Usage"), "Rangerプラグインのスプールディレクトリ使用量", _xlfn.REGEXTEST(C80, "Process Directory Free Space Monitoring Absolute"), "プロセスディレクトリの空き容量（絶対値)", _xlfn.REGEXTEST(C80, "Process Directory Free Space.*Percentage"), "プロセスディレクトリの空き容量割合（%）", _xlfn.REGEXTEST(C80, "Parcel Directory Free Space.*Absolute"), "パーセルディレクトリの空き容量（絶対値）", _xlfn.REGEXTEST(C80, "Parcel Directory Free Space.*Percentage"), "パーセルディレクトリの空き容量割合（%）", _xlfn.REGEXTEST(C80, "Host Network Frame Error Percentage"), "ホストのネットワークフレームエラー割合（%）", _xlfn.REGEXTEST(C80, "Network Interfaces Slow Link Modes"), "ホストのネットワークインターフェースの低速リンクモード検出", _xlfn.REGEXTEST(C80, "Host Memory Swapping"), "ホストのメモリのスワップ発生状態", TRUE, "要手動確認")</f>
        <v>ネットワークアウトバウンド（送信）帯域の限界・使用量</v>
      </c>
      <c r="H80" s="479">
        <v>0.85</v>
      </c>
    </row>
    <row r="81" spans="1:8" ht="16.899999999999999">
      <c r="A81" s="468"/>
      <c r="B81" s="473"/>
      <c r="C81" s="471" t="s">
        <v>854</v>
      </c>
      <c r="D81" s="471" t="s">
        <v>855</v>
      </c>
      <c r="E81" s="471" t="s">
        <v>836</v>
      </c>
      <c r="F81" s="471"/>
      <c r="G81" s="471" t="str" cm="1">
        <f t="array" ref="G81">_xlfn.IFS(C81 = "", "", _xlfn.REGEXTEST(C81, "Host Clock Offset"), "ホストのクロックオフセット（時刻同期のズレ）", _xlfn.REGEXTEST(C81, "Memory Overcommit Validation"), "メモリオーバーコミット設定の検証", _xlfn.REGEXTEST(C81, "Gateway Logging"), "ゲートウェイのログ出力設定", _xlfn.REGEXTEST(C81, "CPU Balance"), "CPU使用率の分散バランス状態", _xlfn.REGEXTEST(C81, "Disk Balance"), "ディスク使用量の分散バランス状態", _xlfn.REGEXTEST(C81, "Network Inbound Balance"), "ネットワークインバウンド（受信）の分散バランス状態", _xlfn.REGEXTEST(C81, "Network Outbound Balance"), "ネットワークアウトバウンド（送信）の分散バランス状態", _xlfn.REGEXTEST(C81, "Replica Count Balance"), "レプリカ数の分散バランス状態", _xlfn.REGEXTEST(C81, "Disk Capacity"), "ディスク総容量の限界・使用容量", _xlfn.REGEXTEST(C81, "CPU Capacity"), "CPU総処理能力の限界・使用量", _xlfn.REGEXTEST(C81, "Network Inbound Capacity"), "ネットワークインバウンド（受信）帯域の限界・使用量", _xlfn.REGEXTEST(C81, "Network Outbound Capacity"), "ネットワークアウトバウンド（送信）帯域の限界・使用量", _xlfn.REGEXTEST(C81, "Leader Replica Count Balance"), "リーダーレプリカ数の分散バランス状態", _xlfn.REGEXTEST(C81, "Host DNS Resolution Duration"), "ホストのDNS名前解決の所要時間", _xlfn.REGEXTEST(C81, "TLS Certificate Expiry"), "TLS証明書の有効期限切れ", _xlfn.REGEXTEST(C81, "Host Entropy"), "ホストのエントロピー（乱数生成能力）の不足", _xlfn.REGEXTEST(C81, "File Descriptor"), "プロセスのファイルディスクリプタ使用率", _xlfn.REGEXTEST(C81, "Unexpected Exits"), "プロセスの異常終了（予期せぬ停止）", _xlfn.REGEXTEST(C81, "Swap Memory Thresholds"), "プロセスのスワップメモリ使用量", _xlfn.REGEXTEST(C81, "Swap Memory Usage Rate"), "スワップメモリ使用量の変化率（増加速度）", _xlfn.REGEXTEST(C81, "Log Directory Free Space.*Absolute"), "ログディレクトリの空き容量（絶対値）", _xlfn.REGEXTEST(C81, "Log Directory Free Space.*Percentage"), "ログディレクトリの空き容量割合（%）", _xlfn.REGEXTEST(C81, "Heap Dump Directory Free Space.*Absolute"), "ヒープダンプディレクトリの空き容量（絶対値）", _xlfn.REGEXTEST(C81, "Heap Dump Directory Free Space.*Percentage"), "ヒープダンプディレクトリの空き容量割合（%）", _xlfn.REGEXTEST(C81, "Data Directory Free Space.*Absolute"), "データディレクトリの空き容量（絶対値）", _xlfn.REGEXTEST(C81, "Data Directory Free Space.*Percentage"), "データディレクトリの空き容量割合（%）", _xlfn.REGEXTEST(C81, "Transaction Log Directory Free Space.*Absolute"), "トランザクションログディレクトリの空き容量（絶対値）", _xlfn.REGEXTEST(C81, "Logging Threshold|Logger Threshold"), "ログ出力レベルの閾値設定", _xlfn.REGEXTEST(C81, "Enable.*Alerts"), "ヘルスアラートの有効化状態", _xlfn.REGEXTEST(C81, "Triggers"), "カスタムアラート条件（トリガー設定）", _xlfn.REGEXTEST(C81, "Healthy Kafka Broker"), "Kafka Brokerの健全ノード割合（稼働率）", _xlfn.REGEXTEST(C81, "Healthy Kafka Connect"), "Kafka Connectの健全ノード割合（稼働率）", _xlfn.REGEXTEST(C81, "Healthy KRaft Controller"), "KRaft Controllerの健全ノード割合（稼働率）", _xlfn.REGEXTEST(C81, "Healthy Knox IDBroker"), "Knox IDBrokerの健全ノード割合（稼働率）", _xlfn.REGEXTEST(C81, "Healthy Knox Gateway"), "Knox Gatewayの健全ノード割合（稼働率）", _xlfn.REGEXTEST(C81, "Healthy ZooKeeper Server"), "ZooKeeper Serverの健全ノード割合（稼働率）", _xlfn.REGEXTEST(C81, "Healthy NodeManager"), "NodeManagerの健全ノード割合（稼働率）", _xlfn.REGEXTEST(C81, "Maximum Latency"), "リクエストの最大レイテンシ（処理遅延）", _xlfn.REGEXTEST(C81, "Garbage Collection Duration"), "Javaのガベージコレクション（GC）の所要時間", _xlfn.REGEXTEST(C81, "Spool Directory Usage"), "Rangerプラグインのスプールディレクトリ使用量", _xlfn.REGEXTEST(C81, "Process Directory Free Space Monitoring Absolute"), "プロセスディレクトリの空き容量（絶対値)", _xlfn.REGEXTEST(C81, "Process Directory Free Space.*Percentage"), "プロセスディレクトリの空き容量割合（%）", _xlfn.REGEXTEST(C81, "Parcel Directory Free Space.*Absolute"), "パーセルディレクトリの空き容量（絶対値）", _xlfn.REGEXTEST(C81, "Parcel Directory Free Space.*Percentage"), "パーセルディレクトリの空き容量割合（%）", _xlfn.REGEXTEST(C81, "Host Network Frame Error Percentage"), "ホストのネットワークフレームエラー割合（%）", _xlfn.REGEXTEST(C81, "Network Interfaces Slow Link Modes"), "ホストのネットワークインターフェースの低速リンクモード検出", _xlfn.REGEXTEST(C81, "Host Memory Swapping"), "ホストのメモリのスワップ発生状態", TRUE, "要手動確認")</f>
        <v>レプリカ数の分散バランス状態</v>
      </c>
      <c r="H81" s="479">
        <v>1.5</v>
      </c>
    </row>
    <row r="82" spans="1:8" ht="16.899999999999999">
      <c r="A82" s="468"/>
      <c r="B82" s="473"/>
      <c r="C82" s="471" t="s">
        <v>856</v>
      </c>
      <c r="D82" s="471" t="s">
        <v>772</v>
      </c>
      <c r="E82" s="471" t="s">
        <v>836</v>
      </c>
      <c r="F82" s="471"/>
      <c r="G82" s="471" t="str" cm="1">
        <f t="array" ref="G82">_xlfn.IFS(C82 = "", "", _xlfn.REGEXTEST(C82, "Host Clock Offset"), "ホストのクロックオフセット（時刻同期のズレ）", _xlfn.REGEXTEST(C82, "Memory Overcommit Validation"), "メモリオーバーコミット設定の検証", _xlfn.REGEXTEST(C82, "Gateway Logging"), "ゲートウェイのログ出力設定", _xlfn.REGEXTEST(C82, "CPU Balance"), "CPU使用率の分散バランス状態", _xlfn.REGEXTEST(C82, "Disk Balance"), "ディスク使用量の分散バランス状態", _xlfn.REGEXTEST(C82, "Network Inbound Balance"), "ネットワークインバウンド（受信）の分散バランス状態", _xlfn.REGEXTEST(C82, "Network Outbound Balance"), "ネットワークアウトバウンド（送信）の分散バランス状態", _xlfn.REGEXTEST(C82, "Replica Count Balance"), "レプリカ数の分散バランス状態", _xlfn.REGEXTEST(C82, "Disk Capacity"), "ディスク総容量の限界・使用容量", _xlfn.REGEXTEST(C82, "CPU Capacity"), "CPU総処理能力の限界・使用量", _xlfn.REGEXTEST(C82, "Network Inbound Capacity"), "ネットワークインバウンド（受信）帯域の限界・使用量", _xlfn.REGEXTEST(C82, "Network Outbound Capacity"), "ネットワークアウトバウンド（送信）帯域の限界・使用量", _xlfn.REGEXTEST(C82, "Leader Replica Count Balance"), "リーダーレプリカ数の分散バランス状態", _xlfn.REGEXTEST(C82, "Host DNS Resolution Duration"), "ホストのDNS名前解決の所要時間", _xlfn.REGEXTEST(C82, "TLS Certificate Expiry"), "TLS証明書の有効期限切れ", _xlfn.REGEXTEST(C82, "Host Entropy"), "ホストのエントロピー（乱数生成能力）の不足", _xlfn.REGEXTEST(C82, "File Descriptor"), "プロセスのファイルディスクリプタ使用率", _xlfn.REGEXTEST(C82, "Unexpected Exits"), "プロセスの異常終了（予期せぬ停止）", _xlfn.REGEXTEST(C82, "Swap Memory Thresholds"), "プロセスのスワップメモリ使用量", _xlfn.REGEXTEST(C82, "Swap Memory Usage Rate"), "スワップメモリ使用量の変化率（増加速度）", _xlfn.REGEXTEST(C82, "Log Directory Free Space.*Absolute"), "ログディレクトリの空き容量（絶対値）", _xlfn.REGEXTEST(C82, "Log Directory Free Space.*Percentage"), "ログディレクトリの空き容量割合（%）", _xlfn.REGEXTEST(C82, "Heap Dump Directory Free Space.*Absolute"), "ヒープダンプディレクトリの空き容量（絶対値）", _xlfn.REGEXTEST(C82, "Heap Dump Directory Free Space.*Percentage"), "ヒープダンプディレクトリの空き容量割合（%）", _xlfn.REGEXTEST(C82, "Data Directory Free Space.*Absolute"), "データディレクトリの空き容量（絶対値）", _xlfn.REGEXTEST(C82, "Data Directory Free Space.*Percentage"), "データディレクトリの空き容量割合（%）", _xlfn.REGEXTEST(C82, "Transaction Log Directory Free Space.*Absolute"), "トランザクションログディレクトリの空き容量（絶対値）", _xlfn.REGEXTEST(C82, "Logging Threshold|Logger Threshold"), "ログ出力レベルの閾値設定", _xlfn.REGEXTEST(C82, "Enable.*Alerts"), "ヘルスアラートの有効化状態", _xlfn.REGEXTEST(C82, "Triggers"), "カスタムアラート条件（トリガー設定）", _xlfn.REGEXTEST(C82, "Healthy Kafka Broker"), "Kafka Brokerの健全ノード割合（稼働率）", _xlfn.REGEXTEST(C82, "Healthy Kafka Connect"), "Kafka Connectの健全ノード割合（稼働率）", _xlfn.REGEXTEST(C82, "Healthy KRaft Controller"), "KRaft Controllerの健全ノード割合（稼働率）", _xlfn.REGEXTEST(C82, "Healthy Knox IDBroker"), "Knox IDBrokerの健全ノード割合（稼働率）", _xlfn.REGEXTEST(C82, "Healthy Knox Gateway"), "Knox Gatewayの健全ノード割合（稼働率）", _xlfn.REGEXTEST(C82, "Healthy ZooKeeper Server"), "ZooKeeper Serverの健全ノード割合（稼働率）", _xlfn.REGEXTEST(C82, "Healthy NodeManager"), "NodeManagerの健全ノード割合（稼働率）", _xlfn.REGEXTEST(C82, "Maximum Latency"), "リクエストの最大レイテンシ（処理遅延）", _xlfn.REGEXTEST(C82, "Garbage Collection Duration"), "Javaのガベージコレクション（GC）の所要時間", _xlfn.REGEXTEST(C82, "Spool Directory Usage"), "Rangerプラグインのスプールディレクトリ使用量", _xlfn.REGEXTEST(C82, "Process Directory Free Space Monitoring Absolute"), "プロセスディレクトリの空き容量（絶対値)", _xlfn.REGEXTEST(C82, "Process Directory Free Space.*Percentage"), "プロセスディレクトリの空き容量割合（%）", _xlfn.REGEXTEST(C82, "Parcel Directory Free Space.*Absolute"), "パーセルディレクトリの空き容量（絶対値）", _xlfn.REGEXTEST(C82, "Parcel Directory Free Space.*Percentage"), "パーセルディレクトリの空き容量割合（%）", _xlfn.REGEXTEST(C82, "Host Network Frame Error Percentage"), "ホストのネットワークフレームエラー割合（%）", _xlfn.REGEXTEST(C82, "Network Interfaces Slow Link Modes"), "ホストのネットワークインターフェースの低速リンクモード検出", _xlfn.REGEXTEST(C82, "Host Memory Swapping"), "ホストのメモリのスワップ発生状態", TRUE, "要手動確認")</f>
        <v>ログ出力レベルの閾値設定</v>
      </c>
      <c r="H82" s="479" t="s">
        <v>775</v>
      </c>
    </row>
    <row r="83" spans="1:8" ht="33.6">
      <c r="A83" s="468"/>
      <c r="B83" s="473"/>
      <c r="C83" s="471" t="s">
        <v>736</v>
      </c>
      <c r="D83" s="471" t="s">
        <v>857</v>
      </c>
      <c r="E83" s="471" t="s">
        <v>836</v>
      </c>
      <c r="F83" s="471"/>
      <c r="G83" s="471" t="str" cm="1">
        <f t="array" ref="G83">_xlfn.IFS(C83 = "", "", _xlfn.REGEXTEST(C83, "Host Clock Offset"), "ホストのクロックオフセット（時刻同期のズレ）", _xlfn.REGEXTEST(C83, "Memory Overcommit Validation"), "メモリオーバーコミット設定の検証", _xlfn.REGEXTEST(C83, "Gateway Logging"), "ゲートウェイのログ出力設定", _xlfn.REGEXTEST(C83, "CPU Balance"), "CPU使用率の分散バランス状態", _xlfn.REGEXTEST(C83, "Disk Balance"), "ディスク使用量の分散バランス状態", _xlfn.REGEXTEST(C83, "Network Inbound Balance"), "ネットワークインバウンド（受信）の分散バランス状態", _xlfn.REGEXTEST(C83, "Network Outbound Balance"), "ネットワークアウトバウンド（送信）の分散バランス状態", _xlfn.REGEXTEST(C83, "Replica Count Balance"), "レプリカ数の分散バランス状態", _xlfn.REGEXTEST(C83, "Disk Capacity"), "ディスク総容量の限界・使用容量", _xlfn.REGEXTEST(C83, "CPU Capacity"), "CPU総処理能力の限界・使用量", _xlfn.REGEXTEST(C83, "Network Inbound Capacity"), "ネットワークインバウンド（受信）帯域の限界・使用量", _xlfn.REGEXTEST(C83, "Network Outbound Capacity"), "ネットワークアウトバウンド（送信）帯域の限界・使用量", _xlfn.REGEXTEST(C83, "Leader Replica Count Balance"), "リーダーレプリカ数の分散バランス状態", _xlfn.REGEXTEST(C83, "Host DNS Resolution Duration"), "ホストのDNS名前解決の所要時間", _xlfn.REGEXTEST(C83, "TLS Certificate Expiry"), "TLS証明書の有効期限切れ", _xlfn.REGEXTEST(C83, "Host Entropy"), "ホストのエントロピー（乱数生成能力）の不足", _xlfn.REGEXTEST(C83, "File Descriptor"), "プロセスのファイルディスクリプタ使用率", _xlfn.REGEXTEST(C83, "Unexpected Exits"), "プロセスの異常終了（予期せぬ停止）", _xlfn.REGEXTEST(C83, "Swap Memory Thresholds"), "プロセスのスワップメモリ使用量", _xlfn.REGEXTEST(C83, "Swap Memory Usage Rate"), "スワップメモリ使用量の変化率（増加速度）", _xlfn.REGEXTEST(C83, "Log Directory Free Space.*Absolute"), "ログディレクトリの空き容量（絶対値）", _xlfn.REGEXTEST(C83, "Log Directory Free Space.*Percentage"), "ログディレクトリの空き容量割合（%）", _xlfn.REGEXTEST(C83, "Heap Dump Directory Free Space.*Absolute"), "ヒープダンプディレクトリの空き容量（絶対値）", _xlfn.REGEXTEST(C83, "Heap Dump Directory Free Space.*Percentage"), "ヒープダンプディレクトリの空き容量割合（%）", _xlfn.REGEXTEST(C83, "Data Directory Free Space.*Absolute"), "データディレクトリの空き容量（絶対値）", _xlfn.REGEXTEST(C83, "Data Directory Free Space.*Percentage"), "データディレクトリの空き容量割合（%）", _xlfn.REGEXTEST(C83, "Transaction Log Directory Free Space.*Absolute"), "トランザクションログディレクトリの空き容量（絶対値）", _xlfn.REGEXTEST(C83, "Logging Threshold|Logger Threshold"), "ログ出力レベルの閾値設定", _xlfn.REGEXTEST(C83, "Enable.*Alerts"), "ヘルスアラートの有効化状態", _xlfn.REGEXTEST(C83, "Triggers"), "カスタムアラート条件（トリガー設定）", _xlfn.REGEXTEST(C83, "Healthy Kafka Broker"), "Kafka Brokerの健全ノード割合（稼働率）", _xlfn.REGEXTEST(C83, "Healthy Kafka Connect"), "Kafka Connectの健全ノード割合（稼働率）", _xlfn.REGEXTEST(C83, "Healthy KRaft Controller"), "KRaft Controllerの健全ノード割合（稼働率）", _xlfn.REGEXTEST(C83, "Healthy Knox IDBroker"), "Knox IDBrokerの健全ノード割合（稼働率）", _xlfn.REGEXTEST(C83, "Healthy Knox Gateway"), "Knox Gatewayの健全ノード割合（稼働率）", _xlfn.REGEXTEST(C83, "Healthy ZooKeeper Server"), "ZooKeeper Serverの健全ノード割合（稼働率）", _xlfn.REGEXTEST(C83, "Healthy NodeManager"), "NodeManagerの健全ノード割合（稼働率）", _xlfn.REGEXTEST(C83, "Maximum Latency"), "リクエストの最大レイテンシ（処理遅延）", _xlfn.REGEXTEST(C83, "Garbage Collection Duration"), "Javaのガベージコレクション（GC）の所要時間", _xlfn.REGEXTEST(C83, "Spool Directory Usage"), "Rangerプラグインのスプールディレクトリ使用量", _xlfn.REGEXTEST(C83, "Process Directory Free Space Monitoring Absolute"), "プロセスディレクトリの空き容量（絶対値)", _xlfn.REGEXTEST(C83, "Process Directory Free Space.*Percentage"), "プロセスディレクトリの空き容量割合（%）", _xlfn.REGEXTEST(C83, "Parcel Directory Free Space.*Absolute"), "パーセルディレクトリの空き容量（絶対値）", _xlfn.REGEXTEST(C83, "Parcel Directory Free Space.*Percentage"), "パーセルディレクトリの空き容量割合（%）", _xlfn.REGEXTEST(C83, "Host Network Frame Error Percentage"), "ホストのネットワークフレームエラー割合（%）", _xlfn.REGEXTEST(C83, "Network Interfaces Slow Link Modes"), "ホストのネットワークインターフェースの低速リンクモード検出", _xlfn.REGEXTEST(C83, "Host Memory Swapping"), "ホストのメモリのスワップ発生状態", TRUE, "要手動確認")</f>
        <v>プロセスのファイルディスクリプタ使用率</v>
      </c>
      <c r="H83" s="479" t="s">
        <v>813</v>
      </c>
    </row>
    <row r="84" spans="1:8" ht="33.6">
      <c r="A84" s="468"/>
      <c r="B84" s="473"/>
      <c r="C84" s="471" t="s">
        <v>741</v>
      </c>
      <c r="D84" s="471" t="s">
        <v>742</v>
      </c>
      <c r="E84" s="471" t="s">
        <v>836</v>
      </c>
      <c r="F84" s="471"/>
      <c r="G84" s="471" t="str" cm="1">
        <f t="array" ref="G84">_xlfn.IFS(C84 = "", "", _xlfn.REGEXTEST(C84, "Host Clock Offset"), "ホストのクロックオフセット（時刻同期のズレ）", _xlfn.REGEXTEST(C84, "Memory Overcommit Validation"), "メモリオーバーコミット設定の検証", _xlfn.REGEXTEST(C84, "Gateway Logging"), "ゲートウェイのログ出力設定", _xlfn.REGEXTEST(C84, "CPU Balance"), "CPU使用率の分散バランス状態", _xlfn.REGEXTEST(C84, "Disk Balance"), "ディスク使用量の分散バランス状態", _xlfn.REGEXTEST(C84, "Network Inbound Balance"), "ネットワークインバウンド（受信）の分散バランス状態", _xlfn.REGEXTEST(C84, "Network Outbound Balance"), "ネットワークアウトバウンド（送信）の分散バランス状態", _xlfn.REGEXTEST(C84, "Replica Count Balance"), "レプリカ数の分散バランス状態", _xlfn.REGEXTEST(C84, "Disk Capacity"), "ディスク総容量の限界・使用容量", _xlfn.REGEXTEST(C84, "CPU Capacity"), "CPU総処理能力の限界・使用量", _xlfn.REGEXTEST(C84, "Network Inbound Capacity"), "ネットワークインバウンド（受信）帯域の限界・使用量", _xlfn.REGEXTEST(C84, "Network Outbound Capacity"), "ネットワークアウトバウンド（送信）帯域の限界・使用量", _xlfn.REGEXTEST(C84, "Leader Replica Count Balance"), "リーダーレプリカ数の分散バランス状態", _xlfn.REGEXTEST(C84, "Host DNS Resolution Duration"), "ホストのDNS名前解決の所要時間", _xlfn.REGEXTEST(C84, "TLS Certificate Expiry"), "TLS証明書の有効期限切れ", _xlfn.REGEXTEST(C84, "Host Entropy"), "ホストのエントロピー（乱数生成能力）の不足", _xlfn.REGEXTEST(C84, "File Descriptor"), "プロセスのファイルディスクリプタ使用率", _xlfn.REGEXTEST(C84, "Unexpected Exits"), "プロセスの異常終了（予期せぬ停止）", _xlfn.REGEXTEST(C84, "Swap Memory Thresholds"), "プロセスのスワップメモリ使用量", _xlfn.REGEXTEST(C84, "Swap Memory Usage Rate"), "スワップメモリ使用量の変化率（増加速度）", _xlfn.REGEXTEST(C84, "Log Directory Free Space.*Absolute"), "ログディレクトリの空き容量（絶対値）", _xlfn.REGEXTEST(C84, "Log Directory Free Space.*Percentage"), "ログディレクトリの空き容量割合（%）", _xlfn.REGEXTEST(C84, "Heap Dump Directory Free Space.*Absolute"), "ヒープダンプディレクトリの空き容量（絶対値）", _xlfn.REGEXTEST(C84, "Heap Dump Directory Free Space.*Percentage"), "ヒープダンプディレクトリの空き容量割合（%）", _xlfn.REGEXTEST(C84, "Data Directory Free Space.*Absolute"), "データディレクトリの空き容量（絶対値）", _xlfn.REGEXTEST(C84, "Data Directory Free Space.*Percentage"), "データディレクトリの空き容量割合（%）", _xlfn.REGEXTEST(C84, "Transaction Log Directory Free Space.*Absolute"), "トランザクションログディレクトリの空き容量（絶対値）", _xlfn.REGEXTEST(C84, "Logging Threshold|Logger Threshold"), "ログ出力レベルの閾値設定", _xlfn.REGEXTEST(C84, "Enable.*Alerts"), "ヘルスアラートの有効化状態", _xlfn.REGEXTEST(C84, "Triggers"), "カスタムアラート条件（トリガー設定）", _xlfn.REGEXTEST(C84, "Healthy Kafka Broker"), "Kafka Brokerの健全ノード割合（稼働率）", _xlfn.REGEXTEST(C84, "Healthy Kafka Connect"), "Kafka Connectの健全ノード割合（稼働率）", _xlfn.REGEXTEST(C84, "Healthy KRaft Controller"), "KRaft Controllerの健全ノード割合（稼働率）", _xlfn.REGEXTEST(C84, "Healthy Knox IDBroker"), "Knox IDBrokerの健全ノード割合（稼働率）", _xlfn.REGEXTEST(C84, "Healthy Knox Gateway"), "Knox Gatewayの健全ノード割合（稼働率）", _xlfn.REGEXTEST(C84, "Healthy ZooKeeper Server"), "ZooKeeper Serverの健全ノード割合（稼働率）", _xlfn.REGEXTEST(C84, "Healthy NodeManager"), "NodeManagerの健全ノード割合（稼働率）", _xlfn.REGEXTEST(C84, "Maximum Latency"), "リクエストの最大レイテンシ（処理遅延）", _xlfn.REGEXTEST(C84, "Garbage Collection Duration"), "Javaのガベージコレクション（GC）の所要時間", _xlfn.REGEXTEST(C84, "Spool Directory Usage"), "Rangerプラグインのスプールディレクトリ使用量", _xlfn.REGEXTEST(C84, "Process Directory Free Space Monitoring Absolute"), "プロセスディレクトリの空き容量（絶対値)", _xlfn.REGEXTEST(C84, "Process Directory Free Space.*Percentage"), "プロセスディレクトリの空き容量割合（%）", _xlfn.REGEXTEST(C84, "Parcel Directory Free Space.*Absolute"), "パーセルディレクトリの空き容量（絶対値）", _xlfn.REGEXTEST(C84, "Parcel Directory Free Space.*Percentage"), "パーセルディレクトリの空き容量割合（%）", _xlfn.REGEXTEST(C84, "Host Network Frame Error Percentage"), "ホストのネットワークフレームエラー割合（%）", _xlfn.REGEXTEST(C84, "Network Interfaces Slow Link Modes"), "ホストのネットワークインターフェースの低速リンクモード検出", _xlfn.REGEXTEST(C84, "Host Memory Swapping"), "ホストのメモリのスワップ発生状態", TRUE, "要手動確認")</f>
        <v>ログディレクトリの空き容量（絶対値）</v>
      </c>
      <c r="H84" s="479" t="s">
        <v>692</v>
      </c>
    </row>
    <row r="85" spans="1:8" ht="33.6">
      <c r="A85" s="468"/>
      <c r="B85" s="473"/>
      <c r="C85" s="471" t="s">
        <v>746</v>
      </c>
      <c r="D85" s="471" t="s">
        <v>747</v>
      </c>
      <c r="E85" s="471" t="s">
        <v>836</v>
      </c>
      <c r="F85" s="471"/>
      <c r="G85" s="471" t="str" cm="1">
        <f t="array" ref="G85">_xlfn.IFS(C85 = "", "", _xlfn.REGEXTEST(C85, "Host Clock Offset"), "ホストのクロックオフセット（時刻同期のズレ）", _xlfn.REGEXTEST(C85, "Memory Overcommit Validation"), "メモリオーバーコミット設定の検証", _xlfn.REGEXTEST(C85, "Gateway Logging"), "ゲートウェイのログ出力設定", _xlfn.REGEXTEST(C85, "CPU Balance"), "CPU使用率の分散バランス状態", _xlfn.REGEXTEST(C85, "Disk Balance"), "ディスク使用量の分散バランス状態", _xlfn.REGEXTEST(C85, "Network Inbound Balance"), "ネットワークインバウンド（受信）の分散バランス状態", _xlfn.REGEXTEST(C85, "Network Outbound Balance"), "ネットワークアウトバウンド（送信）の分散バランス状態", _xlfn.REGEXTEST(C85, "Replica Count Balance"), "レプリカ数の分散バランス状態", _xlfn.REGEXTEST(C85, "Disk Capacity"), "ディスク総容量の限界・使用容量", _xlfn.REGEXTEST(C85, "CPU Capacity"), "CPU総処理能力の限界・使用量", _xlfn.REGEXTEST(C85, "Network Inbound Capacity"), "ネットワークインバウンド（受信）帯域の限界・使用量", _xlfn.REGEXTEST(C85, "Network Outbound Capacity"), "ネットワークアウトバウンド（送信）帯域の限界・使用量", _xlfn.REGEXTEST(C85, "Leader Replica Count Balance"), "リーダーレプリカ数の分散バランス状態", _xlfn.REGEXTEST(C85, "Host DNS Resolution Duration"), "ホストのDNS名前解決の所要時間", _xlfn.REGEXTEST(C85, "TLS Certificate Expiry"), "TLS証明書の有効期限切れ", _xlfn.REGEXTEST(C85, "Host Entropy"), "ホストのエントロピー（乱数生成能力）の不足", _xlfn.REGEXTEST(C85, "File Descriptor"), "プロセスのファイルディスクリプタ使用率", _xlfn.REGEXTEST(C85, "Unexpected Exits"), "プロセスの異常終了（予期せぬ停止）", _xlfn.REGEXTEST(C85, "Swap Memory Thresholds"), "プロセスのスワップメモリ使用量", _xlfn.REGEXTEST(C85, "Swap Memory Usage Rate"), "スワップメモリ使用量の変化率（増加速度）", _xlfn.REGEXTEST(C85, "Log Directory Free Space.*Absolute"), "ログディレクトリの空き容量（絶対値）", _xlfn.REGEXTEST(C85, "Log Directory Free Space.*Percentage"), "ログディレクトリの空き容量割合（%）", _xlfn.REGEXTEST(C85, "Heap Dump Directory Free Space.*Absolute"), "ヒープダンプディレクトリの空き容量（絶対値）", _xlfn.REGEXTEST(C85, "Heap Dump Directory Free Space.*Percentage"), "ヒープダンプディレクトリの空き容量割合（%）", _xlfn.REGEXTEST(C85, "Data Directory Free Space.*Absolute"), "データディレクトリの空き容量（絶対値）", _xlfn.REGEXTEST(C85, "Data Directory Free Space.*Percentage"), "データディレクトリの空き容量割合（%）", _xlfn.REGEXTEST(C85, "Transaction Log Directory Free Space.*Absolute"), "トランザクションログディレクトリの空き容量（絶対値）", _xlfn.REGEXTEST(C85, "Logging Threshold|Logger Threshold"), "ログ出力レベルの閾値設定", _xlfn.REGEXTEST(C85, "Enable.*Alerts"), "ヘルスアラートの有効化状態", _xlfn.REGEXTEST(C85, "Triggers"), "カスタムアラート条件（トリガー設定）", _xlfn.REGEXTEST(C85, "Healthy Kafka Broker"), "Kafka Brokerの健全ノード割合（稼働率）", _xlfn.REGEXTEST(C85, "Healthy Kafka Connect"), "Kafka Connectの健全ノード割合（稼働率）", _xlfn.REGEXTEST(C85, "Healthy KRaft Controller"), "KRaft Controllerの健全ノード割合（稼働率）", _xlfn.REGEXTEST(C85, "Healthy Knox IDBroker"), "Knox IDBrokerの健全ノード割合（稼働率）", _xlfn.REGEXTEST(C85, "Healthy Knox Gateway"), "Knox Gatewayの健全ノード割合（稼働率）", _xlfn.REGEXTEST(C85, "Healthy ZooKeeper Server"), "ZooKeeper Serverの健全ノード割合（稼働率）", _xlfn.REGEXTEST(C85, "Healthy NodeManager"), "NodeManagerの健全ノード割合（稼働率）", _xlfn.REGEXTEST(C85, "Maximum Latency"), "リクエストの最大レイテンシ（処理遅延）", _xlfn.REGEXTEST(C85, "Garbage Collection Duration"), "Javaのガベージコレクション（GC）の所要時間", _xlfn.REGEXTEST(C85, "Spool Directory Usage"), "Rangerプラグインのスプールディレクトリ使用量", _xlfn.REGEXTEST(C85, "Process Directory Free Space Monitoring Absolute"), "プロセスディレクトリの空き容量（絶対値)", _xlfn.REGEXTEST(C85, "Process Directory Free Space.*Percentage"), "プロセスディレクトリの空き容量割合（%）", _xlfn.REGEXTEST(C85, "Parcel Directory Free Space.*Absolute"), "パーセルディレクトリの空き容量（絶対値）", _xlfn.REGEXTEST(C85, "Parcel Directory Free Space.*Percentage"), "パーセルディレクトリの空き容量割合（%）", _xlfn.REGEXTEST(C85, "Host Network Frame Error Percentage"), "ホストのネットワークフレームエラー割合（%）", _xlfn.REGEXTEST(C85, "Network Interfaces Slow Link Modes"), "ホストのネットワークインターフェースの低速リンクモード検出", _xlfn.REGEXTEST(C85, "Host Memory Swapping"), "ホストのメモリのスワップ発生状態", TRUE, "要手動確認")</f>
        <v>ログディレクトリの空き容量割合（%）</v>
      </c>
      <c r="H85" s="479" t="s">
        <v>689</v>
      </c>
    </row>
    <row r="86" spans="1:8" ht="33.6">
      <c r="A86" s="468"/>
      <c r="B86" s="473"/>
      <c r="C86" s="471" t="s">
        <v>749</v>
      </c>
      <c r="D86" s="471" t="s">
        <v>750</v>
      </c>
      <c r="E86" s="471" t="s">
        <v>836</v>
      </c>
      <c r="F86" s="471"/>
      <c r="G86" s="471" t="str" cm="1">
        <f t="array" ref="G86">_xlfn.IFS(C86 = "", "", _xlfn.REGEXTEST(C86, "Host Clock Offset"), "ホストのクロックオフセット（時刻同期のズレ）", _xlfn.REGEXTEST(C86, "Memory Overcommit Validation"), "メモリオーバーコミット設定の検証", _xlfn.REGEXTEST(C86, "Gateway Logging"), "ゲートウェイのログ出力設定", _xlfn.REGEXTEST(C86, "CPU Balance"), "CPU使用率の分散バランス状態", _xlfn.REGEXTEST(C86, "Disk Balance"), "ディスク使用量の分散バランス状態", _xlfn.REGEXTEST(C86, "Network Inbound Balance"), "ネットワークインバウンド（受信）の分散バランス状態", _xlfn.REGEXTEST(C86, "Network Outbound Balance"), "ネットワークアウトバウンド（送信）の分散バランス状態", _xlfn.REGEXTEST(C86, "Replica Count Balance"), "レプリカ数の分散バランス状態", _xlfn.REGEXTEST(C86, "Disk Capacity"), "ディスク総容量の限界・使用容量", _xlfn.REGEXTEST(C86, "CPU Capacity"), "CPU総処理能力の限界・使用量", _xlfn.REGEXTEST(C86, "Network Inbound Capacity"), "ネットワークインバウンド（受信）帯域の限界・使用量", _xlfn.REGEXTEST(C86, "Network Outbound Capacity"), "ネットワークアウトバウンド（送信）帯域の限界・使用量", _xlfn.REGEXTEST(C86, "Leader Replica Count Balance"), "リーダーレプリカ数の分散バランス状態", _xlfn.REGEXTEST(C86, "Host DNS Resolution Duration"), "ホストのDNS名前解決の所要時間", _xlfn.REGEXTEST(C86, "TLS Certificate Expiry"), "TLS証明書の有効期限切れ", _xlfn.REGEXTEST(C86, "Host Entropy"), "ホストのエントロピー（乱数生成能力）の不足", _xlfn.REGEXTEST(C86, "File Descriptor"), "プロセスのファイルディスクリプタ使用率", _xlfn.REGEXTEST(C86, "Unexpected Exits"), "プロセスの異常終了（予期せぬ停止）", _xlfn.REGEXTEST(C86, "Swap Memory Thresholds"), "プロセスのスワップメモリ使用量", _xlfn.REGEXTEST(C86, "Swap Memory Usage Rate"), "スワップメモリ使用量の変化率（増加速度）", _xlfn.REGEXTEST(C86, "Log Directory Free Space.*Absolute"), "ログディレクトリの空き容量（絶対値）", _xlfn.REGEXTEST(C86, "Log Directory Free Space.*Percentage"), "ログディレクトリの空き容量割合（%）", _xlfn.REGEXTEST(C86, "Heap Dump Directory Free Space.*Absolute"), "ヒープダンプディレクトリの空き容量（絶対値）", _xlfn.REGEXTEST(C86, "Heap Dump Directory Free Space.*Percentage"), "ヒープダンプディレクトリの空き容量割合（%）", _xlfn.REGEXTEST(C86, "Data Directory Free Space.*Absolute"), "データディレクトリの空き容量（絶対値）", _xlfn.REGEXTEST(C86, "Data Directory Free Space.*Percentage"), "データディレクトリの空き容量割合（%）", _xlfn.REGEXTEST(C86, "Transaction Log Directory Free Space.*Absolute"), "トランザクションログディレクトリの空き容量（絶対値）", _xlfn.REGEXTEST(C86, "Logging Threshold|Logger Threshold"), "ログ出力レベルの閾値設定", _xlfn.REGEXTEST(C86, "Enable.*Alerts"), "ヘルスアラートの有効化状態", _xlfn.REGEXTEST(C86, "Triggers"), "カスタムアラート条件（トリガー設定）", _xlfn.REGEXTEST(C86, "Healthy Kafka Broker"), "Kafka Brokerの健全ノード割合（稼働率）", _xlfn.REGEXTEST(C86, "Healthy Kafka Connect"), "Kafka Connectの健全ノード割合（稼働率）", _xlfn.REGEXTEST(C86, "Healthy KRaft Controller"), "KRaft Controllerの健全ノード割合（稼働率）", _xlfn.REGEXTEST(C86, "Healthy Knox IDBroker"), "Knox IDBrokerの健全ノード割合（稼働率）", _xlfn.REGEXTEST(C86, "Healthy Knox Gateway"), "Knox Gatewayの健全ノード割合（稼働率）", _xlfn.REGEXTEST(C86, "Healthy ZooKeeper Server"), "ZooKeeper Serverの健全ノード割合（稼働率）", _xlfn.REGEXTEST(C86, "Healthy NodeManager"), "NodeManagerの健全ノード割合（稼働率）", _xlfn.REGEXTEST(C86, "Maximum Latency"), "リクエストの最大レイテンシ（処理遅延）", _xlfn.REGEXTEST(C86, "Garbage Collection Duration"), "Javaのガベージコレクション（GC）の所要時間", _xlfn.REGEXTEST(C86, "Spool Directory Usage"), "Rangerプラグインのスプールディレクトリ使用量", _xlfn.REGEXTEST(C86, "Process Directory Free Space Monitoring Absolute"), "プロセスディレクトリの空き容量（絶対値)", _xlfn.REGEXTEST(C86, "Process Directory Free Space.*Percentage"), "プロセスディレクトリの空き容量割合（%）", _xlfn.REGEXTEST(C86, "Parcel Directory Free Space.*Absolute"), "パーセルディレクトリの空き容量（絶対値）", _xlfn.REGEXTEST(C86, "Parcel Directory Free Space.*Percentage"), "パーセルディレクトリの空き容量割合（%）", _xlfn.REGEXTEST(C86, "Host Network Frame Error Percentage"), "ホストのネットワークフレームエラー割合（%）", _xlfn.REGEXTEST(C86, "Network Interfaces Slow Link Modes"), "ホストのネットワークインターフェースの低速リンクモード検出", _xlfn.REGEXTEST(C86, "Host Memory Swapping"), "ホストのメモリのスワップ発生状態", TRUE, "要手動確認")</f>
        <v>プロセスの異常終了（予期せぬ停止）</v>
      </c>
      <c r="H86" s="479" t="s">
        <v>818</v>
      </c>
    </row>
    <row r="87" spans="1:8" ht="33.6">
      <c r="A87" s="468"/>
      <c r="B87" s="473"/>
      <c r="C87" s="471" t="s">
        <v>755</v>
      </c>
      <c r="D87" s="471" t="s">
        <v>756</v>
      </c>
      <c r="E87" s="471" t="s">
        <v>836</v>
      </c>
      <c r="F87" s="471"/>
      <c r="G87" s="471" t="str" cm="1">
        <f t="array" ref="G87">_xlfn.IFS(C87 = "", "", _xlfn.REGEXTEST(C87, "Host Clock Offset"), "ホストのクロックオフセット（時刻同期のズレ）", _xlfn.REGEXTEST(C87, "Memory Overcommit Validation"), "メモリオーバーコミット設定の検証", _xlfn.REGEXTEST(C87, "Gateway Logging"), "ゲートウェイのログ出力設定", _xlfn.REGEXTEST(C87, "CPU Balance"), "CPU使用率の分散バランス状態", _xlfn.REGEXTEST(C87, "Disk Balance"), "ディスク使用量の分散バランス状態", _xlfn.REGEXTEST(C87, "Network Inbound Balance"), "ネットワークインバウンド（受信）の分散バランス状態", _xlfn.REGEXTEST(C87, "Network Outbound Balance"), "ネットワークアウトバウンド（送信）の分散バランス状態", _xlfn.REGEXTEST(C87, "Replica Count Balance"), "レプリカ数の分散バランス状態", _xlfn.REGEXTEST(C87, "Disk Capacity"), "ディスク総容量の限界・使用容量", _xlfn.REGEXTEST(C87, "CPU Capacity"), "CPU総処理能力の限界・使用量", _xlfn.REGEXTEST(C87, "Network Inbound Capacity"), "ネットワークインバウンド（受信）帯域の限界・使用量", _xlfn.REGEXTEST(C87, "Network Outbound Capacity"), "ネットワークアウトバウンド（送信）帯域の限界・使用量", _xlfn.REGEXTEST(C87, "Leader Replica Count Balance"), "リーダーレプリカ数の分散バランス状態", _xlfn.REGEXTEST(C87, "Host DNS Resolution Duration"), "ホストのDNS名前解決の所要時間", _xlfn.REGEXTEST(C87, "TLS Certificate Expiry"), "TLS証明書の有効期限切れ", _xlfn.REGEXTEST(C87, "Host Entropy"), "ホストのエントロピー（乱数生成能力）の不足", _xlfn.REGEXTEST(C87, "File Descriptor"), "プロセスのファイルディスクリプタ使用率", _xlfn.REGEXTEST(C87, "Unexpected Exits"), "プロセスの異常終了（予期せぬ停止）", _xlfn.REGEXTEST(C87, "Swap Memory Thresholds"), "プロセスのスワップメモリ使用量", _xlfn.REGEXTEST(C87, "Swap Memory Usage Rate"), "スワップメモリ使用量の変化率（増加速度）", _xlfn.REGEXTEST(C87, "Log Directory Free Space.*Absolute"), "ログディレクトリの空き容量（絶対値）", _xlfn.REGEXTEST(C87, "Log Directory Free Space.*Percentage"), "ログディレクトリの空き容量割合（%）", _xlfn.REGEXTEST(C87, "Heap Dump Directory Free Space.*Absolute"), "ヒープダンプディレクトリの空き容量（絶対値）", _xlfn.REGEXTEST(C87, "Heap Dump Directory Free Space.*Percentage"), "ヒープダンプディレクトリの空き容量割合（%）", _xlfn.REGEXTEST(C87, "Data Directory Free Space.*Absolute"), "データディレクトリの空き容量（絶対値）", _xlfn.REGEXTEST(C87, "Data Directory Free Space.*Percentage"), "データディレクトリの空き容量割合（%）", _xlfn.REGEXTEST(C87, "Transaction Log Directory Free Space.*Absolute"), "トランザクションログディレクトリの空き容量（絶対値）", _xlfn.REGEXTEST(C87, "Logging Threshold|Logger Threshold"), "ログ出力レベルの閾値設定", _xlfn.REGEXTEST(C87, "Enable.*Alerts"), "ヘルスアラートの有効化状態", _xlfn.REGEXTEST(C87, "Triggers"), "カスタムアラート条件（トリガー設定）", _xlfn.REGEXTEST(C87, "Healthy Kafka Broker"), "Kafka Brokerの健全ノード割合（稼働率）", _xlfn.REGEXTEST(C87, "Healthy Kafka Connect"), "Kafka Connectの健全ノード割合（稼働率）", _xlfn.REGEXTEST(C87, "Healthy KRaft Controller"), "KRaft Controllerの健全ノード割合（稼働率）", _xlfn.REGEXTEST(C87, "Healthy Knox IDBroker"), "Knox IDBrokerの健全ノード割合（稼働率）", _xlfn.REGEXTEST(C87, "Healthy Knox Gateway"), "Knox Gatewayの健全ノード割合（稼働率）", _xlfn.REGEXTEST(C87, "Healthy ZooKeeper Server"), "ZooKeeper Serverの健全ノード割合（稼働率）", _xlfn.REGEXTEST(C87, "Healthy NodeManager"), "NodeManagerの健全ノード割合（稼働率）", _xlfn.REGEXTEST(C87, "Maximum Latency"), "リクエストの最大レイテンシ（処理遅延）", _xlfn.REGEXTEST(C87, "Garbage Collection Duration"), "Javaのガベージコレクション（GC）の所要時間", _xlfn.REGEXTEST(C87, "Spool Directory Usage"), "Rangerプラグインのスプールディレクトリ使用量", _xlfn.REGEXTEST(C87, "Process Directory Free Space Monitoring Absolute"), "プロセスディレクトリの空き容量（絶対値)", _xlfn.REGEXTEST(C87, "Process Directory Free Space.*Percentage"), "プロセスディレクトリの空き容量割合（%）", _xlfn.REGEXTEST(C87, "Parcel Directory Free Space.*Absolute"), "パーセルディレクトリの空き容量（絶対値）", _xlfn.REGEXTEST(C87, "Parcel Directory Free Space.*Percentage"), "パーセルディレクトリの空き容量割合（%）", _xlfn.REGEXTEST(C87, "Host Network Frame Error Percentage"), "ホストのネットワークフレームエラー割合（%）", _xlfn.REGEXTEST(C87, "Network Interfaces Slow Link Modes"), "ホストのネットワークインターフェースの低速リンクモード検出", _xlfn.REGEXTEST(C87, "Host Memory Swapping"), "ホストのメモリのスワップ発生状態", TRUE, "要手動確認")</f>
        <v>プロセスのスワップメモリ使用量</v>
      </c>
      <c r="H87" s="479" t="s">
        <v>819</v>
      </c>
    </row>
    <row r="88" spans="1:8" ht="33.6">
      <c r="A88" s="514"/>
      <c r="B88" s="470"/>
      <c r="C88" s="471" t="s">
        <v>758</v>
      </c>
      <c r="D88" s="471" t="s">
        <v>759</v>
      </c>
      <c r="E88" s="471" t="s">
        <v>836</v>
      </c>
      <c r="F88" s="471"/>
      <c r="G88" s="471" t="str" cm="1">
        <f t="array" ref="G88">_xlfn.IFS(C88 = "", "", _xlfn.REGEXTEST(C88, "Host Clock Offset"), "ホストのクロックオフセット（時刻同期のズレ）", _xlfn.REGEXTEST(C88, "Memory Overcommit Validation"), "メモリオーバーコミット設定の検証", _xlfn.REGEXTEST(C88, "Gateway Logging"), "ゲートウェイのログ出力設定", _xlfn.REGEXTEST(C88, "CPU Balance"), "CPU使用率の分散バランス状態", _xlfn.REGEXTEST(C88, "Disk Balance"), "ディスク使用量の分散バランス状態", _xlfn.REGEXTEST(C88, "Network Inbound Balance"), "ネットワークインバウンド（受信）の分散バランス状態", _xlfn.REGEXTEST(C88, "Network Outbound Balance"), "ネットワークアウトバウンド（送信）の分散バランス状態", _xlfn.REGEXTEST(C88, "Replica Count Balance"), "レプリカ数の分散バランス状態", _xlfn.REGEXTEST(C88, "Disk Capacity"), "ディスク総容量の限界・使用容量", _xlfn.REGEXTEST(C88, "CPU Capacity"), "CPU総処理能力の限界・使用量", _xlfn.REGEXTEST(C88, "Network Inbound Capacity"), "ネットワークインバウンド（受信）帯域の限界・使用量", _xlfn.REGEXTEST(C88, "Network Outbound Capacity"), "ネットワークアウトバウンド（送信）帯域の限界・使用量", _xlfn.REGEXTEST(C88, "Leader Replica Count Balance"), "リーダーレプリカ数の分散バランス状態", _xlfn.REGEXTEST(C88, "Host DNS Resolution Duration"), "ホストのDNS名前解決の所要時間", _xlfn.REGEXTEST(C88, "TLS Certificate Expiry"), "TLS証明書の有効期限切れ", _xlfn.REGEXTEST(C88, "Host Entropy"), "ホストのエントロピー（乱数生成能力）の不足", _xlfn.REGEXTEST(C88, "File Descriptor"), "プロセスのファイルディスクリプタ使用率", _xlfn.REGEXTEST(C88, "Unexpected Exits"), "プロセスの異常終了（予期せぬ停止）", _xlfn.REGEXTEST(C88, "Swap Memory Thresholds"), "プロセスのスワップメモリ使用量", _xlfn.REGEXTEST(C88, "Swap Memory Usage Rate"), "スワップメモリ使用量の変化率（増加速度）", _xlfn.REGEXTEST(C88, "Log Directory Free Space.*Absolute"), "ログディレクトリの空き容量（絶対値）", _xlfn.REGEXTEST(C88, "Log Directory Free Space.*Percentage"), "ログディレクトリの空き容量割合（%）", _xlfn.REGEXTEST(C88, "Heap Dump Directory Free Space.*Absolute"), "ヒープダンプディレクトリの空き容量（絶対値）", _xlfn.REGEXTEST(C88, "Heap Dump Directory Free Space.*Percentage"), "ヒープダンプディレクトリの空き容量割合（%）", _xlfn.REGEXTEST(C88, "Data Directory Free Space.*Absolute"), "データディレクトリの空き容量（絶対値）", _xlfn.REGEXTEST(C88, "Data Directory Free Space.*Percentage"), "データディレクトリの空き容量割合（%）", _xlfn.REGEXTEST(C88, "Transaction Log Directory Free Space.*Absolute"), "トランザクションログディレクトリの空き容量（絶対値）", _xlfn.REGEXTEST(C88, "Logging Threshold|Logger Threshold"), "ログ出力レベルの閾値設定", _xlfn.REGEXTEST(C88, "Enable.*Alerts"), "ヘルスアラートの有効化状態", _xlfn.REGEXTEST(C88, "Triggers"), "カスタムアラート条件（トリガー設定）", _xlfn.REGEXTEST(C88, "Healthy Kafka Broker"), "Kafka Brokerの健全ノード割合（稼働率）", _xlfn.REGEXTEST(C88, "Healthy Kafka Connect"), "Kafka Connectの健全ノード割合（稼働率）", _xlfn.REGEXTEST(C88, "Healthy KRaft Controller"), "KRaft Controllerの健全ノード割合（稼働率）", _xlfn.REGEXTEST(C88, "Healthy Knox IDBroker"), "Knox IDBrokerの健全ノード割合（稼働率）", _xlfn.REGEXTEST(C88, "Healthy Knox Gateway"), "Knox Gatewayの健全ノード割合（稼働率）", _xlfn.REGEXTEST(C88, "Healthy ZooKeeper Server"), "ZooKeeper Serverの健全ノード割合（稼働率）", _xlfn.REGEXTEST(C88, "Healthy NodeManager"), "NodeManagerの健全ノード割合（稼働率）", _xlfn.REGEXTEST(C88, "Maximum Latency"), "リクエストの最大レイテンシ（処理遅延）", _xlfn.REGEXTEST(C88, "Garbage Collection Duration"), "Javaのガベージコレクション（GC）の所要時間", _xlfn.REGEXTEST(C88, "Spool Directory Usage"), "Rangerプラグインのスプールディレクトリ使用量", _xlfn.REGEXTEST(C88, "Process Directory Free Space Monitoring Absolute"), "プロセスディレクトリの空き容量（絶対値)", _xlfn.REGEXTEST(C88, "Process Directory Free Space.*Percentage"), "プロセスディレクトリの空き容量割合（%）", _xlfn.REGEXTEST(C88, "Parcel Directory Free Space.*Absolute"), "パーセルディレクトリの空き容量（絶対値）", _xlfn.REGEXTEST(C88, "Parcel Directory Free Space.*Percentage"), "パーセルディレクトリの空き容量割合（%）", _xlfn.REGEXTEST(C88, "Host Network Frame Error Percentage"), "ホストのネットワークフレームエラー割合（%）", _xlfn.REGEXTEST(C88, "Network Interfaces Slow Link Modes"), "ホストのネットワークインターフェースの低速リンクモード検出", _xlfn.REGEXTEST(C88, "Host Memory Swapping"), "ホストのメモリのスワップ発生状態", TRUE, "要手動確認")</f>
        <v>スワップメモリ使用量の変化率（増加速度）</v>
      </c>
      <c r="H88" s="479" t="s">
        <v>689</v>
      </c>
    </row>
    <row r="89" spans="1:8" ht="16.899999999999999">
      <c r="A89" s="514"/>
      <c r="B89" s="472" t="s">
        <v>858</v>
      </c>
      <c r="C89" s="471" t="s">
        <v>859</v>
      </c>
      <c r="D89" s="471" t="s">
        <v>772</v>
      </c>
      <c r="E89" s="471" t="s">
        <v>860</v>
      </c>
      <c r="F89" s="471"/>
      <c r="G89" s="471" t="str" cm="1">
        <f t="array" ref="G89">_xlfn.IFS(C89 = "", "", _xlfn.REGEXTEST(C89, "Host Clock Offset"), "ホストのクロックオフセット（時刻同期のズレ）", _xlfn.REGEXTEST(C89, "Memory Overcommit Validation"), "メモリオーバーコミット設定の検証", _xlfn.REGEXTEST(C89, "Gateway Logging"), "ゲートウェイのログ出力設定", _xlfn.REGEXTEST(C89, "CPU Balance"), "CPU使用率の分散バランス状態", _xlfn.REGEXTEST(C89, "Disk Balance"), "ディスク使用量の分散バランス状態", _xlfn.REGEXTEST(C89, "Network Inbound Balance"), "ネットワークインバウンド（受信）の分散バランス状態", _xlfn.REGEXTEST(C89, "Network Outbound Balance"), "ネットワークアウトバウンド（送信）の分散バランス状態", _xlfn.REGEXTEST(C89, "Replica Count Balance"), "レプリカ数の分散バランス状態", _xlfn.REGEXTEST(C89, "Disk Capacity"), "ディスク総容量の限界・使用容量", _xlfn.REGEXTEST(C89, "CPU Capacity"), "CPU総処理能力の限界・使用量", _xlfn.REGEXTEST(C89, "Network Inbound Capacity"), "ネットワークインバウンド（受信）帯域の限界・使用量", _xlfn.REGEXTEST(C89, "Network Outbound Capacity"), "ネットワークアウトバウンド（送信）帯域の限界・使用量", _xlfn.REGEXTEST(C89, "Leader Replica Count Balance"), "リーダーレプリカ数の分散バランス状態", _xlfn.REGEXTEST(C89, "Host DNS Resolution Duration"), "ホストのDNS名前解決の所要時間", _xlfn.REGEXTEST(C89, "TLS Certificate Expiry"), "TLS証明書の有効期限切れ", _xlfn.REGEXTEST(C89, "Host Entropy"), "ホストのエントロピー（乱数生成能力）の不足", _xlfn.REGEXTEST(C89, "File Descriptor"), "プロセスのファイルディスクリプタ使用率", _xlfn.REGEXTEST(C89, "Unexpected Exits"), "プロセスの異常終了（予期せぬ停止）", _xlfn.REGEXTEST(C89, "Swap Memory Thresholds"), "プロセスのスワップメモリ使用量", _xlfn.REGEXTEST(C89, "Swap Memory Usage Rate"), "スワップメモリ使用量の変化率（増加速度）", _xlfn.REGEXTEST(C89, "Log Directory Free Space.*Absolute"), "ログディレクトリの空き容量（絶対値）", _xlfn.REGEXTEST(C89, "Log Directory Free Space.*Percentage"), "ログディレクトリの空き容量割合（%）", _xlfn.REGEXTEST(C89, "Heap Dump Directory Free Space.*Absolute"), "ヒープダンプディレクトリの空き容量（絶対値）", _xlfn.REGEXTEST(C89, "Heap Dump Directory Free Space.*Percentage"), "ヒープダンプディレクトリの空き容量割合（%）", _xlfn.REGEXTEST(C89, "Data Directory Free Space.*Absolute"), "データディレクトリの空き容量（絶対値）", _xlfn.REGEXTEST(C89, "Data Directory Free Space.*Percentage"), "データディレクトリの空き容量割合（%）", _xlfn.REGEXTEST(C89, "Transaction Log Directory Free Space.*Absolute"), "トランザクションログディレクトリの空き容量（絶対値）", _xlfn.REGEXTEST(C89, "Logging Threshold|Logger Threshold"), "ログ出力レベルの閾値設定", _xlfn.REGEXTEST(C89, "Enable.*Alerts"), "ヘルスアラートの有効化状態", _xlfn.REGEXTEST(C89, "Triggers"), "カスタムアラート条件（トリガー設定）", _xlfn.REGEXTEST(C89, "Healthy Kafka Broker"), "Kafka Brokerの健全ノード割合（稼働率）", _xlfn.REGEXTEST(C89, "Healthy Kafka Connect"), "Kafka Connectの健全ノード割合（稼働率）", _xlfn.REGEXTEST(C89, "Healthy KRaft Controller"), "KRaft Controllerの健全ノード割合（稼働率）", _xlfn.REGEXTEST(C89, "Healthy Knox IDBroker"), "Knox IDBrokerの健全ノード割合（稼働率）", _xlfn.REGEXTEST(C89, "Healthy Knox Gateway"), "Knox Gatewayの健全ノード割合（稼働率）", _xlfn.REGEXTEST(C89, "Healthy ZooKeeper Server"), "ZooKeeper Serverの健全ノード割合（稼働率）", _xlfn.REGEXTEST(C89, "Healthy NodeManager"), "NodeManagerの健全ノード割合（稼働率）", _xlfn.REGEXTEST(C89, "Maximum Latency"), "リクエストの最大レイテンシ（処理遅延）", _xlfn.REGEXTEST(C89, "Garbage Collection Duration"), "Javaのガベージコレクション（GC）の所要時間", _xlfn.REGEXTEST(C89, "Spool Directory Usage"), "Rangerプラグインのスプールディレクトリ使用量", _xlfn.REGEXTEST(C89, "Process Directory Free Space Monitoring Absolute"), "プロセスディレクトリの空き容量（絶対値)", _xlfn.REGEXTEST(C89, "Process Directory Free Space.*Percentage"), "プロセスディレクトリの空き容量割合（%）", _xlfn.REGEXTEST(C89, "Parcel Directory Free Space.*Absolute"), "パーセルディレクトリの空き容量（絶対値）", _xlfn.REGEXTEST(C89, "Parcel Directory Free Space.*Percentage"), "パーセルディレクトリの空き容量割合（%）", _xlfn.REGEXTEST(C89, "Host Network Frame Error Percentage"), "ホストのネットワークフレームエラー割合（%）", _xlfn.REGEXTEST(C89, "Network Interfaces Slow Link Modes"), "ホストのネットワークインターフェースの低速リンクモード検出", _xlfn.REGEXTEST(C89, "Host Memory Swapping"), "ホストのメモリのスワップ発生状態", TRUE, "要手動確認")</f>
        <v>ログ出力レベルの閾値設定</v>
      </c>
      <c r="H89" s="479" t="s">
        <v>775</v>
      </c>
    </row>
    <row r="90" spans="1:8" ht="33.6">
      <c r="A90" s="468"/>
      <c r="B90" s="473"/>
      <c r="C90" s="471" t="s">
        <v>861</v>
      </c>
      <c r="D90" s="471" t="s">
        <v>862</v>
      </c>
      <c r="E90" s="471" t="s">
        <v>863</v>
      </c>
      <c r="F90" s="471"/>
      <c r="G90" s="471" t="str" cm="1">
        <f t="array" ref="G90">_xlfn.IFS(C90 = "", "", _xlfn.REGEXTEST(C90, "Schema Registry Server Monitoring"), "Schema Registry Serverの稼働状態監視", _xlfn.REGEXTEST(C90, "SRM Service Monitoring"), "SRMサービスの稼働状態監視", _xlfn.REGEXTEST(C90, "SRM Driver Monitoring"), "SRMドライバーの稼働状態監視", _xlfn.REGEXTEST(C90, "Loggin"), "ログ出力状態・設定監視", _xlfn.REGEXTEST(C90, "Server Monitoring"), "サーバーの稼働状態監視", _xlfn.REGEXTEST(C90, "Server Connection Count"), "サーバーの接続数（コネクション数）", _xlfn.REGEXTEST(C90, "Server Outstanding Requests"), "サーバーの未処理リクエスト数（滞留要求数）", _xlfn.REGEXTEST(C90, "Repository Status"), "リポジトリのステータス状態", _xlfn.REGEXTEST(C90, "Monitor Long Running Task"), "長時間実行タスク（ジョブ）の監視", _xlfn.REGEXTEST(C90, "Token requests per second"), "1秒あたりのトークンリクエスト数（要求レート）", _xlfn.REGEXTEST(C90, "Connection Model Score"), "接続モデルスコア（コネクション品質）", _xlfn.REGEXTEST(C90, "Queue swap"), "キューのスワップ発生状態", _xlfn.REGEXTEST(C90, "NiFi Node Monitoring"), "NiFiノードの稼働状態監視", _xlfn.REGEXTEST(C90, "Host Clock Offset"), "ホストのクロックオフセット（時刻同期のズレ）", _xlfn.REGEXTEST(C90, "Memory Overcommit Validation"), "メモリオーバーコミット設定の検証", _xlfn.REGEXTEST(C90, "Gateway Logging"), "ゲートウェイのログ出力設定", _xlfn.REGEXTEST(C90, "CPU Balance"), "CPU使用率の分散バランス状態", _xlfn.REGEXTEST(C90, "Disk Balance"), "ディスク使用量の分散バランス状態", _xlfn.REGEXTEST(C90, "Network Inbound Balance"), "ネットワークインバウンド（受信）の分散バランス状態", _xlfn.REGEXTEST(C90, "Network Outbound Balance"), "ネットワークアウトバウンド（送信）の分散バランス状態", _xlfn.REGEXTEST(C90, "Replica Count Balance"), "レプリカ数の分散バランス状態", _xlfn.REGEXTEST(C90, "Disk Capacity"), "ディスク総容量の限界・使用容量", _xlfn.REGEXTEST(C90, "CPU Capacity"), "CPU総処理能力の限界・使用量", _xlfn.REGEXTEST(C90, "Network Inbound Capacity"), "ネットワークインバウンド（受信）帯域の限界・使用量", _xlfn.REGEXTEST(C90, "Network Outbound Capacity"), "ネットワークアウトバウンド（送信）帯域の限界・使用量", _xlfn.REGEXTEST(C90, "Leader Replica Count Balance"), "リーダーレプリカ数の分散バランス状態", _xlfn.REGEXTEST(C90, "Host DNS Resolution Duration"), "ホストのDNS名前解決の所要時間", _xlfn.REGEXTEST(C90, "TLS Certificate Expiry"), "TLS証明書の有効期限切れ", _xlfn.REGEXTEST(C90, "Host Entropy"), "ホストのエントロピー（乱数生成能力）の不足", _xlfn.REGEXTEST(C90, "File Descriptor"), "プロセスのファイルディスクリプタ使用率", _xlfn.REGEXTEST(C90, "Unexpected Exits"), "プロセスの異常終了（予期せぬ停止）", _xlfn.REGEXTEST(C90, "Swap Memory Thresholds"), "プロセスのスワップメモリ使用量", _xlfn.REGEXTEST(C90, "Swap Memory Usage Rate"), "スワップメモリ使用量の変化率（増加速度）", _xlfn.REGEXTEST(C90, "Log Directory Free Space.*Absolute"), "ログディレクトリの空き容量（絶対値）", _xlfn.REGEXTEST(C90, "Log Directory Free Space.*Percentage"), "ログディレクトリの空き容量割合（%）", _xlfn.REGEXTEST(C90, "Heap Dump Directory Free Space.*Absolute"), "ヒープダンプディレクトリの空き容量（絶対値）", _xlfn.REGEXTEST(C90, "Heap Dump Directory Free Space.*Percentage"), "ヒープダンプディレクトリの空き容量割合（%）", _xlfn.REGEXTEST(C90, "Data Directory Free Space.*Absolute"), "データディレクトリの空き容量（絶対値）", _xlfn.REGEXTEST(C90, "Data Directory Free Space.*Percentage"), "データディレクトリの空き容量割合（%）", _xlfn.REGEXTEST(C90, "Transaction Log Directory Free Space.*Absolute"), "トランザクションログディレクトリの空き容量（絶対値）", _xlfn.REGEXTEST(C90, "Logging Threshold|Logger Threshold"), "ログ出力レベルの閾値設定", _xlfn.REGEXTEST(C90, "Enable.*Alerts"), "ヘルスアラートの有効化状態", _xlfn.REGEXTEST(C90, "Triggers"), "カスタムアラート条件（トリガー設定）", _xlfn.REGEXTEST(C90, "Healthy Kafka Broker"), "Kafka Brokerの健全ノード割合（稼働率）", _xlfn.REGEXTEST(C90, "Healthy Kafka Connect"), "Kafka Connectの健全ノード割合（稼働率）", _xlfn.REGEXTEST(C90, "Healthy KRaft Controller"), "KRaft Controllerの健全ノード割合（稼働率）", _xlfn.REGEXTEST(C90, "Healthy Knox IDBroker"), "Knox IDBrokerの健全ノード割合（稼働率）", _xlfn.REGEXTEST(C90, "Healthy Knox Gateway"), "Knox Gatewayの健全ノード割合（稼働率）", _xlfn.REGEXTEST(C90, "Healthy ZooKeeper Server"), "ZooKeeper Serverの健全ノード割合（稼働率）", _xlfn.REGEXTEST(C90, "Healthy NodeManager"), "NodeManagerの健全ノード割合（稼働率）", _xlfn.REGEXTEST(C90, "Maximum Latency"), "リクエストの最大レイテンシ（処理遅延）", _xlfn.REGEXTEST(C90, "Garbage Collection Duration"), "Javaのガベージコレクション（GC）の所要時間", _xlfn.REGEXTEST(C90, "Spool Directory Usage"), "Rangerプラグインのスプールディレクトリ使用量", _xlfn.REGEXTEST(C90, "Process Directory Free Space Monitoring Absolute"), "プロセスディレクトリの空き容量（絶対値)", _xlfn.REGEXTEST(C90, "Process Directory Free Space.*Percentage"), "プロセスディレクトリの空き容量割合（%）", _xlfn.REGEXTEST(C90, "Parcel Directory Free Space.*Absolute"), "パーセルディレクトリの空き容量（絶対値）", _xlfn.REGEXTEST(C90, "Parcel Directory Free Space.*Percentage"), "パーセルディレクトリの空き容量割合（%）", _xlfn.REGEXTEST(C90, "Host Network Frame Error Percentage"), "ホストのネットワークフレームエラー割合（%）", _xlfn.REGEXTEST(C90, "Network Interfaces Slow Link Modes"), "ホストのネットワークインターフェースの低速リンクモード検出", _xlfn.REGEXTEST(C90, "Host Memory Swapping"), "ホストのメモリのスワップ発生状態", TRUE, "要手動確認")</f>
        <v>Schema Registry Serverの稼働状態監視</v>
      </c>
      <c r="H90" s="479" t="s">
        <v>864</v>
      </c>
    </row>
    <row r="91" spans="1:8" ht="33.6">
      <c r="A91" s="468"/>
      <c r="B91" s="473"/>
      <c r="C91" s="471" t="s">
        <v>736</v>
      </c>
      <c r="D91" s="471" t="s">
        <v>865</v>
      </c>
      <c r="E91" s="471" t="s">
        <v>860</v>
      </c>
      <c r="F91" s="471"/>
      <c r="G91" s="471" t="str" cm="1">
        <f t="array" ref="G91">_xlfn.IFS(C91 = "", "", _xlfn.REGEXTEST(C91, "Schema Registry Server Monitoring"), "Schema Registry Serverの稼働状態監視", _xlfn.REGEXTEST(C91, "SRM Service Monitoring"), "SRMサービスの稼働状態監視", _xlfn.REGEXTEST(C91, "SRM Driver Monitoring"), "SRMドライバーの稼働状態監視", _xlfn.REGEXTEST(C91, "Loggin"), "ログ出力状態・設定監視", _xlfn.REGEXTEST(C91, "Server Monitoring"), "サーバーの稼働状態監視", _xlfn.REGEXTEST(C91, "Server Connection Count"), "サーバーの接続数（コネクション数）", _xlfn.REGEXTEST(C91, "Server Outstanding Requests"), "サーバーの未処理リクエスト数（滞留要求数）", _xlfn.REGEXTEST(C91, "Repository Status"), "リポジトリのステータス状態", _xlfn.REGEXTEST(C91, "Monitor Long Running Task"), "長時間実行タスク（ジョブ）の監視", _xlfn.REGEXTEST(C91, "Token requests per second"), "1秒あたりのトークンリクエスト数（要求レート）", _xlfn.REGEXTEST(C91, "Connection Model Score"), "接続モデルスコア（コネクション品質）", _xlfn.REGEXTEST(C91, "Queue swap"), "キューのスワップ発生状態", _xlfn.REGEXTEST(C91, "NiFi Node Monitoring"), "NiFiノードの稼働状態監視", _xlfn.REGEXTEST(C91, "Host Clock Offset"), "ホストのクロックオフセット（時刻同期のズレ）", _xlfn.REGEXTEST(C91, "Memory Overcommit Validation"), "メモリオーバーコミット設定の検証", _xlfn.REGEXTEST(C91, "Gateway Logging"), "ゲートウェイのログ出力設定", _xlfn.REGEXTEST(C91, "CPU Balance"), "CPU使用率の分散バランス状態", _xlfn.REGEXTEST(C91, "Disk Balance"), "ディスク使用量の分散バランス状態", _xlfn.REGEXTEST(C91, "Network Inbound Balance"), "ネットワークインバウンド（受信）の分散バランス状態", _xlfn.REGEXTEST(C91, "Network Outbound Balance"), "ネットワークアウトバウンド（送信）の分散バランス状態", _xlfn.REGEXTEST(C91, "Replica Count Balance"), "レプリカ数の分散バランス状態", _xlfn.REGEXTEST(C91, "Disk Capacity"), "ディスク総容量の限界・使用容量", _xlfn.REGEXTEST(C91, "CPU Capacity"), "CPU総処理能力の限界・使用量", _xlfn.REGEXTEST(C91, "Network Inbound Capacity"), "ネットワークインバウンド（受信）帯域の限界・使用量", _xlfn.REGEXTEST(C91, "Network Outbound Capacity"), "ネットワークアウトバウンド（送信）帯域の限界・使用量", _xlfn.REGEXTEST(C91, "Leader Replica Count Balance"), "リーダーレプリカ数の分散バランス状態", _xlfn.REGEXTEST(C91, "Host DNS Resolution Duration"), "ホストのDNS名前解決の所要時間", _xlfn.REGEXTEST(C91, "TLS Certificate Expiry"), "TLS証明書の有効期限切れ", _xlfn.REGEXTEST(C91, "Host Entropy"), "ホストのエントロピー（乱数生成能力）の不足", _xlfn.REGEXTEST(C91, "File Descriptor"), "プロセスのファイルディスクリプタ使用率", _xlfn.REGEXTEST(C91, "Unexpected Exits"), "プロセスの異常終了（予期せぬ停止）", _xlfn.REGEXTEST(C91, "Swap Memory Thresholds"), "プロセスのスワップメモリ使用量", _xlfn.REGEXTEST(C91, "Swap Memory Usage Rate"), "スワップメモリ使用量の変化率（増加速度）", _xlfn.REGEXTEST(C91, "Log Directory Free Space.*Absolute"), "ログディレクトリの空き容量（絶対値）", _xlfn.REGEXTEST(C91, "Log Directory Free Space.*Percentage"), "ログディレクトリの空き容量割合（%）", _xlfn.REGEXTEST(C91, "Heap Dump Directory Free Space.*Absolute"), "ヒープダンプディレクトリの空き容量（絶対値）", _xlfn.REGEXTEST(C91, "Heap Dump Directory Free Space.*Percentage"), "ヒープダンプディレクトリの空き容量割合（%）", _xlfn.REGEXTEST(C91, "Data Directory Free Space.*Absolute"), "データディレクトリの空き容量（絶対値）", _xlfn.REGEXTEST(C91, "Data Directory Free Space.*Percentage"), "データディレクトリの空き容量割合（%）", _xlfn.REGEXTEST(C91, "Transaction Log Directory Free Space.*Absolute"), "トランザクションログディレクトリの空き容量（絶対値）", _xlfn.REGEXTEST(C91, "Logging Threshold|Logger Threshold"), "ログ出力レベルの閾値設定", _xlfn.REGEXTEST(C91, "Enable.*Alerts"), "ヘルスアラートの有効化状態", _xlfn.REGEXTEST(C91, "Triggers"), "カスタムアラート条件（トリガー設定）", _xlfn.REGEXTEST(C91, "Healthy Kafka Broker"), "Kafka Brokerの健全ノード割合（稼働率）", _xlfn.REGEXTEST(C91, "Healthy Kafka Connect"), "Kafka Connectの健全ノード割合（稼働率）", _xlfn.REGEXTEST(C91, "Healthy KRaft Controller"), "KRaft Controllerの健全ノード割合（稼働率）", _xlfn.REGEXTEST(C91, "Healthy Knox IDBroker"), "Knox IDBrokerの健全ノード割合（稼働率）", _xlfn.REGEXTEST(C91, "Healthy Knox Gateway"), "Knox Gatewayの健全ノード割合（稼働率）", _xlfn.REGEXTEST(C91, "Healthy ZooKeeper Server"), "ZooKeeper Serverの健全ノード割合（稼働率）", _xlfn.REGEXTEST(C91, "Healthy NodeManager"), "NodeManagerの健全ノード割合（稼働率）", _xlfn.REGEXTEST(C91, "Maximum Latency"), "リクエストの最大レイテンシ（処理遅延）", _xlfn.REGEXTEST(C91, "Garbage Collection Duration"), "Javaのガベージコレクション（GC）の所要時間", _xlfn.REGEXTEST(C91, "Spool Directory Usage"), "Rangerプラグインのスプールディレクトリ使用量", _xlfn.REGEXTEST(C91, "Process Directory Free Space Monitoring Absolute"), "プロセスディレクトリの空き容量（絶対値)", _xlfn.REGEXTEST(C91, "Process Directory Free Space.*Percentage"), "プロセスディレクトリの空き容量割合（%）", _xlfn.REGEXTEST(C91, "Parcel Directory Free Space.*Absolute"), "パーセルディレクトリの空き容量（絶対値）", _xlfn.REGEXTEST(C91, "Parcel Directory Free Space.*Percentage"), "パーセルディレクトリの空き容量割合（%）", _xlfn.REGEXTEST(C91, "Host Network Frame Error Percentage"), "ホストのネットワークフレームエラー割合（%）", _xlfn.REGEXTEST(C91, "Network Interfaces Slow Link Modes"), "ホストのネットワークインターフェースの低速リンクモード検出", _xlfn.REGEXTEST(C91, "Host Memory Swapping"), "ホストのメモリのスワップ発生状態", TRUE, "要手動確認")</f>
        <v>プロセスのファイルディスクリプタ使用率</v>
      </c>
      <c r="H91" s="479" t="s">
        <v>813</v>
      </c>
    </row>
    <row r="92" spans="1:8" ht="33.6">
      <c r="A92" s="468"/>
      <c r="B92" s="473"/>
      <c r="C92" s="471" t="s">
        <v>741</v>
      </c>
      <c r="D92" s="471" t="s">
        <v>742</v>
      </c>
      <c r="E92" s="471" t="s">
        <v>860</v>
      </c>
      <c r="F92" s="471"/>
      <c r="G92" s="471" t="str" cm="1">
        <f t="array" ref="G92">_xlfn.IFS(C92 = "", "", _xlfn.REGEXTEST(C92, "Schema Registry Server Monitoring"), "Schema Registry Serverの稼働状態監視", _xlfn.REGEXTEST(C92, "SRM Service Monitoring"), "SRMサービスの稼働状態監視", _xlfn.REGEXTEST(C92, "SRM Driver Monitoring"), "SRMドライバーの稼働状態監視", _xlfn.REGEXTEST(C92, "Loggin"), "ログ出力状態・設定監視", _xlfn.REGEXTEST(C92, "Server Monitoring"), "サーバーの稼働状態監視", _xlfn.REGEXTEST(C92, "Server Connection Count"), "サーバーの接続数（コネクション数）", _xlfn.REGEXTEST(C92, "Server Outstanding Requests"), "サーバーの未処理リクエスト数（滞留要求数）", _xlfn.REGEXTEST(C92, "Repository Status"), "リポジトリのステータス状態", _xlfn.REGEXTEST(C92, "Monitor Long Running Task"), "長時間実行タスク（ジョブ）の監視", _xlfn.REGEXTEST(C92, "Token requests per second"), "1秒あたりのトークンリクエスト数（要求レート）", _xlfn.REGEXTEST(C92, "Connection Model Score"), "接続モデルスコア（コネクション品質）", _xlfn.REGEXTEST(C92, "Queue swap"), "キューのスワップ発生状態", _xlfn.REGEXTEST(C92, "NiFi Node Monitoring"), "NiFiノードの稼働状態監視", _xlfn.REGEXTEST(C92, "Host Clock Offset"), "ホストのクロックオフセット（時刻同期のズレ）", _xlfn.REGEXTEST(C92, "Memory Overcommit Validation"), "メモリオーバーコミット設定の検証", _xlfn.REGEXTEST(C92, "Gateway Logging"), "ゲートウェイのログ出力設定", _xlfn.REGEXTEST(C92, "CPU Balance"), "CPU使用率の分散バランス状態", _xlfn.REGEXTEST(C92, "Disk Balance"), "ディスク使用量の分散バランス状態", _xlfn.REGEXTEST(C92, "Network Inbound Balance"), "ネットワークインバウンド（受信）の分散バランス状態", _xlfn.REGEXTEST(C92, "Network Outbound Balance"), "ネットワークアウトバウンド（送信）の分散バランス状態", _xlfn.REGEXTEST(C92, "Replica Count Balance"), "レプリカ数の分散バランス状態", _xlfn.REGEXTEST(C92, "Disk Capacity"), "ディスク総容量の限界・使用容量", _xlfn.REGEXTEST(C92, "CPU Capacity"), "CPU総処理能力の限界・使用量", _xlfn.REGEXTEST(C92, "Network Inbound Capacity"), "ネットワークインバウンド（受信）帯域の限界・使用量", _xlfn.REGEXTEST(C92, "Network Outbound Capacity"), "ネットワークアウトバウンド（送信）帯域の限界・使用量", _xlfn.REGEXTEST(C92, "Leader Replica Count Balance"), "リーダーレプリカ数の分散バランス状態", _xlfn.REGEXTEST(C92, "Host DNS Resolution Duration"), "ホストのDNS名前解決の所要時間", _xlfn.REGEXTEST(C92, "TLS Certificate Expiry"), "TLS証明書の有効期限切れ", _xlfn.REGEXTEST(C92, "Host Entropy"), "ホストのエントロピー（乱数生成能力）の不足", _xlfn.REGEXTEST(C92, "File Descriptor"), "プロセスのファイルディスクリプタ使用率", _xlfn.REGEXTEST(C92, "Unexpected Exits"), "プロセスの異常終了（予期せぬ停止）", _xlfn.REGEXTEST(C92, "Swap Memory Thresholds"), "プロセスのスワップメモリ使用量", _xlfn.REGEXTEST(C92, "Swap Memory Usage Rate"), "スワップメモリ使用量の変化率（増加速度）", _xlfn.REGEXTEST(C92, "Log Directory Free Space.*Absolute"), "ログディレクトリの空き容量（絶対値）", _xlfn.REGEXTEST(C92, "Log Directory Free Space.*Percentage"), "ログディレクトリの空き容量割合（%）", _xlfn.REGEXTEST(C92, "Heap Dump Directory Free Space.*Absolute"), "ヒープダンプディレクトリの空き容量（絶対値）", _xlfn.REGEXTEST(C92, "Heap Dump Directory Free Space.*Percentage"), "ヒープダンプディレクトリの空き容量割合（%）", _xlfn.REGEXTEST(C92, "Data Directory Free Space.*Absolute"), "データディレクトリの空き容量（絶対値）", _xlfn.REGEXTEST(C92, "Data Directory Free Space.*Percentage"), "データディレクトリの空き容量割合（%）", _xlfn.REGEXTEST(C92, "Transaction Log Directory Free Space.*Absolute"), "トランザクションログディレクトリの空き容量（絶対値）", _xlfn.REGEXTEST(C92, "Logging Threshold|Logger Threshold"), "ログ出力レベルの閾値設定", _xlfn.REGEXTEST(C92, "Enable.*Alerts"), "ヘルスアラートの有効化状態", _xlfn.REGEXTEST(C92, "Triggers"), "カスタムアラート条件（トリガー設定）", _xlfn.REGEXTEST(C92, "Healthy Kafka Broker"), "Kafka Brokerの健全ノード割合（稼働率）", _xlfn.REGEXTEST(C92, "Healthy Kafka Connect"), "Kafka Connectの健全ノード割合（稼働率）", _xlfn.REGEXTEST(C92, "Healthy KRaft Controller"), "KRaft Controllerの健全ノード割合（稼働率）", _xlfn.REGEXTEST(C92, "Healthy Knox IDBroker"), "Knox IDBrokerの健全ノード割合（稼働率）", _xlfn.REGEXTEST(C92, "Healthy Knox Gateway"), "Knox Gatewayの健全ノード割合（稼働率）", _xlfn.REGEXTEST(C92, "Healthy ZooKeeper Server"), "ZooKeeper Serverの健全ノード割合（稼働率）", _xlfn.REGEXTEST(C92, "Healthy NodeManager"), "NodeManagerの健全ノード割合（稼働率）", _xlfn.REGEXTEST(C92, "Maximum Latency"), "リクエストの最大レイテンシ（処理遅延）", _xlfn.REGEXTEST(C92, "Garbage Collection Duration"), "Javaのガベージコレクション（GC）の所要時間", _xlfn.REGEXTEST(C92, "Spool Directory Usage"), "Rangerプラグインのスプールディレクトリ使用量", _xlfn.REGEXTEST(C92, "Process Directory Free Space Monitoring Absolute"), "プロセスディレクトリの空き容量（絶対値)", _xlfn.REGEXTEST(C92, "Process Directory Free Space.*Percentage"), "プロセスディレクトリの空き容量割合（%）", _xlfn.REGEXTEST(C92, "Parcel Directory Free Space.*Absolute"), "パーセルディレクトリの空き容量（絶対値）", _xlfn.REGEXTEST(C92, "Parcel Directory Free Space.*Percentage"), "パーセルディレクトリの空き容量割合（%）", _xlfn.REGEXTEST(C92, "Host Network Frame Error Percentage"), "ホストのネットワークフレームエラー割合（%）", _xlfn.REGEXTEST(C92, "Network Interfaces Slow Link Modes"), "ホストのネットワークインターフェースの低速リンクモード検出", _xlfn.REGEXTEST(C92, "Host Memory Swapping"), "ホストのメモリのスワップ発生状態", TRUE, "要手動確認")</f>
        <v>ログディレクトリの空き容量（絶対値）</v>
      </c>
      <c r="H92" s="479" t="s">
        <v>692</v>
      </c>
    </row>
    <row r="93" spans="1:8" ht="33.6">
      <c r="A93" s="468"/>
      <c r="B93" s="473"/>
      <c r="C93" s="471" t="s">
        <v>746</v>
      </c>
      <c r="D93" s="471" t="s">
        <v>747</v>
      </c>
      <c r="E93" s="471" t="s">
        <v>860</v>
      </c>
      <c r="F93" s="471"/>
      <c r="G93" s="471" t="str" cm="1">
        <f t="array" ref="G93">_xlfn.IFS(C93 = "", "", _xlfn.REGEXTEST(C93, "Schema Registry Server Monitoring"), "Schema Registry Serverの稼働状態監視", _xlfn.REGEXTEST(C93, "SRM Service Monitoring"), "SRMサービスの稼働状態監視", _xlfn.REGEXTEST(C93, "SRM Driver Monitoring"), "SRMドライバーの稼働状態監視", _xlfn.REGEXTEST(C93, "Loggin"), "ログ出力状態・設定監視", _xlfn.REGEXTEST(C93, "Server Monitoring"), "サーバーの稼働状態監視", _xlfn.REGEXTEST(C93, "Server Connection Count"), "サーバーの接続数（コネクション数）", _xlfn.REGEXTEST(C93, "Server Outstanding Requests"), "サーバーの未処理リクエスト数（滞留要求数）", _xlfn.REGEXTEST(C93, "Repository Status"), "リポジトリのステータス状態", _xlfn.REGEXTEST(C93, "Monitor Long Running Task"), "長時間実行タスク（ジョブ）の監視", _xlfn.REGEXTEST(C93, "Token requests per second"), "1秒あたりのトークンリクエスト数（要求レート）", _xlfn.REGEXTEST(C93, "Connection Model Score"), "接続モデルスコア（コネクション品質）", _xlfn.REGEXTEST(C93, "Queue swap"), "キューのスワップ発生状態", _xlfn.REGEXTEST(C93, "NiFi Node Monitoring"), "NiFiノードの稼働状態監視", _xlfn.REGEXTEST(C93, "Host Clock Offset"), "ホストのクロックオフセット（時刻同期のズレ）", _xlfn.REGEXTEST(C93, "Memory Overcommit Validation"), "メモリオーバーコミット設定の検証", _xlfn.REGEXTEST(C93, "Gateway Logging"), "ゲートウェイのログ出力設定", _xlfn.REGEXTEST(C93, "CPU Balance"), "CPU使用率の分散バランス状態", _xlfn.REGEXTEST(C93, "Disk Balance"), "ディスク使用量の分散バランス状態", _xlfn.REGEXTEST(C93, "Network Inbound Balance"), "ネットワークインバウンド（受信）の分散バランス状態", _xlfn.REGEXTEST(C93, "Network Outbound Balance"), "ネットワークアウトバウンド（送信）の分散バランス状態", _xlfn.REGEXTEST(C93, "Replica Count Balance"), "レプリカ数の分散バランス状態", _xlfn.REGEXTEST(C93, "Disk Capacity"), "ディスク総容量の限界・使用容量", _xlfn.REGEXTEST(C93, "CPU Capacity"), "CPU総処理能力の限界・使用量", _xlfn.REGEXTEST(C93, "Network Inbound Capacity"), "ネットワークインバウンド（受信）帯域の限界・使用量", _xlfn.REGEXTEST(C93, "Network Outbound Capacity"), "ネットワークアウトバウンド（送信）帯域の限界・使用量", _xlfn.REGEXTEST(C93, "Leader Replica Count Balance"), "リーダーレプリカ数の分散バランス状態", _xlfn.REGEXTEST(C93, "Host DNS Resolution Duration"), "ホストのDNS名前解決の所要時間", _xlfn.REGEXTEST(C93, "TLS Certificate Expiry"), "TLS証明書の有効期限切れ", _xlfn.REGEXTEST(C93, "Host Entropy"), "ホストのエントロピー（乱数生成能力）の不足", _xlfn.REGEXTEST(C93, "File Descriptor"), "プロセスのファイルディスクリプタ使用率", _xlfn.REGEXTEST(C93, "Unexpected Exits"), "プロセスの異常終了（予期せぬ停止）", _xlfn.REGEXTEST(C93, "Swap Memory Thresholds"), "プロセスのスワップメモリ使用量", _xlfn.REGEXTEST(C93, "Swap Memory Usage Rate"), "スワップメモリ使用量の変化率（増加速度）", _xlfn.REGEXTEST(C93, "Log Directory Free Space.*Absolute"), "ログディレクトリの空き容量（絶対値）", _xlfn.REGEXTEST(C93, "Log Directory Free Space.*Percentage"), "ログディレクトリの空き容量割合（%）", _xlfn.REGEXTEST(C93, "Heap Dump Directory Free Space.*Absolute"), "ヒープダンプディレクトリの空き容量（絶対値）", _xlfn.REGEXTEST(C93, "Heap Dump Directory Free Space.*Percentage"), "ヒープダンプディレクトリの空き容量割合（%）", _xlfn.REGEXTEST(C93, "Data Directory Free Space.*Absolute"), "データディレクトリの空き容量（絶対値）", _xlfn.REGEXTEST(C93, "Data Directory Free Space.*Percentage"), "データディレクトリの空き容量割合（%）", _xlfn.REGEXTEST(C93, "Transaction Log Directory Free Space.*Absolute"), "トランザクションログディレクトリの空き容量（絶対値）", _xlfn.REGEXTEST(C93, "Logging Threshold|Logger Threshold"), "ログ出力レベルの閾値設定", _xlfn.REGEXTEST(C93, "Enable.*Alerts"), "ヘルスアラートの有効化状態", _xlfn.REGEXTEST(C93, "Triggers"), "カスタムアラート条件（トリガー設定）", _xlfn.REGEXTEST(C93, "Healthy Kafka Broker"), "Kafka Brokerの健全ノード割合（稼働率）", _xlfn.REGEXTEST(C93, "Healthy Kafka Connect"), "Kafka Connectの健全ノード割合（稼働率）", _xlfn.REGEXTEST(C93, "Healthy KRaft Controller"), "KRaft Controllerの健全ノード割合（稼働率）", _xlfn.REGEXTEST(C93, "Healthy Knox IDBroker"), "Knox IDBrokerの健全ノード割合（稼働率）", _xlfn.REGEXTEST(C93, "Healthy Knox Gateway"), "Knox Gatewayの健全ノード割合（稼働率）", _xlfn.REGEXTEST(C93, "Healthy ZooKeeper Server"), "ZooKeeper Serverの健全ノード割合（稼働率）", _xlfn.REGEXTEST(C93, "Healthy NodeManager"), "NodeManagerの健全ノード割合（稼働率）", _xlfn.REGEXTEST(C93, "Maximum Latency"), "リクエストの最大レイテンシ（処理遅延）", _xlfn.REGEXTEST(C93, "Garbage Collection Duration"), "Javaのガベージコレクション（GC）の所要時間", _xlfn.REGEXTEST(C93, "Spool Directory Usage"), "Rangerプラグインのスプールディレクトリ使用量", _xlfn.REGEXTEST(C93, "Process Directory Free Space Monitoring Absolute"), "プロセスディレクトリの空き容量（絶対値)", _xlfn.REGEXTEST(C93, "Process Directory Free Space.*Percentage"), "プロセスディレクトリの空き容量割合（%）", _xlfn.REGEXTEST(C93, "Parcel Directory Free Space.*Absolute"), "パーセルディレクトリの空き容量（絶対値）", _xlfn.REGEXTEST(C93, "Parcel Directory Free Space.*Percentage"), "パーセルディレクトリの空き容量割合（%）", _xlfn.REGEXTEST(C93, "Host Network Frame Error Percentage"), "ホストのネットワークフレームエラー割合（%）", _xlfn.REGEXTEST(C93, "Network Interfaces Slow Link Modes"), "ホストのネットワークインターフェースの低速リンクモード検出", _xlfn.REGEXTEST(C93, "Host Memory Swapping"), "ホストのメモリのスワップ発生状態", TRUE, "要手動確認")</f>
        <v>ログディレクトリの空き容量割合（%）</v>
      </c>
      <c r="H93" s="479" t="s">
        <v>689</v>
      </c>
    </row>
    <row r="94" spans="1:8" ht="33.6">
      <c r="A94" s="468"/>
      <c r="B94" s="473"/>
      <c r="C94" s="471" t="s">
        <v>749</v>
      </c>
      <c r="D94" s="471" t="s">
        <v>750</v>
      </c>
      <c r="E94" s="471" t="s">
        <v>860</v>
      </c>
      <c r="F94" s="471"/>
      <c r="G94" s="471" t="str" cm="1">
        <f t="array" ref="G94">_xlfn.IFS(C94 = "", "", _xlfn.REGEXTEST(C94, "Schema Registry Server Monitoring"), "Schema Registry Serverの稼働状態監視", _xlfn.REGEXTEST(C94, "SRM Service Monitoring"), "SRMサービスの稼働状態監視", _xlfn.REGEXTEST(C94, "SRM Driver Monitoring"), "SRMドライバーの稼働状態監視", _xlfn.REGEXTEST(C94, "Loggin"), "ログ出力状態・設定監視", _xlfn.REGEXTEST(C94, "Server Monitoring"), "サーバーの稼働状態監視", _xlfn.REGEXTEST(C94, "Server Connection Count"), "サーバーの接続数（コネクション数）", _xlfn.REGEXTEST(C94, "Server Outstanding Requests"), "サーバーの未処理リクエスト数（滞留要求数）", _xlfn.REGEXTEST(C94, "Repository Status"), "リポジトリのステータス状態", _xlfn.REGEXTEST(C94, "Monitor Long Running Task"), "長時間実行タスク（ジョブ）の監視", _xlfn.REGEXTEST(C94, "Token requests per second"), "1秒あたりのトークンリクエスト数（要求レート）", _xlfn.REGEXTEST(C94, "Connection Model Score"), "接続モデルスコア（コネクション品質）", _xlfn.REGEXTEST(C94, "Queue swap"), "キューのスワップ発生状態", _xlfn.REGEXTEST(C94, "NiFi Node Monitoring"), "NiFiノードの稼働状態監視", _xlfn.REGEXTEST(C94, "Host Clock Offset"), "ホストのクロックオフセット（時刻同期のズレ）", _xlfn.REGEXTEST(C94, "Memory Overcommit Validation"), "メモリオーバーコミット設定の検証", _xlfn.REGEXTEST(C94, "Gateway Logging"), "ゲートウェイのログ出力設定", _xlfn.REGEXTEST(C94, "CPU Balance"), "CPU使用率の分散バランス状態", _xlfn.REGEXTEST(C94, "Disk Balance"), "ディスク使用量の分散バランス状態", _xlfn.REGEXTEST(C94, "Network Inbound Balance"), "ネットワークインバウンド（受信）の分散バランス状態", _xlfn.REGEXTEST(C94, "Network Outbound Balance"), "ネットワークアウトバウンド（送信）の分散バランス状態", _xlfn.REGEXTEST(C94, "Replica Count Balance"), "レプリカ数の分散バランス状態", _xlfn.REGEXTEST(C94, "Disk Capacity"), "ディスク総容量の限界・使用容量", _xlfn.REGEXTEST(C94, "CPU Capacity"), "CPU総処理能力の限界・使用量", _xlfn.REGEXTEST(C94, "Network Inbound Capacity"), "ネットワークインバウンド（受信）帯域の限界・使用量", _xlfn.REGEXTEST(C94, "Network Outbound Capacity"), "ネットワークアウトバウンド（送信）帯域の限界・使用量", _xlfn.REGEXTEST(C94, "Leader Replica Count Balance"), "リーダーレプリカ数の分散バランス状態", _xlfn.REGEXTEST(C94, "Host DNS Resolution Duration"), "ホストのDNS名前解決の所要時間", _xlfn.REGEXTEST(C94, "TLS Certificate Expiry"), "TLS証明書の有効期限切れ", _xlfn.REGEXTEST(C94, "Host Entropy"), "ホストのエントロピー（乱数生成能力）の不足", _xlfn.REGEXTEST(C94, "File Descriptor"), "プロセスのファイルディスクリプタ使用率", _xlfn.REGEXTEST(C94, "Unexpected Exits"), "プロセスの異常終了（予期せぬ停止）", _xlfn.REGEXTEST(C94, "Swap Memory Thresholds"), "プロセスのスワップメモリ使用量", _xlfn.REGEXTEST(C94, "Swap Memory Usage Rate"), "スワップメモリ使用量の変化率（増加速度）", _xlfn.REGEXTEST(C94, "Log Directory Free Space.*Absolute"), "ログディレクトリの空き容量（絶対値）", _xlfn.REGEXTEST(C94, "Log Directory Free Space.*Percentage"), "ログディレクトリの空き容量割合（%）", _xlfn.REGEXTEST(C94, "Heap Dump Directory Free Space.*Absolute"), "ヒープダンプディレクトリの空き容量（絶対値）", _xlfn.REGEXTEST(C94, "Heap Dump Directory Free Space.*Percentage"), "ヒープダンプディレクトリの空き容量割合（%）", _xlfn.REGEXTEST(C94, "Data Directory Free Space.*Absolute"), "データディレクトリの空き容量（絶対値）", _xlfn.REGEXTEST(C94, "Data Directory Free Space.*Percentage"), "データディレクトリの空き容量割合（%）", _xlfn.REGEXTEST(C94, "Transaction Log Directory Free Space.*Absolute"), "トランザクションログディレクトリの空き容量（絶対値）", _xlfn.REGEXTEST(C94, "Logging Threshold|Logger Threshold"), "ログ出力レベルの閾値設定", _xlfn.REGEXTEST(C94, "Enable.*Alerts"), "ヘルスアラートの有効化状態", _xlfn.REGEXTEST(C94, "Triggers"), "カスタムアラート条件（トリガー設定）", _xlfn.REGEXTEST(C94, "Healthy Kafka Broker"), "Kafka Brokerの健全ノード割合（稼働率）", _xlfn.REGEXTEST(C94, "Healthy Kafka Connect"), "Kafka Connectの健全ノード割合（稼働率）", _xlfn.REGEXTEST(C94, "Healthy KRaft Controller"), "KRaft Controllerの健全ノード割合（稼働率）", _xlfn.REGEXTEST(C94, "Healthy Knox IDBroker"), "Knox IDBrokerの健全ノード割合（稼働率）", _xlfn.REGEXTEST(C94, "Healthy Knox Gateway"), "Knox Gatewayの健全ノード割合（稼働率）", _xlfn.REGEXTEST(C94, "Healthy ZooKeeper Server"), "ZooKeeper Serverの健全ノード割合（稼働率）", _xlfn.REGEXTEST(C94, "Healthy NodeManager"), "NodeManagerの健全ノード割合（稼働率）", _xlfn.REGEXTEST(C94, "Maximum Latency"), "リクエストの最大レイテンシ（処理遅延）", _xlfn.REGEXTEST(C94, "Garbage Collection Duration"), "Javaのガベージコレクション（GC）の所要時間", _xlfn.REGEXTEST(C94, "Spool Directory Usage"), "Rangerプラグインのスプールディレクトリ使用量", _xlfn.REGEXTEST(C94, "Process Directory Free Space Monitoring Absolute"), "プロセスディレクトリの空き容量（絶対値)", _xlfn.REGEXTEST(C94, "Process Directory Free Space.*Percentage"), "プロセスディレクトリの空き容量割合（%）", _xlfn.REGEXTEST(C94, "Parcel Directory Free Space.*Absolute"), "パーセルディレクトリの空き容量（絶対値）", _xlfn.REGEXTEST(C94, "Parcel Directory Free Space.*Percentage"), "パーセルディレクトリの空き容量割合（%）", _xlfn.REGEXTEST(C94, "Host Network Frame Error Percentage"), "ホストのネットワークフレームエラー割合（%）", _xlfn.REGEXTEST(C94, "Network Interfaces Slow Link Modes"), "ホストのネットワークインターフェースの低速リンクモード検出", _xlfn.REGEXTEST(C94, "Host Memory Swapping"), "ホストのメモリのスワップ発生状態", TRUE, "要手動確認")</f>
        <v>プロセスの異常終了（予期せぬ停止）</v>
      </c>
      <c r="H94" s="479" t="s">
        <v>818</v>
      </c>
    </row>
    <row r="95" spans="1:8" ht="33.6">
      <c r="A95" s="468"/>
      <c r="B95" s="473"/>
      <c r="C95" s="471" t="s">
        <v>755</v>
      </c>
      <c r="D95" s="471" t="s">
        <v>756</v>
      </c>
      <c r="E95" s="471" t="s">
        <v>860</v>
      </c>
      <c r="F95" s="471"/>
      <c r="G95" s="471" t="str" cm="1">
        <f t="array" ref="G95">_xlfn.IFS(C95 = "", "", _xlfn.REGEXTEST(C95, "Schema Registry Server Monitoring"), "Schema Registry Serverの稼働状態監視", _xlfn.REGEXTEST(C95, "SRM Service Monitoring"), "SRMサービスの稼働状態監視", _xlfn.REGEXTEST(C95, "SRM Driver Monitoring"), "SRMドライバーの稼働状態監視", _xlfn.REGEXTEST(C95, "Loggin"), "ログ出力状態・設定監視", _xlfn.REGEXTEST(C95, "Server Monitoring"), "サーバーの稼働状態監視", _xlfn.REGEXTEST(C95, "Server Connection Count"), "サーバーの接続数（コネクション数）", _xlfn.REGEXTEST(C95, "Server Outstanding Requests"), "サーバーの未処理リクエスト数（滞留要求数）", _xlfn.REGEXTEST(C95, "Repository Status"), "リポジトリのステータス状態", _xlfn.REGEXTEST(C95, "Monitor Long Running Task"), "長時間実行タスク（ジョブ）の監視", _xlfn.REGEXTEST(C95, "Token requests per second"), "1秒あたりのトークンリクエスト数（要求レート）", _xlfn.REGEXTEST(C95, "Connection Model Score"), "接続モデルスコア（コネクション品質）", _xlfn.REGEXTEST(C95, "Queue swap"), "キューのスワップ発生状態", _xlfn.REGEXTEST(C95, "NiFi Node Monitoring"), "NiFiノードの稼働状態監視", _xlfn.REGEXTEST(C95, "Host Clock Offset"), "ホストのクロックオフセット（時刻同期のズレ）", _xlfn.REGEXTEST(C95, "Memory Overcommit Validation"), "メモリオーバーコミット設定の検証", _xlfn.REGEXTEST(C95, "Gateway Logging"), "ゲートウェイのログ出力設定", _xlfn.REGEXTEST(C95, "CPU Balance"), "CPU使用率の分散バランス状態", _xlfn.REGEXTEST(C95, "Disk Balance"), "ディスク使用量の分散バランス状態", _xlfn.REGEXTEST(C95, "Network Inbound Balance"), "ネットワークインバウンド（受信）の分散バランス状態", _xlfn.REGEXTEST(C95, "Network Outbound Balance"), "ネットワークアウトバウンド（送信）の分散バランス状態", _xlfn.REGEXTEST(C95, "Replica Count Balance"), "レプリカ数の分散バランス状態", _xlfn.REGEXTEST(C95, "Disk Capacity"), "ディスク総容量の限界・使用容量", _xlfn.REGEXTEST(C95, "CPU Capacity"), "CPU総処理能力の限界・使用量", _xlfn.REGEXTEST(C95, "Network Inbound Capacity"), "ネットワークインバウンド（受信）帯域の限界・使用量", _xlfn.REGEXTEST(C95, "Network Outbound Capacity"), "ネットワークアウトバウンド（送信）帯域の限界・使用量", _xlfn.REGEXTEST(C95, "Leader Replica Count Balance"), "リーダーレプリカ数の分散バランス状態", _xlfn.REGEXTEST(C95, "Host DNS Resolution Duration"), "ホストのDNS名前解決の所要時間", _xlfn.REGEXTEST(C95, "TLS Certificate Expiry"), "TLS証明書の有効期限切れ", _xlfn.REGEXTEST(C95, "Host Entropy"), "ホストのエントロピー（乱数生成能力）の不足", _xlfn.REGEXTEST(C95, "File Descriptor"), "プロセスのファイルディスクリプタ使用率", _xlfn.REGEXTEST(C95, "Unexpected Exits"), "プロセスの異常終了（予期せぬ停止）", _xlfn.REGEXTEST(C95, "Swap Memory Thresholds"), "プロセスのスワップメモリ使用量", _xlfn.REGEXTEST(C95, "Swap Memory Usage Rate"), "スワップメモリ使用量の変化率（増加速度）", _xlfn.REGEXTEST(C95, "Log Directory Free Space.*Absolute"), "ログディレクトリの空き容量（絶対値）", _xlfn.REGEXTEST(C95, "Log Directory Free Space.*Percentage"), "ログディレクトリの空き容量割合（%）", _xlfn.REGEXTEST(C95, "Heap Dump Directory Free Space.*Absolute"), "ヒープダンプディレクトリの空き容量（絶対値）", _xlfn.REGEXTEST(C95, "Heap Dump Directory Free Space.*Percentage"), "ヒープダンプディレクトリの空き容量割合（%）", _xlfn.REGEXTEST(C95, "Data Directory Free Space.*Absolute"), "データディレクトリの空き容量（絶対値）", _xlfn.REGEXTEST(C95, "Data Directory Free Space.*Percentage"), "データディレクトリの空き容量割合（%）", _xlfn.REGEXTEST(C95, "Transaction Log Directory Free Space.*Absolute"), "トランザクションログディレクトリの空き容量（絶対値）", _xlfn.REGEXTEST(C95, "Logging Threshold|Logger Threshold"), "ログ出力レベルの閾値設定", _xlfn.REGEXTEST(C95, "Enable.*Alerts"), "ヘルスアラートの有効化状態", _xlfn.REGEXTEST(C95, "Triggers"), "カスタムアラート条件（トリガー設定）", _xlfn.REGEXTEST(C95, "Healthy Kafka Broker"), "Kafka Brokerの健全ノード割合（稼働率）", _xlfn.REGEXTEST(C95, "Healthy Kafka Connect"), "Kafka Connectの健全ノード割合（稼働率）", _xlfn.REGEXTEST(C95, "Healthy KRaft Controller"), "KRaft Controllerの健全ノード割合（稼働率）", _xlfn.REGEXTEST(C95, "Healthy Knox IDBroker"), "Knox IDBrokerの健全ノード割合（稼働率）", _xlfn.REGEXTEST(C95, "Healthy Knox Gateway"), "Knox Gatewayの健全ノード割合（稼働率）", _xlfn.REGEXTEST(C95, "Healthy ZooKeeper Server"), "ZooKeeper Serverの健全ノード割合（稼働率）", _xlfn.REGEXTEST(C95, "Healthy NodeManager"), "NodeManagerの健全ノード割合（稼働率）", _xlfn.REGEXTEST(C95, "Maximum Latency"), "リクエストの最大レイテンシ（処理遅延）", _xlfn.REGEXTEST(C95, "Garbage Collection Duration"), "Javaのガベージコレクション（GC）の所要時間", _xlfn.REGEXTEST(C95, "Spool Directory Usage"), "Rangerプラグインのスプールディレクトリ使用量", _xlfn.REGEXTEST(C95, "Process Directory Free Space Monitoring Absolute"), "プロセスディレクトリの空き容量（絶対値)", _xlfn.REGEXTEST(C95, "Process Directory Free Space.*Percentage"), "プロセスディレクトリの空き容量割合（%）", _xlfn.REGEXTEST(C95, "Parcel Directory Free Space.*Absolute"), "パーセルディレクトリの空き容量（絶対値）", _xlfn.REGEXTEST(C95, "Parcel Directory Free Space.*Percentage"), "パーセルディレクトリの空き容量割合（%）", _xlfn.REGEXTEST(C95, "Host Network Frame Error Percentage"), "ホストのネットワークフレームエラー割合（%）", _xlfn.REGEXTEST(C95, "Network Interfaces Slow Link Modes"), "ホストのネットワークインターフェースの低速リンクモード検出", _xlfn.REGEXTEST(C95, "Host Memory Swapping"), "ホストのメモリのスワップ発生状態", TRUE, "要手動確認")</f>
        <v>プロセスのスワップメモリ使用量</v>
      </c>
      <c r="H95" s="479" t="s">
        <v>819</v>
      </c>
    </row>
    <row r="96" spans="1:8" ht="33.6">
      <c r="A96" s="468"/>
      <c r="B96" s="473"/>
      <c r="C96" s="471" t="s">
        <v>758</v>
      </c>
      <c r="D96" s="471" t="s">
        <v>759</v>
      </c>
      <c r="E96" s="471" t="s">
        <v>860</v>
      </c>
      <c r="F96" s="471"/>
      <c r="G96" s="471" t="str" cm="1">
        <f t="array" ref="G96">_xlfn.IFS(C96 = "", "", _xlfn.REGEXTEST(C96, "Schema Registry Server Monitoring"), "Schema Registry Serverの稼働状態監視", _xlfn.REGEXTEST(C96, "SRM Service Monitoring"), "SRMサービスの稼働状態監視", _xlfn.REGEXTEST(C96, "SRM Driver Monitoring"), "SRMドライバーの稼働状態監視", _xlfn.REGEXTEST(C96, "Loggin"), "ログ出力状態・設定監視", _xlfn.REGEXTEST(C96, "Server Monitoring"), "サーバーの稼働状態監視", _xlfn.REGEXTEST(C96, "Server Connection Count"), "サーバーの接続数（コネクション数）", _xlfn.REGEXTEST(C96, "Server Outstanding Requests"), "サーバーの未処理リクエスト数（滞留要求数）", _xlfn.REGEXTEST(C96, "Repository Status"), "リポジトリのステータス状態", _xlfn.REGEXTEST(C96, "Monitor Long Running Task"), "長時間実行タスク（ジョブ）の監視", _xlfn.REGEXTEST(C96, "Token requests per second"), "1秒あたりのトークンリクエスト数（要求レート）", _xlfn.REGEXTEST(C96, "Connection Model Score"), "接続モデルスコア（コネクション品質）", _xlfn.REGEXTEST(C96, "Queue swap"), "キューのスワップ発生状態", _xlfn.REGEXTEST(C96, "NiFi Node Monitoring"), "NiFiノードの稼働状態監視", _xlfn.REGEXTEST(C96, "Host Clock Offset"), "ホストのクロックオフセット（時刻同期のズレ）", _xlfn.REGEXTEST(C96, "Memory Overcommit Validation"), "メモリオーバーコミット設定の検証", _xlfn.REGEXTEST(C96, "Gateway Logging"), "ゲートウェイのログ出力設定", _xlfn.REGEXTEST(C96, "CPU Balance"), "CPU使用率の分散バランス状態", _xlfn.REGEXTEST(C96, "Disk Balance"), "ディスク使用量の分散バランス状態", _xlfn.REGEXTEST(C96, "Network Inbound Balance"), "ネットワークインバウンド（受信）の分散バランス状態", _xlfn.REGEXTEST(C96, "Network Outbound Balance"), "ネットワークアウトバウンド（送信）の分散バランス状態", _xlfn.REGEXTEST(C96, "Replica Count Balance"), "レプリカ数の分散バランス状態", _xlfn.REGEXTEST(C96, "Disk Capacity"), "ディスク総容量の限界・使用容量", _xlfn.REGEXTEST(C96, "CPU Capacity"), "CPU総処理能力の限界・使用量", _xlfn.REGEXTEST(C96, "Network Inbound Capacity"), "ネットワークインバウンド（受信）帯域の限界・使用量", _xlfn.REGEXTEST(C96, "Network Outbound Capacity"), "ネットワークアウトバウンド（送信）帯域の限界・使用量", _xlfn.REGEXTEST(C96, "Leader Replica Count Balance"), "リーダーレプリカ数の分散バランス状態", _xlfn.REGEXTEST(C96, "Host DNS Resolution Duration"), "ホストのDNS名前解決の所要時間", _xlfn.REGEXTEST(C96, "TLS Certificate Expiry"), "TLS証明書の有効期限切れ", _xlfn.REGEXTEST(C96, "Host Entropy"), "ホストのエントロピー（乱数生成能力）の不足", _xlfn.REGEXTEST(C96, "File Descriptor"), "プロセスのファイルディスクリプタ使用率", _xlfn.REGEXTEST(C96, "Unexpected Exits"), "プロセスの異常終了（予期せぬ停止）", _xlfn.REGEXTEST(C96, "Swap Memory Thresholds"), "プロセスのスワップメモリ使用量", _xlfn.REGEXTEST(C96, "Swap Memory Usage Rate"), "スワップメモリ使用量の変化率（増加速度）", _xlfn.REGEXTEST(C96, "Log Directory Free Space.*Absolute"), "ログディレクトリの空き容量（絶対値）", _xlfn.REGEXTEST(C96, "Log Directory Free Space.*Percentage"), "ログディレクトリの空き容量割合（%）", _xlfn.REGEXTEST(C96, "Heap Dump Directory Free Space.*Absolute"), "ヒープダンプディレクトリの空き容量（絶対値）", _xlfn.REGEXTEST(C96, "Heap Dump Directory Free Space.*Percentage"), "ヒープダンプディレクトリの空き容量割合（%）", _xlfn.REGEXTEST(C96, "Data Directory Free Space.*Absolute"), "データディレクトリの空き容量（絶対値）", _xlfn.REGEXTEST(C96, "Data Directory Free Space.*Percentage"), "データディレクトリの空き容量割合（%）", _xlfn.REGEXTEST(C96, "Transaction Log Directory Free Space.*Absolute"), "トランザクションログディレクトリの空き容量（絶対値）", _xlfn.REGEXTEST(C96, "Logging Threshold|Logger Threshold"), "ログ出力レベルの閾値設定", _xlfn.REGEXTEST(C96, "Enable.*Alerts"), "ヘルスアラートの有効化状態", _xlfn.REGEXTEST(C96, "Triggers"), "カスタムアラート条件（トリガー設定）", _xlfn.REGEXTEST(C96, "Healthy Kafka Broker"), "Kafka Brokerの健全ノード割合（稼働率）", _xlfn.REGEXTEST(C96, "Healthy Kafka Connect"), "Kafka Connectの健全ノード割合（稼働率）", _xlfn.REGEXTEST(C96, "Healthy KRaft Controller"), "KRaft Controllerの健全ノード割合（稼働率）", _xlfn.REGEXTEST(C96, "Healthy Knox IDBroker"), "Knox IDBrokerの健全ノード割合（稼働率）", _xlfn.REGEXTEST(C96, "Healthy Knox Gateway"), "Knox Gatewayの健全ノード割合（稼働率）", _xlfn.REGEXTEST(C96, "Healthy ZooKeeper Server"), "ZooKeeper Serverの健全ノード割合（稼働率）", _xlfn.REGEXTEST(C96, "Healthy NodeManager"), "NodeManagerの健全ノード割合（稼働率）", _xlfn.REGEXTEST(C96, "Maximum Latency"), "リクエストの最大レイテンシ（処理遅延）", _xlfn.REGEXTEST(C96, "Garbage Collection Duration"), "Javaのガベージコレクション（GC）の所要時間", _xlfn.REGEXTEST(C96, "Spool Directory Usage"), "Rangerプラグインのスプールディレクトリ使用量", _xlfn.REGEXTEST(C96, "Process Directory Free Space Monitoring Absolute"), "プロセスディレクトリの空き容量（絶対値)", _xlfn.REGEXTEST(C96, "Process Directory Free Space.*Percentage"), "プロセスディレクトリの空き容量割合（%）", _xlfn.REGEXTEST(C96, "Parcel Directory Free Space.*Absolute"), "パーセルディレクトリの空き容量（絶対値）", _xlfn.REGEXTEST(C96, "Parcel Directory Free Space.*Percentage"), "パーセルディレクトリの空き容量割合（%）", _xlfn.REGEXTEST(C96, "Host Network Frame Error Percentage"), "ホストのネットワークフレームエラー割合（%）", _xlfn.REGEXTEST(C96, "Network Interfaces Slow Link Modes"), "ホストのネットワークインターフェースの低速リンクモード検出", _xlfn.REGEXTEST(C96, "Host Memory Swapping"), "ホストのメモリのスワップ発生状態", TRUE, "要手動確認")</f>
        <v>スワップメモリ使用量の変化率（増加速度）</v>
      </c>
      <c r="H96" s="479" t="s">
        <v>689</v>
      </c>
    </row>
    <row r="97" spans="1:8" ht="33.6">
      <c r="A97" s="514"/>
      <c r="B97" s="470"/>
      <c r="C97" s="471" t="s">
        <v>866</v>
      </c>
      <c r="D97" s="471" t="s">
        <v>764</v>
      </c>
      <c r="E97" s="471" t="s">
        <v>860</v>
      </c>
      <c r="F97" s="471"/>
      <c r="G97" s="471" t="str" cm="1">
        <f t="array" ref="G97">_xlfn.IFS(C97 = "", "", _xlfn.REGEXTEST(C97, "Schema Registry Server Monitoring"), "Schema Registry Serverの稼働状態監視", _xlfn.REGEXTEST(C97, "SRM Service Monitoring"), "SRMサービスの稼働状態監視", _xlfn.REGEXTEST(C97, "SRM Driver Monitoring"), "SRMドライバーの稼働状態監視", _xlfn.REGEXTEST(C97, "Loggin"), "ログ出力状態・設定監視", _xlfn.REGEXTEST(C97, "Server Monitoring"), "サーバーの稼働状態監視", _xlfn.REGEXTEST(C97, "Server Connection Count"), "サーバーの接続数（コネクション数）", _xlfn.REGEXTEST(C97, "Server Outstanding Requests"), "サーバーの未処理リクエスト数（滞留要求数）", _xlfn.REGEXTEST(C97, "Repository Status"), "リポジトリのステータス状態", _xlfn.REGEXTEST(C97, "Monitor Long Running Task"), "長時間実行タスク（ジョブ）の監視", _xlfn.REGEXTEST(C97, "Token requests per second"), "1秒あたりのトークンリクエスト数（要求レート）", _xlfn.REGEXTEST(C97, "Connection Model Score"), "接続モデルスコア（コネクション品質）", _xlfn.REGEXTEST(C97, "Queue swap"), "キューのスワップ発生状態", _xlfn.REGEXTEST(C97, "NiFi Node Monitoring"), "NiFiノードの稼働状態監視", _xlfn.REGEXTEST(C97, "Host Clock Offset"), "ホストのクロックオフセット（時刻同期のズレ）", _xlfn.REGEXTEST(C97, "Memory Overcommit Validation"), "メモリオーバーコミット設定の検証", _xlfn.REGEXTEST(C97, "Gateway Logging"), "ゲートウェイのログ出力設定", _xlfn.REGEXTEST(C97, "CPU Balance"), "CPU使用率の分散バランス状態", _xlfn.REGEXTEST(C97, "Disk Balance"), "ディスク使用量の分散バランス状態", _xlfn.REGEXTEST(C97, "Network Inbound Balance"), "ネットワークインバウンド（受信）の分散バランス状態", _xlfn.REGEXTEST(C97, "Network Outbound Balance"), "ネットワークアウトバウンド（送信）の分散バランス状態", _xlfn.REGEXTEST(C97, "Replica Count Balance"), "レプリカ数の分散バランス状態", _xlfn.REGEXTEST(C97, "Disk Capacity"), "ディスク総容量の限界・使用容量", _xlfn.REGEXTEST(C97, "CPU Capacity"), "CPU総処理能力の限界・使用量", _xlfn.REGEXTEST(C97, "Network Inbound Capacity"), "ネットワークインバウンド（受信）帯域の限界・使用量", _xlfn.REGEXTEST(C97, "Network Outbound Capacity"), "ネットワークアウトバウンド（送信）帯域の限界・使用量", _xlfn.REGEXTEST(C97, "Leader Replica Count Balance"), "リーダーレプリカ数の分散バランス状態", _xlfn.REGEXTEST(C97, "Host DNS Resolution Duration"), "ホストのDNS名前解決の所要時間", _xlfn.REGEXTEST(C97, "TLS Certificate Expiry"), "TLS証明書の有効期限切れ", _xlfn.REGEXTEST(C97, "Host Entropy"), "ホストのエントロピー（乱数生成能力）の不足", _xlfn.REGEXTEST(C97, "File Descriptor"), "プロセスのファイルディスクリプタ使用率", _xlfn.REGEXTEST(C97, "Unexpected Exits"), "プロセスの異常終了（予期せぬ停止）", _xlfn.REGEXTEST(C97, "Swap Memory Thresholds"), "プロセスのスワップメモリ使用量", _xlfn.REGEXTEST(C97, "Swap Memory Usage Rate"), "スワップメモリ使用量の変化率（増加速度）", _xlfn.REGEXTEST(C97, "Log Directory Free Space.*Absolute"), "ログディレクトリの空き容量（絶対値）", _xlfn.REGEXTEST(C97, "Log Directory Free Space.*Percentage"), "ログディレクトリの空き容量割合（%）", _xlfn.REGEXTEST(C97, "Heap Dump Directory Free Space.*Absolute"), "ヒープダンプディレクトリの空き容量（絶対値）", _xlfn.REGEXTEST(C97, "Heap Dump Directory Free Space.*Percentage"), "ヒープダンプディレクトリの空き容量割合（%）", _xlfn.REGEXTEST(C97, "Data Directory Free Space.*Absolute"), "データディレクトリの空き容量（絶対値）", _xlfn.REGEXTEST(C97, "Data Directory Free Space.*Percentage"), "データディレクトリの空き容量割合（%）", _xlfn.REGEXTEST(C97, "Transaction Log Directory Free Space.*Absolute"), "トランザクションログディレクトリの空き容量（絶対値）", _xlfn.REGEXTEST(C97, "Logging Threshold|Logger Threshold"), "ログ出力レベルの閾値設定", _xlfn.REGEXTEST(C97, "Enable.*Alerts"), "ヘルスアラートの有効化状態", _xlfn.REGEXTEST(C97, "Triggers"), "カスタムアラート条件（トリガー設定）", _xlfn.REGEXTEST(C97, "Healthy Kafka Broker"), "Kafka Brokerの健全ノード割合（稼働率）", _xlfn.REGEXTEST(C97, "Healthy Kafka Connect"), "Kafka Connectの健全ノード割合（稼働率）", _xlfn.REGEXTEST(C97, "Healthy KRaft Controller"), "KRaft Controllerの健全ノード割合（稼働率）", _xlfn.REGEXTEST(C97, "Healthy Knox IDBroker"), "Knox IDBrokerの健全ノード割合（稼働率）", _xlfn.REGEXTEST(C97, "Healthy Knox Gateway"), "Knox Gatewayの健全ノード割合（稼働率）", _xlfn.REGEXTEST(C97, "Healthy ZooKeeper Server"), "ZooKeeper Serverの健全ノード割合（稼働率）", _xlfn.REGEXTEST(C97, "Healthy NodeManager"), "NodeManagerの健全ノード割合（稼働率）", _xlfn.REGEXTEST(C97, "Maximum Latency"), "リクエストの最大レイテンシ（処理遅延）", _xlfn.REGEXTEST(C97, "Garbage Collection Duration"), "Javaのガベージコレクション（GC）の所要時間", _xlfn.REGEXTEST(C97, "Spool Directory Usage"), "Rangerプラグインのスプールディレクトリ使用量", _xlfn.REGEXTEST(C97, "Process Directory Free Space Monitoring Absolute"), "プロセスディレクトリの空き容量（絶対値)", _xlfn.REGEXTEST(C97, "Process Directory Free Space.*Percentage"), "プロセスディレクトリの空き容量割合（%）", _xlfn.REGEXTEST(C97, "Parcel Directory Free Space.*Absolute"), "パーセルディレクトリの空き容量（絶対値）", _xlfn.REGEXTEST(C97, "Parcel Directory Free Space.*Percentage"), "パーセルディレクトリの空き容量割合（%）", _xlfn.REGEXTEST(C97, "Host Network Frame Error Percentage"), "ホストのネットワークフレームエラー割合（%）", _xlfn.REGEXTEST(C97, "Network Interfaces Slow Link Modes"), "ホストのネットワークインターフェースの低速リンクモード検出", _xlfn.REGEXTEST(C97, "Host Memory Swapping"), "ホストのメモリのスワップ発生状態", TRUE, "要手動確認")</f>
        <v>Rangerプラグインのスプールディレクトリ使用量</v>
      </c>
      <c r="H97" s="479" t="s">
        <v>867</v>
      </c>
    </row>
    <row r="98" spans="1:8" ht="33.6">
      <c r="A98" s="514"/>
      <c r="B98" s="472" t="s">
        <v>868</v>
      </c>
      <c r="C98" s="471" t="s">
        <v>869</v>
      </c>
      <c r="D98" s="471" t="s">
        <v>772</v>
      </c>
      <c r="E98" s="471" t="s">
        <v>870</v>
      </c>
      <c r="F98" s="471"/>
      <c r="G98" s="471" t="str" cm="1">
        <f t="array" ref="G98">_xlfn.IFS(C98 = "", "", _xlfn.REGEXTEST(C98, "Schema Registry Server Monitoring"), "Schema Registry Serverの稼働状態監視", _xlfn.REGEXTEST(C98, "SRM Service Monitoring"), "SRMサービスの稼働状態監視", _xlfn.REGEXTEST(C98, "SRM Driver Monitoring"), "SRMドライバーの稼働状態監視", _xlfn.REGEXTEST(C98, "Loggin"), "ログ出力状態・設定監視", _xlfn.REGEXTEST(C98, "Server Monitoring"), "サーバーの稼働状態監視", _xlfn.REGEXTEST(C98, "Server Connection Count"), "サーバーの接続数（コネクション数）", _xlfn.REGEXTEST(C98, "Server Outstanding Requests"), "サーバーの未処理リクエスト数（滞留要求数）", _xlfn.REGEXTEST(C98, "Repository Status"), "リポジトリのステータス状態", _xlfn.REGEXTEST(C98, "Monitor Long Running Task"), "長時間実行タスク（ジョブ）の監視", _xlfn.REGEXTEST(C98, "Token requests per second"), "1秒あたりのトークンリクエスト数（要求レート）", _xlfn.REGEXTEST(C98, "Connection Model Score"), "接続モデルスコア（コネクション品質）", _xlfn.REGEXTEST(C98, "Queue swap"), "キューのスワップ発生状態", _xlfn.REGEXTEST(C98, "NiFi Node Monitoring"), "NiFiノードの稼働状態監視", _xlfn.REGEXTEST(C98, "Host Clock Offset"), "ホストのクロックオフセット（時刻同期のズレ）", _xlfn.REGEXTEST(C98, "Memory Overcommit Validation"), "メモリオーバーコミット設定の検証", _xlfn.REGEXTEST(C98, "Gateway Logging"), "ゲートウェイのログ出力設定", _xlfn.REGEXTEST(C98, "CPU Balance"), "CPU使用率の分散バランス状態", _xlfn.REGEXTEST(C98, "Disk Balance"), "ディスク使用量の分散バランス状態", _xlfn.REGEXTEST(C98, "Network Inbound Balance"), "ネットワークインバウンド（受信）の分散バランス状態", _xlfn.REGEXTEST(C98, "Network Outbound Balance"), "ネットワークアウトバウンド（送信）の分散バランス状態", _xlfn.REGEXTEST(C98, "Replica Count Balance"), "レプリカ数の分散バランス状態", _xlfn.REGEXTEST(C98, "Disk Capacity"), "ディスク総容量の限界・使用容量", _xlfn.REGEXTEST(C98, "CPU Capacity"), "CPU総処理能力の限界・使用量", _xlfn.REGEXTEST(C98, "Network Inbound Capacity"), "ネットワークインバウンド（受信）帯域の限界・使用量", _xlfn.REGEXTEST(C98, "Network Outbound Capacity"), "ネットワークアウトバウンド（送信）帯域の限界・使用量", _xlfn.REGEXTEST(C98, "Leader Replica Count Balance"), "リーダーレプリカ数の分散バランス状態", _xlfn.REGEXTEST(C98, "Host DNS Resolution Duration"), "ホストのDNS名前解決の所要時間", _xlfn.REGEXTEST(C98, "TLS Certificate Expiry"), "TLS証明書の有効期限切れ", _xlfn.REGEXTEST(C98, "Host Entropy"), "ホストのエントロピー（乱数生成能力）の不足", _xlfn.REGEXTEST(C98, "File Descriptor"), "プロセスのファイルディスクリプタ使用率", _xlfn.REGEXTEST(C98, "Unexpected Exits"), "プロセスの異常終了（予期せぬ停止）", _xlfn.REGEXTEST(C98, "Swap Memory Thresholds"), "プロセスのスワップメモリ使用量", _xlfn.REGEXTEST(C98, "Swap Memory Usage Rate"), "スワップメモリ使用量の変化率（増加速度）", _xlfn.REGEXTEST(C98, "Log Directory Free Space.*Absolute"), "ログディレクトリの空き容量（絶対値）", _xlfn.REGEXTEST(C98, "Log Directory Free Space.*Percentage"), "ログディレクトリの空き容量割合（%）", _xlfn.REGEXTEST(C98, "Heap Dump Directory Free Space.*Absolute"), "ヒープダンプディレクトリの空き容量（絶対値）", _xlfn.REGEXTEST(C98, "Heap Dump Directory Free Space.*Percentage"), "ヒープダンプディレクトリの空き容量割合（%）", _xlfn.REGEXTEST(C98, "Data Directory Free Space.*Absolute"), "データディレクトリの空き容量（絶対値）", _xlfn.REGEXTEST(C98, "Data Directory Free Space.*Percentage"), "データディレクトリの空き容量割合（%）", _xlfn.REGEXTEST(C98, "Transaction Log Directory Free Space.*Absolute"), "トランザクションログディレクトリの空き容量（絶対値）", _xlfn.REGEXTEST(C98, "Logging Threshold|Logger Threshold"), "ログ出力レベルの閾値設定", _xlfn.REGEXTEST(C98, "Enable.*Alerts"), "ヘルスアラートの有効化状態", _xlfn.REGEXTEST(C98, "Triggers"), "カスタムアラート条件（トリガー設定）", _xlfn.REGEXTEST(C98, "Healthy Kafka Broker"), "Kafka Brokerの健全ノード割合（稼働率）", _xlfn.REGEXTEST(C98, "Healthy Kafka Connect"), "Kafka Connectの健全ノード割合（稼働率）", _xlfn.REGEXTEST(C98, "Healthy KRaft Controller"), "KRaft Controllerの健全ノード割合（稼働率）", _xlfn.REGEXTEST(C98, "Healthy Knox IDBroker"), "Knox IDBrokerの健全ノード割合（稼働率）", _xlfn.REGEXTEST(C98, "Healthy Knox Gateway"), "Knox Gatewayの健全ノード割合（稼働率）", _xlfn.REGEXTEST(C98, "Healthy ZooKeeper Server"), "ZooKeeper Serverの健全ノード割合（稼働率）", _xlfn.REGEXTEST(C98, "Healthy NodeManager"), "NodeManagerの健全ノード割合（稼働率）", _xlfn.REGEXTEST(C98, "Maximum Latency"), "リクエストの最大レイテンシ（処理遅延）", _xlfn.REGEXTEST(C98, "Garbage Collection Duration"), "Javaのガベージコレクション（GC）の所要時間", _xlfn.REGEXTEST(C98, "Spool Directory Usage"), "Rangerプラグインのスプールディレクトリ使用量", _xlfn.REGEXTEST(C98, "Process Directory Free Space Monitoring Absolute"), "プロセスディレクトリの空き容量（絶対値)", _xlfn.REGEXTEST(C98, "Process Directory Free Space.*Percentage"), "プロセスディレクトリの空き容量割合（%）", _xlfn.REGEXTEST(C98, "Parcel Directory Free Space.*Absolute"), "パーセルディレクトリの空き容量（絶対値）", _xlfn.REGEXTEST(C98, "Parcel Directory Free Space.*Percentage"), "パーセルディレクトリの空き容量割合（%）", _xlfn.REGEXTEST(C98, "Host Network Frame Error Percentage"), "ホストのネットワークフレームエラー割合（%）", _xlfn.REGEXTEST(C98, "Network Interfaces Slow Link Modes"), "ホストのネットワークインターフェースの低速リンクモード検出", _xlfn.REGEXTEST(C98, "Host Memory Swapping"), "ホストのメモリのスワップ発生状態", TRUE, "要手動確認")</f>
        <v>ログ出力状態・設定監視</v>
      </c>
      <c r="H98" s="479" t="s">
        <v>775</v>
      </c>
    </row>
    <row r="99" spans="1:8" ht="33.6">
      <c r="A99" s="468"/>
      <c r="B99" s="473"/>
      <c r="C99" s="471" t="s">
        <v>736</v>
      </c>
      <c r="D99" s="471" t="s">
        <v>871</v>
      </c>
      <c r="E99" s="471" t="s">
        <v>870</v>
      </c>
      <c r="F99" s="471"/>
      <c r="G99" s="471" t="str" cm="1">
        <f t="array" ref="G99">_xlfn.IFS(C99 = "", "", _xlfn.REGEXTEST(C99, "Schema Registry Server Monitoring"), "Schema Registry Serverの稼働状態監視", _xlfn.REGEXTEST(C99, "SRM Service Monitoring"), "SRMサービスの稼働状態監視", _xlfn.REGEXTEST(C99, "SRM Driver Monitoring"), "SRMドライバーの稼働状態監視", _xlfn.REGEXTEST(C99, "Loggin"), "ログ出力状態・設定監視", _xlfn.REGEXTEST(C99, "Server Monitoring"), "サーバーの稼働状態監視", _xlfn.REGEXTEST(C99, "Server Connection Count"), "サーバーの接続数（コネクション数）", _xlfn.REGEXTEST(C99, "Server Outstanding Requests"), "サーバーの未処理リクエスト数（滞留要求数）", _xlfn.REGEXTEST(C99, "Repository Status"), "リポジトリのステータス状態", _xlfn.REGEXTEST(C99, "Monitor Long Running Task"), "長時間実行タスク（ジョブ）の監視", _xlfn.REGEXTEST(C99, "Token requests per second"), "1秒あたりのトークンリクエスト数（要求レート）", _xlfn.REGEXTEST(C99, "Connection Model Score"), "接続モデルスコア（コネクション品質）", _xlfn.REGEXTEST(C99, "Queue swap"), "キューのスワップ発生状態", _xlfn.REGEXTEST(C99, "NiFi Node Monitoring"), "NiFiノードの稼働状態監視", _xlfn.REGEXTEST(C99, "Host Clock Offset"), "ホストのクロックオフセット（時刻同期のズレ）", _xlfn.REGEXTEST(C99, "Memory Overcommit Validation"), "メモリオーバーコミット設定の検証", _xlfn.REGEXTEST(C99, "Gateway Logging"), "ゲートウェイのログ出力設定", _xlfn.REGEXTEST(C99, "CPU Balance"), "CPU使用率の分散バランス状態", _xlfn.REGEXTEST(C99, "Disk Balance"), "ディスク使用量の分散バランス状態", _xlfn.REGEXTEST(C99, "Network Inbound Balance"), "ネットワークインバウンド（受信）の分散バランス状態", _xlfn.REGEXTEST(C99, "Network Outbound Balance"), "ネットワークアウトバウンド（送信）の分散バランス状態", _xlfn.REGEXTEST(C99, "Replica Count Balance"), "レプリカ数の分散バランス状態", _xlfn.REGEXTEST(C99, "Disk Capacity"), "ディスク総容量の限界・使用容量", _xlfn.REGEXTEST(C99, "CPU Capacity"), "CPU総処理能力の限界・使用量", _xlfn.REGEXTEST(C99, "Network Inbound Capacity"), "ネットワークインバウンド（受信）帯域の限界・使用量", _xlfn.REGEXTEST(C99, "Network Outbound Capacity"), "ネットワークアウトバウンド（送信）帯域の限界・使用量", _xlfn.REGEXTEST(C99, "Leader Replica Count Balance"), "リーダーレプリカ数の分散バランス状態", _xlfn.REGEXTEST(C99, "Host DNS Resolution Duration"), "ホストのDNS名前解決の所要時間", _xlfn.REGEXTEST(C99, "TLS Certificate Expiry"), "TLS証明書の有効期限切れ", _xlfn.REGEXTEST(C99, "Host Entropy"), "ホストのエントロピー（乱数生成能力）の不足", _xlfn.REGEXTEST(C99, "File Descriptor"), "プロセスのファイルディスクリプタ使用率", _xlfn.REGEXTEST(C99, "Unexpected Exits"), "プロセスの異常終了（予期せぬ停止）", _xlfn.REGEXTEST(C99, "Swap Memory Thresholds"), "プロセスのスワップメモリ使用量", _xlfn.REGEXTEST(C99, "Swap Memory Usage Rate"), "スワップメモリ使用量の変化率（増加速度）", _xlfn.REGEXTEST(C99, "Log Directory Free Space.*Absolute"), "ログディレクトリの空き容量（絶対値）", _xlfn.REGEXTEST(C99, "Log Directory Free Space.*Percentage"), "ログディレクトリの空き容量割合（%）", _xlfn.REGEXTEST(C99, "Heap Dump Directory Free Space.*Absolute"), "ヒープダンプディレクトリの空き容量（絶対値）", _xlfn.REGEXTEST(C99, "Heap Dump Directory Free Space.*Percentage"), "ヒープダンプディレクトリの空き容量割合（%）", _xlfn.REGEXTEST(C99, "Data Directory Free Space.*Absolute"), "データディレクトリの空き容量（絶対値）", _xlfn.REGEXTEST(C99, "Data Directory Free Space.*Percentage"), "データディレクトリの空き容量割合（%）", _xlfn.REGEXTEST(C99, "Transaction Log Directory Free Space.*Absolute"), "トランザクションログディレクトリの空き容量（絶対値）", _xlfn.REGEXTEST(C99, "Logging Threshold|Logger Threshold"), "ログ出力レベルの閾値設定", _xlfn.REGEXTEST(C99, "Enable.*Alerts"), "ヘルスアラートの有効化状態", _xlfn.REGEXTEST(C99, "Triggers"), "カスタムアラート条件（トリガー設定）", _xlfn.REGEXTEST(C99, "Healthy Kafka Broker"), "Kafka Brokerの健全ノード割合（稼働率）", _xlfn.REGEXTEST(C99, "Healthy Kafka Connect"), "Kafka Connectの健全ノード割合（稼働率）", _xlfn.REGEXTEST(C99, "Healthy KRaft Controller"), "KRaft Controllerの健全ノード割合（稼働率）", _xlfn.REGEXTEST(C99, "Healthy Knox IDBroker"), "Knox IDBrokerの健全ノード割合（稼働率）", _xlfn.REGEXTEST(C99, "Healthy Knox Gateway"), "Knox Gatewayの健全ノード割合（稼働率）", _xlfn.REGEXTEST(C99, "Healthy ZooKeeper Server"), "ZooKeeper Serverの健全ノード割合（稼働率）", _xlfn.REGEXTEST(C99, "Healthy NodeManager"), "NodeManagerの健全ノード割合（稼働率）", _xlfn.REGEXTEST(C99, "Maximum Latency"), "リクエストの最大レイテンシ（処理遅延）", _xlfn.REGEXTEST(C99, "Garbage Collection Duration"), "Javaのガベージコレクション（GC）の所要時間", _xlfn.REGEXTEST(C99, "Spool Directory Usage"), "Rangerプラグインのスプールディレクトリ使用量", _xlfn.REGEXTEST(C99, "Process Directory Free Space Monitoring Absolute"), "プロセスディレクトリの空き容量（絶対値)", _xlfn.REGEXTEST(C99, "Process Directory Free Space.*Percentage"), "プロセスディレクトリの空き容量割合（%）", _xlfn.REGEXTEST(C99, "Parcel Directory Free Space.*Absolute"), "パーセルディレクトリの空き容量（絶対値）", _xlfn.REGEXTEST(C99, "Parcel Directory Free Space.*Percentage"), "パーセルディレクトリの空き容量割合（%）", _xlfn.REGEXTEST(C99, "Host Network Frame Error Percentage"), "ホストのネットワークフレームエラー割合（%）", _xlfn.REGEXTEST(C99, "Network Interfaces Slow Link Modes"), "ホストのネットワークインターフェースの低速リンクモード検出", _xlfn.REGEXTEST(C99, "Host Memory Swapping"), "ホストのメモリのスワップ発生状態", TRUE, "要手動確認")</f>
        <v>プロセスのファイルディスクリプタ使用率</v>
      </c>
      <c r="H99" s="479" t="s">
        <v>813</v>
      </c>
    </row>
    <row r="100" spans="1:8" ht="33.6">
      <c r="A100" s="468"/>
      <c r="B100" s="473"/>
      <c r="C100" s="471" t="s">
        <v>741</v>
      </c>
      <c r="D100" s="471" t="s">
        <v>742</v>
      </c>
      <c r="E100" s="471" t="s">
        <v>870</v>
      </c>
      <c r="F100" s="471"/>
      <c r="G100" s="471" t="str" cm="1">
        <f t="array" ref="G100">_xlfn.IFS(C100 = "", "", _xlfn.REGEXTEST(C100, "Schema Registry Server Monitoring"), "Schema Registry Serverの稼働状態監視", _xlfn.REGEXTEST(C100, "SRM Service Monitoring"), "SRMサービスの稼働状態監視", _xlfn.REGEXTEST(C100, "SRM Driver Monitoring"), "SRMドライバーの稼働状態監視", _xlfn.REGEXTEST(C100, "Loggin"), "ログ出力状態・設定監視", _xlfn.REGEXTEST(C100, "Server Monitoring"), "サーバーの稼働状態監視", _xlfn.REGEXTEST(C100, "Server Connection Count"), "サーバーの接続数（コネクション数）", _xlfn.REGEXTEST(C100, "Server Outstanding Requests"), "サーバーの未処理リクエスト数（滞留要求数）", _xlfn.REGEXTEST(C100, "Repository Status"), "リポジトリのステータス状態", _xlfn.REGEXTEST(C100, "Monitor Long Running Task"), "長時間実行タスク（ジョブ）の監視", _xlfn.REGEXTEST(C100, "Token requests per second"), "1秒あたりのトークンリクエスト数（要求レート）", _xlfn.REGEXTEST(C100, "Connection Model Score"), "接続モデルスコア（コネクション品質）", _xlfn.REGEXTEST(C100, "Queue swap"), "キューのスワップ発生状態", _xlfn.REGEXTEST(C100, "NiFi Node Monitoring"), "NiFiノードの稼働状態監視", _xlfn.REGEXTEST(C100, "Host Clock Offset"), "ホストのクロックオフセット（時刻同期のズレ）", _xlfn.REGEXTEST(C100, "Memory Overcommit Validation"), "メモリオーバーコミット設定の検証", _xlfn.REGEXTEST(C100, "Gateway Logging"), "ゲートウェイのログ出力設定", _xlfn.REGEXTEST(C100, "CPU Balance"), "CPU使用率の分散バランス状態", _xlfn.REGEXTEST(C100, "Disk Balance"), "ディスク使用量の分散バランス状態", _xlfn.REGEXTEST(C100, "Network Inbound Balance"), "ネットワークインバウンド（受信）の分散バランス状態", _xlfn.REGEXTEST(C100, "Network Outbound Balance"), "ネットワークアウトバウンド（送信）の分散バランス状態", _xlfn.REGEXTEST(C100, "Replica Count Balance"), "レプリカ数の分散バランス状態", _xlfn.REGEXTEST(C100, "Disk Capacity"), "ディスク総容量の限界・使用容量", _xlfn.REGEXTEST(C100, "CPU Capacity"), "CPU総処理能力の限界・使用量", _xlfn.REGEXTEST(C100, "Network Inbound Capacity"), "ネットワークインバウンド（受信）帯域の限界・使用量", _xlfn.REGEXTEST(C100, "Network Outbound Capacity"), "ネットワークアウトバウンド（送信）帯域の限界・使用量", _xlfn.REGEXTEST(C100, "Leader Replica Count Balance"), "リーダーレプリカ数の分散バランス状態", _xlfn.REGEXTEST(C100, "Host DNS Resolution Duration"), "ホストのDNS名前解決の所要時間", _xlfn.REGEXTEST(C100, "TLS Certificate Expiry"), "TLS証明書の有効期限切れ", _xlfn.REGEXTEST(C100, "Host Entropy"), "ホストのエントロピー（乱数生成能力）の不足", _xlfn.REGEXTEST(C100, "File Descriptor"), "プロセスのファイルディスクリプタ使用率", _xlfn.REGEXTEST(C100, "Unexpected Exits"), "プロセスの異常終了（予期せぬ停止）", _xlfn.REGEXTEST(C100, "Swap Memory Thresholds"), "プロセスのスワップメモリ使用量", _xlfn.REGEXTEST(C100, "Swap Memory Usage Rate"), "スワップメモリ使用量の変化率（増加速度）", _xlfn.REGEXTEST(C100, "Log Directory Free Space.*Absolute"), "ログディレクトリの空き容量（絶対値）", _xlfn.REGEXTEST(C100, "Log Directory Free Space.*Percentage"), "ログディレクトリの空き容量割合（%）", _xlfn.REGEXTEST(C100, "Heap Dump Directory Free Space.*Absolute"), "ヒープダンプディレクトリの空き容量（絶対値）", _xlfn.REGEXTEST(C100, "Heap Dump Directory Free Space.*Percentage"), "ヒープダンプディレクトリの空き容量割合（%）", _xlfn.REGEXTEST(C100, "Data Directory Free Space.*Absolute"), "データディレクトリの空き容量（絶対値）", _xlfn.REGEXTEST(C100, "Data Directory Free Space.*Percentage"), "データディレクトリの空き容量割合（%）", _xlfn.REGEXTEST(C100, "Transaction Log Directory Free Space.*Absolute"), "トランザクションログディレクトリの空き容量（絶対値）", _xlfn.REGEXTEST(C100, "Logging Threshold|Logger Threshold"), "ログ出力レベルの閾値設定", _xlfn.REGEXTEST(C100, "Enable.*Alerts"), "ヘルスアラートの有効化状態", _xlfn.REGEXTEST(C100, "Triggers"), "カスタムアラート条件（トリガー設定）", _xlfn.REGEXTEST(C100, "Healthy Kafka Broker"), "Kafka Brokerの健全ノード割合（稼働率）", _xlfn.REGEXTEST(C100, "Healthy Kafka Connect"), "Kafka Connectの健全ノード割合（稼働率）", _xlfn.REGEXTEST(C100, "Healthy KRaft Controller"), "KRaft Controllerの健全ノード割合（稼働率）", _xlfn.REGEXTEST(C100, "Healthy Knox IDBroker"), "Knox IDBrokerの健全ノード割合（稼働率）", _xlfn.REGEXTEST(C100, "Healthy Knox Gateway"), "Knox Gatewayの健全ノード割合（稼働率）", _xlfn.REGEXTEST(C100, "Healthy ZooKeeper Server"), "ZooKeeper Serverの健全ノード割合（稼働率）", _xlfn.REGEXTEST(C100, "Healthy NodeManager"), "NodeManagerの健全ノード割合（稼働率）", _xlfn.REGEXTEST(C100, "Maximum Latency"), "リクエストの最大レイテンシ（処理遅延）", _xlfn.REGEXTEST(C100, "Garbage Collection Duration"), "Javaのガベージコレクション（GC）の所要時間", _xlfn.REGEXTEST(C100, "Spool Directory Usage"), "Rangerプラグインのスプールディレクトリ使用量", _xlfn.REGEXTEST(C100, "Process Directory Free Space Monitoring Absolute"), "プロセスディレクトリの空き容量（絶対値)", _xlfn.REGEXTEST(C100, "Process Directory Free Space.*Percentage"), "プロセスディレクトリの空き容量割合（%）", _xlfn.REGEXTEST(C100, "Parcel Directory Free Space.*Absolute"), "パーセルディレクトリの空き容量（絶対値）", _xlfn.REGEXTEST(C100, "Parcel Directory Free Space.*Percentage"), "パーセルディレクトリの空き容量割合（%）", _xlfn.REGEXTEST(C100, "Host Network Frame Error Percentage"), "ホストのネットワークフレームエラー割合（%）", _xlfn.REGEXTEST(C100, "Network Interfaces Slow Link Modes"), "ホストのネットワークインターフェースの低速リンクモード検出", _xlfn.REGEXTEST(C100, "Host Memory Swapping"), "ホストのメモリのスワップ発生状態", TRUE, "要手動確認")</f>
        <v>ログディレクトリの空き容量（絶対値）</v>
      </c>
      <c r="H100" s="479" t="s">
        <v>692</v>
      </c>
    </row>
    <row r="101" spans="1:8" ht="33.6">
      <c r="A101" s="468"/>
      <c r="B101" s="473"/>
      <c r="C101" s="471" t="s">
        <v>746</v>
      </c>
      <c r="D101" s="471" t="s">
        <v>747</v>
      </c>
      <c r="E101" s="471" t="s">
        <v>870</v>
      </c>
      <c r="F101" s="471"/>
      <c r="G101" s="471" t="str" cm="1">
        <f t="array" ref="G101">_xlfn.IFS(C101 = "", "", _xlfn.REGEXTEST(C101, "Schema Registry Server Monitoring"), "Schema Registry Serverの稼働状態監視", _xlfn.REGEXTEST(C101, "SRM Service Monitoring"), "SRMサービスの稼働状態監視", _xlfn.REGEXTEST(C101, "SRM Driver Monitoring"), "SRMドライバーの稼働状態監視", _xlfn.REGEXTEST(C101, "Loggin"), "ログ出力状態・設定監視", _xlfn.REGEXTEST(C101, "Server Monitoring"), "サーバーの稼働状態監視", _xlfn.REGEXTEST(C101, "Server Connection Count"), "サーバーの接続数（コネクション数）", _xlfn.REGEXTEST(C101, "Server Outstanding Requests"), "サーバーの未処理リクエスト数（滞留要求数）", _xlfn.REGEXTEST(C101, "Repository Status"), "リポジトリのステータス状態", _xlfn.REGEXTEST(C101, "Monitor Long Running Task"), "長時間実行タスク（ジョブ）の監視", _xlfn.REGEXTEST(C101, "Token requests per second"), "1秒あたりのトークンリクエスト数（要求レート）", _xlfn.REGEXTEST(C101, "Connection Model Score"), "接続モデルスコア（コネクション品質）", _xlfn.REGEXTEST(C101, "Queue swap"), "キューのスワップ発生状態", _xlfn.REGEXTEST(C101, "NiFi Node Monitoring"), "NiFiノードの稼働状態監視", _xlfn.REGEXTEST(C101, "Host Clock Offset"), "ホストのクロックオフセット（時刻同期のズレ）", _xlfn.REGEXTEST(C101, "Memory Overcommit Validation"), "メモリオーバーコミット設定の検証", _xlfn.REGEXTEST(C101, "Gateway Logging"), "ゲートウェイのログ出力設定", _xlfn.REGEXTEST(C101, "CPU Balance"), "CPU使用率の分散バランス状態", _xlfn.REGEXTEST(C101, "Disk Balance"), "ディスク使用量の分散バランス状態", _xlfn.REGEXTEST(C101, "Network Inbound Balance"), "ネットワークインバウンド（受信）の分散バランス状態", _xlfn.REGEXTEST(C101, "Network Outbound Balance"), "ネットワークアウトバウンド（送信）の分散バランス状態", _xlfn.REGEXTEST(C101, "Replica Count Balance"), "レプリカ数の分散バランス状態", _xlfn.REGEXTEST(C101, "Disk Capacity"), "ディスク総容量の限界・使用容量", _xlfn.REGEXTEST(C101, "CPU Capacity"), "CPU総処理能力の限界・使用量", _xlfn.REGEXTEST(C101, "Network Inbound Capacity"), "ネットワークインバウンド（受信）帯域の限界・使用量", _xlfn.REGEXTEST(C101, "Network Outbound Capacity"), "ネットワークアウトバウンド（送信）帯域の限界・使用量", _xlfn.REGEXTEST(C101, "Leader Replica Count Balance"), "リーダーレプリカ数の分散バランス状態", _xlfn.REGEXTEST(C101, "Host DNS Resolution Duration"), "ホストのDNS名前解決の所要時間", _xlfn.REGEXTEST(C101, "TLS Certificate Expiry"), "TLS証明書の有効期限切れ", _xlfn.REGEXTEST(C101, "Host Entropy"), "ホストのエントロピー（乱数生成能力）の不足", _xlfn.REGEXTEST(C101, "File Descriptor"), "プロセスのファイルディスクリプタ使用率", _xlfn.REGEXTEST(C101, "Unexpected Exits"), "プロセスの異常終了（予期せぬ停止）", _xlfn.REGEXTEST(C101, "Swap Memory Thresholds"), "プロセスのスワップメモリ使用量", _xlfn.REGEXTEST(C101, "Swap Memory Usage Rate"), "スワップメモリ使用量の変化率（増加速度）", _xlfn.REGEXTEST(C101, "Log Directory Free Space.*Absolute"), "ログディレクトリの空き容量（絶対値）", _xlfn.REGEXTEST(C101, "Log Directory Free Space.*Percentage"), "ログディレクトリの空き容量割合（%）", _xlfn.REGEXTEST(C101, "Heap Dump Directory Free Space.*Absolute"), "ヒープダンプディレクトリの空き容量（絶対値）", _xlfn.REGEXTEST(C101, "Heap Dump Directory Free Space.*Percentage"), "ヒープダンプディレクトリの空き容量割合（%）", _xlfn.REGEXTEST(C101, "Data Directory Free Space.*Absolute"), "データディレクトリの空き容量（絶対値）", _xlfn.REGEXTEST(C101, "Data Directory Free Space.*Percentage"), "データディレクトリの空き容量割合（%）", _xlfn.REGEXTEST(C101, "Transaction Log Directory Free Space.*Absolute"), "トランザクションログディレクトリの空き容量（絶対値）", _xlfn.REGEXTEST(C101, "Logging Threshold|Logger Threshold"), "ログ出力レベルの閾値設定", _xlfn.REGEXTEST(C101, "Enable.*Alerts"), "ヘルスアラートの有効化状態", _xlfn.REGEXTEST(C101, "Triggers"), "カスタムアラート条件（トリガー設定）", _xlfn.REGEXTEST(C101, "Healthy Kafka Broker"), "Kafka Brokerの健全ノード割合（稼働率）", _xlfn.REGEXTEST(C101, "Healthy Kafka Connect"), "Kafka Connectの健全ノード割合（稼働率）", _xlfn.REGEXTEST(C101, "Healthy KRaft Controller"), "KRaft Controllerの健全ノード割合（稼働率）", _xlfn.REGEXTEST(C101, "Healthy Knox IDBroker"), "Knox IDBrokerの健全ノード割合（稼働率）", _xlfn.REGEXTEST(C101, "Healthy Knox Gateway"), "Knox Gatewayの健全ノード割合（稼働率）", _xlfn.REGEXTEST(C101, "Healthy ZooKeeper Server"), "ZooKeeper Serverの健全ノード割合（稼働率）", _xlfn.REGEXTEST(C101, "Healthy NodeManager"), "NodeManagerの健全ノード割合（稼働率）", _xlfn.REGEXTEST(C101, "Maximum Latency"), "リクエストの最大レイテンシ（処理遅延）", _xlfn.REGEXTEST(C101, "Garbage Collection Duration"), "Javaのガベージコレクション（GC）の所要時間", _xlfn.REGEXTEST(C101, "Spool Directory Usage"), "Rangerプラグインのスプールディレクトリ使用量", _xlfn.REGEXTEST(C101, "Process Directory Free Space Monitoring Absolute"), "プロセスディレクトリの空き容量（絶対値)", _xlfn.REGEXTEST(C101, "Process Directory Free Space.*Percentage"), "プロセスディレクトリの空き容量割合（%）", _xlfn.REGEXTEST(C101, "Parcel Directory Free Space.*Absolute"), "パーセルディレクトリの空き容量（絶対値）", _xlfn.REGEXTEST(C101, "Parcel Directory Free Space.*Percentage"), "パーセルディレクトリの空き容量割合（%）", _xlfn.REGEXTEST(C101, "Host Network Frame Error Percentage"), "ホストのネットワークフレームエラー割合（%）", _xlfn.REGEXTEST(C101, "Network Interfaces Slow Link Modes"), "ホストのネットワークインターフェースの低速リンクモード検出", _xlfn.REGEXTEST(C101, "Host Memory Swapping"), "ホストのメモリのスワップ発生状態", TRUE, "要手動確認")</f>
        <v>ログディレクトリの空き容量割合（%）</v>
      </c>
      <c r="H101" s="479" t="s">
        <v>689</v>
      </c>
    </row>
    <row r="102" spans="1:8" ht="33.6">
      <c r="A102" s="468"/>
      <c r="B102" s="473"/>
      <c r="C102" s="471" t="s">
        <v>749</v>
      </c>
      <c r="D102" s="471" t="s">
        <v>750</v>
      </c>
      <c r="E102" s="471" t="s">
        <v>870</v>
      </c>
      <c r="F102" s="471"/>
      <c r="G102" s="471" t="str" cm="1">
        <f t="array" ref="G102">_xlfn.IFS(C102 = "", "", _xlfn.REGEXTEST(C102, "Schema Registry Server Monitoring"), "Schema Registry Serverの稼働状態監視", _xlfn.REGEXTEST(C102, "SRM Service Monitoring"), "SRMサービスの稼働状態監視", _xlfn.REGEXTEST(C102, "SRM Driver Monitoring"), "SRMドライバーの稼働状態監視", _xlfn.REGEXTEST(C102, "Loggin"), "ログ出力状態・設定監視", _xlfn.REGEXTEST(C102, "Server Monitoring"), "サーバーの稼働状態監視", _xlfn.REGEXTEST(C102, "Server Connection Count"), "サーバーの接続数（コネクション数）", _xlfn.REGEXTEST(C102, "Server Outstanding Requests"), "サーバーの未処理リクエスト数（滞留要求数）", _xlfn.REGEXTEST(C102, "Repository Status"), "リポジトリのステータス状態", _xlfn.REGEXTEST(C102, "Monitor Long Running Task"), "長時間実行タスク（ジョブ）の監視", _xlfn.REGEXTEST(C102, "Token requests per second"), "1秒あたりのトークンリクエスト数（要求レート）", _xlfn.REGEXTEST(C102, "Connection Model Score"), "接続モデルスコア（コネクション品質）", _xlfn.REGEXTEST(C102, "Queue swap"), "キューのスワップ発生状態", _xlfn.REGEXTEST(C102, "NiFi Node Monitoring"), "NiFiノードの稼働状態監視", _xlfn.REGEXTEST(C102, "Host Clock Offset"), "ホストのクロックオフセット（時刻同期のズレ）", _xlfn.REGEXTEST(C102, "Memory Overcommit Validation"), "メモリオーバーコミット設定の検証", _xlfn.REGEXTEST(C102, "Gateway Logging"), "ゲートウェイのログ出力設定", _xlfn.REGEXTEST(C102, "CPU Balance"), "CPU使用率の分散バランス状態", _xlfn.REGEXTEST(C102, "Disk Balance"), "ディスク使用量の分散バランス状態", _xlfn.REGEXTEST(C102, "Network Inbound Balance"), "ネットワークインバウンド（受信）の分散バランス状態", _xlfn.REGEXTEST(C102, "Network Outbound Balance"), "ネットワークアウトバウンド（送信）の分散バランス状態", _xlfn.REGEXTEST(C102, "Replica Count Balance"), "レプリカ数の分散バランス状態", _xlfn.REGEXTEST(C102, "Disk Capacity"), "ディスク総容量の限界・使用容量", _xlfn.REGEXTEST(C102, "CPU Capacity"), "CPU総処理能力の限界・使用量", _xlfn.REGEXTEST(C102, "Network Inbound Capacity"), "ネットワークインバウンド（受信）帯域の限界・使用量", _xlfn.REGEXTEST(C102, "Network Outbound Capacity"), "ネットワークアウトバウンド（送信）帯域の限界・使用量", _xlfn.REGEXTEST(C102, "Leader Replica Count Balance"), "リーダーレプリカ数の分散バランス状態", _xlfn.REGEXTEST(C102, "Host DNS Resolution Duration"), "ホストのDNS名前解決の所要時間", _xlfn.REGEXTEST(C102, "TLS Certificate Expiry"), "TLS証明書の有効期限切れ", _xlfn.REGEXTEST(C102, "Host Entropy"), "ホストのエントロピー（乱数生成能力）の不足", _xlfn.REGEXTEST(C102, "File Descriptor"), "プロセスのファイルディスクリプタ使用率", _xlfn.REGEXTEST(C102, "Unexpected Exits"), "プロセスの異常終了（予期せぬ停止）", _xlfn.REGEXTEST(C102, "Swap Memory Thresholds"), "プロセスのスワップメモリ使用量", _xlfn.REGEXTEST(C102, "Swap Memory Usage Rate"), "スワップメモリ使用量の変化率（増加速度）", _xlfn.REGEXTEST(C102, "Log Directory Free Space.*Absolute"), "ログディレクトリの空き容量（絶対値）", _xlfn.REGEXTEST(C102, "Log Directory Free Space.*Percentage"), "ログディレクトリの空き容量割合（%）", _xlfn.REGEXTEST(C102, "Heap Dump Directory Free Space.*Absolute"), "ヒープダンプディレクトリの空き容量（絶対値）", _xlfn.REGEXTEST(C102, "Heap Dump Directory Free Space.*Percentage"), "ヒープダンプディレクトリの空き容量割合（%）", _xlfn.REGEXTEST(C102, "Data Directory Free Space.*Absolute"), "データディレクトリの空き容量（絶対値）", _xlfn.REGEXTEST(C102, "Data Directory Free Space.*Percentage"), "データディレクトリの空き容量割合（%）", _xlfn.REGEXTEST(C102, "Transaction Log Directory Free Space.*Absolute"), "トランザクションログディレクトリの空き容量（絶対値）", _xlfn.REGEXTEST(C102, "Logging Threshold|Logger Threshold"), "ログ出力レベルの閾値設定", _xlfn.REGEXTEST(C102, "Enable.*Alerts"), "ヘルスアラートの有効化状態", _xlfn.REGEXTEST(C102, "Triggers"), "カスタムアラート条件（トリガー設定）", _xlfn.REGEXTEST(C102, "Healthy Kafka Broker"), "Kafka Brokerの健全ノード割合（稼働率）", _xlfn.REGEXTEST(C102, "Healthy Kafka Connect"), "Kafka Connectの健全ノード割合（稼働率）", _xlfn.REGEXTEST(C102, "Healthy KRaft Controller"), "KRaft Controllerの健全ノード割合（稼働率）", _xlfn.REGEXTEST(C102, "Healthy Knox IDBroker"), "Knox IDBrokerの健全ノード割合（稼働率）", _xlfn.REGEXTEST(C102, "Healthy Knox Gateway"), "Knox Gatewayの健全ノード割合（稼働率）", _xlfn.REGEXTEST(C102, "Healthy ZooKeeper Server"), "ZooKeeper Serverの健全ノード割合（稼働率）", _xlfn.REGEXTEST(C102, "Healthy NodeManager"), "NodeManagerの健全ノード割合（稼働率）", _xlfn.REGEXTEST(C102, "Maximum Latency"), "リクエストの最大レイテンシ（処理遅延）", _xlfn.REGEXTEST(C102, "Garbage Collection Duration"), "Javaのガベージコレクション（GC）の所要時間", _xlfn.REGEXTEST(C102, "Spool Directory Usage"), "Rangerプラグインのスプールディレクトリ使用量", _xlfn.REGEXTEST(C102, "Process Directory Free Space Monitoring Absolute"), "プロセスディレクトリの空き容量（絶対値)", _xlfn.REGEXTEST(C102, "Process Directory Free Space.*Percentage"), "プロセスディレクトリの空き容量割合（%）", _xlfn.REGEXTEST(C102, "Parcel Directory Free Space.*Absolute"), "パーセルディレクトリの空き容量（絶対値）", _xlfn.REGEXTEST(C102, "Parcel Directory Free Space.*Percentage"), "パーセルディレクトリの空き容量割合（%）", _xlfn.REGEXTEST(C102, "Host Network Frame Error Percentage"), "ホストのネットワークフレームエラー割合（%）", _xlfn.REGEXTEST(C102, "Network Interfaces Slow Link Modes"), "ホストのネットワークインターフェースの低速リンクモード検出", _xlfn.REGEXTEST(C102, "Host Memory Swapping"), "ホストのメモリのスワップ発生状態", TRUE, "要手動確認")</f>
        <v>プロセスの異常終了（予期せぬ停止）</v>
      </c>
      <c r="H102" s="479" t="s">
        <v>818</v>
      </c>
    </row>
    <row r="103" spans="1:8" ht="33.6">
      <c r="A103" s="468"/>
      <c r="B103" s="473"/>
      <c r="C103" s="471" t="s">
        <v>755</v>
      </c>
      <c r="D103" s="471" t="s">
        <v>756</v>
      </c>
      <c r="E103" s="471" t="s">
        <v>870</v>
      </c>
      <c r="F103" s="471"/>
      <c r="G103" s="471" t="str" cm="1">
        <f t="array" ref="G103">_xlfn.IFS(C103 = "", "", _xlfn.REGEXTEST(C103, "Schema Registry Server Monitoring"), "Schema Registry Serverの稼働状態監視", _xlfn.REGEXTEST(C103, "SRM Service Monitoring"), "SRMサービスの稼働状態監視", _xlfn.REGEXTEST(C103, "SRM Driver Monitoring"), "SRMドライバーの稼働状態監視", _xlfn.REGEXTEST(C103, "Loggin"), "ログ出力状態・設定監視", _xlfn.REGEXTEST(C103, "Server Monitoring"), "サーバーの稼働状態監視", _xlfn.REGEXTEST(C103, "Server Connection Count"), "サーバーの接続数（コネクション数）", _xlfn.REGEXTEST(C103, "Server Outstanding Requests"), "サーバーの未処理リクエスト数（滞留要求数）", _xlfn.REGEXTEST(C103, "Repository Status"), "リポジトリのステータス状態", _xlfn.REGEXTEST(C103, "Monitor Long Running Task"), "長時間実行タスク（ジョブ）の監視", _xlfn.REGEXTEST(C103, "Token requests per second"), "1秒あたりのトークンリクエスト数（要求レート）", _xlfn.REGEXTEST(C103, "Connection Model Score"), "接続モデルスコア（コネクション品質）", _xlfn.REGEXTEST(C103, "Queue swap"), "キューのスワップ発生状態", _xlfn.REGEXTEST(C103, "NiFi Node Monitoring"), "NiFiノードの稼働状態監視", _xlfn.REGEXTEST(C103, "Host Clock Offset"), "ホストのクロックオフセット（時刻同期のズレ）", _xlfn.REGEXTEST(C103, "Memory Overcommit Validation"), "メモリオーバーコミット設定の検証", _xlfn.REGEXTEST(C103, "Gateway Logging"), "ゲートウェイのログ出力設定", _xlfn.REGEXTEST(C103, "CPU Balance"), "CPU使用率の分散バランス状態", _xlfn.REGEXTEST(C103, "Disk Balance"), "ディスク使用量の分散バランス状態", _xlfn.REGEXTEST(C103, "Network Inbound Balance"), "ネットワークインバウンド（受信）の分散バランス状態", _xlfn.REGEXTEST(C103, "Network Outbound Balance"), "ネットワークアウトバウンド（送信）の分散バランス状態", _xlfn.REGEXTEST(C103, "Replica Count Balance"), "レプリカ数の分散バランス状態", _xlfn.REGEXTEST(C103, "Disk Capacity"), "ディスク総容量の限界・使用容量", _xlfn.REGEXTEST(C103, "CPU Capacity"), "CPU総処理能力の限界・使用量", _xlfn.REGEXTEST(C103, "Network Inbound Capacity"), "ネットワークインバウンド（受信）帯域の限界・使用量", _xlfn.REGEXTEST(C103, "Network Outbound Capacity"), "ネットワークアウトバウンド（送信）帯域の限界・使用量", _xlfn.REGEXTEST(C103, "Leader Replica Count Balance"), "リーダーレプリカ数の分散バランス状態", _xlfn.REGEXTEST(C103, "Host DNS Resolution Duration"), "ホストのDNS名前解決の所要時間", _xlfn.REGEXTEST(C103, "TLS Certificate Expiry"), "TLS証明書の有効期限切れ", _xlfn.REGEXTEST(C103, "Host Entropy"), "ホストのエントロピー（乱数生成能力）の不足", _xlfn.REGEXTEST(C103, "File Descriptor"), "プロセスのファイルディスクリプタ使用率", _xlfn.REGEXTEST(C103, "Unexpected Exits"), "プロセスの異常終了（予期せぬ停止）", _xlfn.REGEXTEST(C103, "Swap Memory Thresholds"), "プロセスのスワップメモリ使用量", _xlfn.REGEXTEST(C103, "Swap Memory Usage Rate"), "スワップメモリ使用量の変化率（増加速度）", _xlfn.REGEXTEST(C103, "Log Directory Free Space.*Absolute"), "ログディレクトリの空き容量（絶対値）", _xlfn.REGEXTEST(C103, "Log Directory Free Space.*Percentage"), "ログディレクトリの空き容量割合（%）", _xlfn.REGEXTEST(C103, "Heap Dump Directory Free Space.*Absolute"), "ヒープダンプディレクトリの空き容量（絶対値）", _xlfn.REGEXTEST(C103, "Heap Dump Directory Free Space.*Percentage"), "ヒープダンプディレクトリの空き容量割合（%）", _xlfn.REGEXTEST(C103, "Data Directory Free Space.*Absolute"), "データディレクトリの空き容量（絶対値）", _xlfn.REGEXTEST(C103, "Data Directory Free Space.*Percentage"), "データディレクトリの空き容量割合（%）", _xlfn.REGEXTEST(C103, "Transaction Log Directory Free Space.*Absolute"), "トランザクションログディレクトリの空き容量（絶対値）", _xlfn.REGEXTEST(C103, "Logging Threshold|Logger Threshold"), "ログ出力レベルの閾値設定", _xlfn.REGEXTEST(C103, "Enable.*Alerts"), "ヘルスアラートの有効化状態", _xlfn.REGEXTEST(C103, "Triggers"), "カスタムアラート条件（トリガー設定）", _xlfn.REGEXTEST(C103, "Healthy Kafka Broker"), "Kafka Brokerの健全ノード割合（稼働率）", _xlfn.REGEXTEST(C103, "Healthy Kafka Connect"), "Kafka Connectの健全ノード割合（稼働率）", _xlfn.REGEXTEST(C103, "Healthy KRaft Controller"), "KRaft Controllerの健全ノード割合（稼働率）", _xlfn.REGEXTEST(C103, "Healthy Knox IDBroker"), "Knox IDBrokerの健全ノード割合（稼働率）", _xlfn.REGEXTEST(C103, "Healthy Knox Gateway"), "Knox Gatewayの健全ノード割合（稼働率）", _xlfn.REGEXTEST(C103, "Healthy ZooKeeper Server"), "ZooKeeper Serverの健全ノード割合（稼働率）", _xlfn.REGEXTEST(C103, "Healthy NodeManager"), "NodeManagerの健全ノード割合（稼働率）", _xlfn.REGEXTEST(C103, "Maximum Latency"), "リクエストの最大レイテンシ（処理遅延）", _xlfn.REGEXTEST(C103, "Garbage Collection Duration"), "Javaのガベージコレクション（GC）の所要時間", _xlfn.REGEXTEST(C103, "Spool Directory Usage"), "Rangerプラグインのスプールディレクトリ使用量", _xlfn.REGEXTEST(C103, "Process Directory Free Space Monitoring Absolute"), "プロセスディレクトリの空き容量（絶対値)", _xlfn.REGEXTEST(C103, "Process Directory Free Space.*Percentage"), "プロセスディレクトリの空き容量割合（%）", _xlfn.REGEXTEST(C103, "Parcel Directory Free Space.*Absolute"), "パーセルディレクトリの空き容量（絶対値）", _xlfn.REGEXTEST(C103, "Parcel Directory Free Space.*Percentage"), "パーセルディレクトリの空き容量割合（%）", _xlfn.REGEXTEST(C103, "Host Network Frame Error Percentage"), "ホストのネットワークフレームエラー割合（%）", _xlfn.REGEXTEST(C103, "Network Interfaces Slow Link Modes"), "ホストのネットワークインターフェースの低速リンクモード検出", _xlfn.REGEXTEST(C103, "Host Memory Swapping"), "ホストのメモリのスワップ発生状態", TRUE, "要手動確認")</f>
        <v>プロセスのスワップメモリ使用量</v>
      </c>
      <c r="H103" s="479" t="s">
        <v>819</v>
      </c>
    </row>
    <row r="104" spans="1:8" ht="33.6">
      <c r="A104" s="468"/>
      <c r="B104" s="473"/>
      <c r="C104" s="471" t="s">
        <v>758</v>
      </c>
      <c r="D104" s="471" t="s">
        <v>759</v>
      </c>
      <c r="E104" s="471" t="s">
        <v>870</v>
      </c>
      <c r="F104" s="471"/>
      <c r="G104" s="471" t="str" cm="1">
        <f t="array" ref="G104">_xlfn.IFS(C104 = "", "", _xlfn.REGEXTEST(C104, "Schema Registry Server Monitoring"), "Schema Registry Serverの稼働状態監視", _xlfn.REGEXTEST(C104, "SRM Service Monitoring"), "SRMサービスの稼働状態監視", _xlfn.REGEXTEST(C104, "SRM Driver Monitoring"), "SRMドライバーの稼働状態監視", _xlfn.REGEXTEST(C104, "Loggin"), "ログ出力状態・設定監視", _xlfn.REGEXTEST(C104, "Server Monitoring"), "サーバーの稼働状態監視", _xlfn.REGEXTEST(C104, "Server Connection Count"), "サーバーの接続数（コネクション数）", _xlfn.REGEXTEST(C104, "Server Outstanding Requests"), "サーバーの未処理リクエスト数（滞留要求数）", _xlfn.REGEXTEST(C104, "Repository Status"), "リポジトリのステータス状態", _xlfn.REGEXTEST(C104, "Monitor Long Running Task"), "長時間実行タスク（ジョブ）の監視", _xlfn.REGEXTEST(C104, "Token requests per second"), "1秒あたりのトークンリクエスト数（要求レート）", _xlfn.REGEXTEST(C104, "Connection Model Score"), "接続モデルスコア（コネクション品質）", _xlfn.REGEXTEST(C104, "Queue swap"), "キューのスワップ発生状態", _xlfn.REGEXTEST(C104, "NiFi Node Monitoring"), "NiFiノードの稼働状態監視", _xlfn.REGEXTEST(C104, "Host Clock Offset"), "ホストのクロックオフセット（時刻同期のズレ）", _xlfn.REGEXTEST(C104, "Memory Overcommit Validation"), "メモリオーバーコミット設定の検証", _xlfn.REGEXTEST(C104, "Gateway Logging"), "ゲートウェイのログ出力設定", _xlfn.REGEXTEST(C104, "CPU Balance"), "CPU使用率の分散バランス状態", _xlfn.REGEXTEST(C104, "Disk Balance"), "ディスク使用量の分散バランス状態", _xlfn.REGEXTEST(C104, "Network Inbound Balance"), "ネットワークインバウンド（受信）の分散バランス状態", _xlfn.REGEXTEST(C104, "Network Outbound Balance"), "ネットワークアウトバウンド（送信）の分散バランス状態", _xlfn.REGEXTEST(C104, "Replica Count Balance"), "レプリカ数の分散バランス状態", _xlfn.REGEXTEST(C104, "Disk Capacity"), "ディスク総容量の限界・使用容量", _xlfn.REGEXTEST(C104, "CPU Capacity"), "CPU総処理能力の限界・使用量", _xlfn.REGEXTEST(C104, "Network Inbound Capacity"), "ネットワークインバウンド（受信）帯域の限界・使用量", _xlfn.REGEXTEST(C104, "Network Outbound Capacity"), "ネットワークアウトバウンド（送信）帯域の限界・使用量", _xlfn.REGEXTEST(C104, "Leader Replica Count Balance"), "リーダーレプリカ数の分散バランス状態", _xlfn.REGEXTEST(C104, "Host DNS Resolution Duration"), "ホストのDNS名前解決の所要時間", _xlfn.REGEXTEST(C104, "TLS Certificate Expiry"), "TLS証明書の有効期限切れ", _xlfn.REGEXTEST(C104, "Host Entropy"), "ホストのエントロピー（乱数生成能力）の不足", _xlfn.REGEXTEST(C104, "File Descriptor"), "プロセスのファイルディスクリプタ使用率", _xlfn.REGEXTEST(C104, "Unexpected Exits"), "プロセスの異常終了（予期せぬ停止）", _xlfn.REGEXTEST(C104, "Swap Memory Thresholds"), "プロセスのスワップメモリ使用量", _xlfn.REGEXTEST(C104, "Swap Memory Usage Rate"), "スワップメモリ使用量の変化率（増加速度）", _xlfn.REGEXTEST(C104, "Log Directory Free Space.*Absolute"), "ログディレクトリの空き容量（絶対値）", _xlfn.REGEXTEST(C104, "Log Directory Free Space.*Percentage"), "ログディレクトリの空き容量割合（%）", _xlfn.REGEXTEST(C104, "Heap Dump Directory Free Space.*Absolute"), "ヒープダンプディレクトリの空き容量（絶対値）", _xlfn.REGEXTEST(C104, "Heap Dump Directory Free Space.*Percentage"), "ヒープダンプディレクトリの空き容量割合（%）", _xlfn.REGEXTEST(C104, "Data Directory Free Space.*Absolute"), "データディレクトリの空き容量（絶対値）", _xlfn.REGEXTEST(C104, "Data Directory Free Space.*Percentage"), "データディレクトリの空き容量割合（%）", _xlfn.REGEXTEST(C104, "Transaction Log Directory Free Space.*Absolute"), "トランザクションログディレクトリの空き容量（絶対値）", _xlfn.REGEXTEST(C104, "Logging Threshold|Logger Threshold"), "ログ出力レベルの閾値設定", _xlfn.REGEXTEST(C104, "Enable.*Alerts"), "ヘルスアラートの有効化状態", _xlfn.REGEXTEST(C104, "Triggers"), "カスタムアラート条件（トリガー設定）", _xlfn.REGEXTEST(C104, "Healthy Kafka Broker"), "Kafka Brokerの健全ノード割合（稼働率）", _xlfn.REGEXTEST(C104, "Healthy Kafka Connect"), "Kafka Connectの健全ノード割合（稼働率）", _xlfn.REGEXTEST(C104, "Healthy KRaft Controller"), "KRaft Controllerの健全ノード割合（稼働率）", _xlfn.REGEXTEST(C104, "Healthy Knox IDBroker"), "Knox IDBrokerの健全ノード割合（稼働率）", _xlfn.REGEXTEST(C104, "Healthy Knox Gateway"), "Knox Gatewayの健全ノード割合（稼働率）", _xlfn.REGEXTEST(C104, "Healthy ZooKeeper Server"), "ZooKeeper Serverの健全ノード割合（稼働率）", _xlfn.REGEXTEST(C104, "Healthy NodeManager"), "NodeManagerの健全ノード割合（稼働率）", _xlfn.REGEXTEST(C104, "Maximum Latency"), "リクエストの最大レイテンシ（処理遅延）", _xlfn.REGEXTEST(C104, "Garbage Collection Duration"), "Javaのガベージコレクション（GC）の所要時間", _xlfn.REGEXTEST(C104, "Spool Directory Usage"), "Rangerプラグインのスプールディレクトリ使用量", _xlfn.REGEXTEST(C104, "Process Directory Free Space Monitoring Absolute"), "プロセスディレクトリの空き容量（絶対値)", _xlfn.REGEXTEST(C104, "Process Directory Free Space.*Percentage"), "プロセスディレクトリの空き容量割合（%）", _xlfn.REGEXTEST(C104, "Parcel Directory Free Space.*Absolute"), "パーセルディレクトリの空き容量（絶対値）", _xlfn.REGEXTEST(C104, "Parcel Directory Free Space.*Percentage"), "パーセルディレクトリの空き容量割合（%）", _xlfn.REGEXTEST(C104, "Host Network Frame Error Percentage"), "ホストのネットワークフレームエラー割合（%）", _xlfn.REGEXTEST(C104, "Network Interfaces Slow Link Modes"), "ホストのネットワークインターフェースの低速リンクモード検出", _xlfn.REGEXTEST(C104, "Host Memory Swapping"), "ホストのメモリのスワップ発生状態", TRUE, "要手動確認")</f>
        <v>スワップメモリ使用量の変化率（増加速度）</v>
      </c>
      <c r="H104" s="479" t="s">
        <v>689</v>
      </c>
    </row>
    <row r="105" spans="1:8" ht="33.6">
      <c r="A105" s="468"/>
      <c r="B105" s="473"/>
      <c r="C105" s="471" t="s">
        <v>872</v>
      </c>
      <c r="D105" s="471" t="s">
        <v>764</v>
      </c>
      <c r="E105" s="471" t="s">
        <v>870</v>
      </c>
      <c r="F105" s="471"/>
      <c r="G105" s="471" t="str" cm="1">
        <f t="array" ref="G105">_xlfn.IFS(C105 = "", "", _xlfn.REGEXTEST(C105, "Schema Registry Server Monitoring"), "Schema Registry Serverの稼働状態監視", _xlfn.REGEXTEST(C105, "SRM Service Monitoring"), "SRMサービスの稼働状態監視", _xlfn.REGEXTEST(C105, "SRM Driver Monitoring"), "SRMドライバーの稼働状態監視", _xlfn.REGEXTEST(C105, "Loggin"), "ログ出力状態・設定監視", _xlfn.REGEXTEST(C105, "Server Monitoring"), "サーバーの稼働状態監視", _xlfn.REGEXTEST(C105, "Server Connection Count"), "サーバーの接続数（コネクション数）", _xlfn.REGEXTEST(C105, "Server Outstanding Requests"), "サーバーの未処理リクエスト数（滞留要求数）", _xlfn.REGEXTEST(C105, "Repository Status"), "リポジトリのステータス状態", _xlfn.REGEXTEST(C105, "Monitor Long Running Task"), "長時間実行タスク（ジョブ）の監視", _xlfn.REGEXTEST(C105, "Token requests per second"), "1秒あたりのトークンリクエスト数（要求レート）", _xlfn.REGEXTEST(C105, "Connection Model Score"), "接続モデルスコア（コネクション品質）", _xlfn.REGEXTEST(C105, "Queue swap"), "キューのスワップ発生状態", _xlfn.REGEXTEST(C105, "NiFi Node Monitoring"), "NiFiノードの稼働状態監視", _xlfn.REGEXTEST(C105, "Host Clock Offset"), "ホストのクロックオフセット（時刻同期のズレ）", _xlfn.REGEXTEST(C105, "Memory Overcommit Validation"), "メモリオーバーコミット設定の検証", _xlfn.REGEXTEST(C105, "Gateway Logging"), "ゲートウェイのログ出力設定", _xlfn.REGEXTEST(C105, "CPU Balance"), "CPU使用率の分散バランス状態", _xlfn.REGEXTEST(C105, "Disk Balance"), "ディスク使用量の分散バランス状態", _xlfn.REGEXTEST(C105, "Network Inbound Balance"), "ネットワークインバウンド（受信）の分散バランス状態", _xlfn.REGEXTEST(C105, "Network Outbound Balance"), "ネットワークアウトバウンド（送信）の分散バランス状態", _xlfn.REGEXTEST(C105, "Replica Count Balance"), "レプリカ数の分散バランス状態", _xlfn.REGEXTEST(C105, "Disk Capacity"), "ディスク総容量の限界・使用容量", _xlfn.REGEXTEST(C105, "CPU Capacity"), "CPU総処理能力の限界・使用量", _xlfn.REGEXTEST(C105, "Network Inbound Capacity"), "ネットワークインバウンド（受信）帯域の限界・使用量", _xlfn.REGEXTEST(C105, "Network Outbound Capacity"), "ネットワークアウトバウンド（送信）帯域の限界・使用量", _xlfn.REGEXTEST(C105, "Leader Replica Count Balance"), "リーダーレプリカ数の分散バランス状態", _xlfn.REGEXTEST(C105, "Host DNS Resolution Duration"), "ホストのDNS名前解決の所要時間", _xlfn.REGEXTEST(C105, "TLS Certificate Expiry"), "TLS証明書の有効期限切れ", _xlfn.REGEXTEST(C105, "Host Entropy"), "ホストのエントロピー（乱数生成能力）の不足", _xlfn.REGEXTEST(C105, "File Descriptor"), "プロセスのファイルディスクリプタ使用率", _xlfn.REGEXTEST(C105, "Unexpected Exits"), "プロセスの異常終了（予期せぬ停止）", _xlfn.REGEXTEST(C105, "Swap Memory Thresholds"), "プロセスのスワップメモリ使用量", _xlfn.REGEXTEST(C105, "Swap Memory Usage Rate"), "スワップメモリ使用量の変化率（増加速度）", _xlfn.REGEXTEST(C105, "Log Directory Free Space.*Absolute"), "ログディレクトリの空き容量（絶対値）", _xlfn.REGEXTEST(C105, "Log Directory Free Space.*Percentage"), "ログディレクトリの空き容量割合（%）", _xlfn.REGEXTEST(C105, "Heap Dump Directory Free Space.*Absolute"), "ヒープダンプディレクトリの空き容量（絶対値）", _xlfn.REGEXTEST(C105, "Heap Dump Directory Free Space.*Percentage"), "ヒープダンプディレクトリの空き容量割合（%）", _xlfn.REGEXTEST(C105, "Data Directory Free Space.*Absolute"), "データディレクトリの空き容量（絶対値）", _xlfn.REGEXTEST(C105, "Data Directory Free Space.*Percentage"), "データディレクトリの空き容量割合（%）", _xlfn.REGEXTEST(C105, "Transaction Log Directory Free Space.*Absolute"), "トランザクションログディレクトリの空き容量（絶対値）", _xlfn.REGEXTEST(C105, "Logging Threshold|Logger Threshold"), "ログ出力レベルの閾値設定", _xlfn.REGEXTEST(C105, "Enable.*Alerts"), "ヘルスアラートの有効化状態", _xlfn.REGEXTEST(C105, "Triggers"), "カスタムアラート条件（トリガー設定）", _xlfn.REGEXTEST(C105, "Healthy Kafka Broker"), "Kafka Brokerの健全ノード割合（稼働率）", _xlfn.REGEXTEST(C105, "Healthy Kafka Connect"), "Kafka Connectの健全ノード割合（稼働率）", _xlfn.REGEXTEST(C105, "Healthy KRaft Controller"), "KRaft Controllerの健全ノード割合（稼働率）", _xlfn.REGEXTEST(C105, "Healthy Knox IDBroker"), "Knox IDBrokerの健全ノード割合（稼働率）", _xlfn.REGEXTEST(C105, "Healthy Knox Gateway"), "Knox Gatewayの健全ノード割合（稼働率）", _xlfn.REGEXTEST(C105, "Healthy ZooKeeper Server"), "ZooKeeper Serverの健全ノード割合（稼働率）", _xlfn.REGEXTEST(C105, "Healthy NodeManager"), "NodeManagerの健全ノード割合（稼働率）", _xlfn.REGEXTEST(C105, "Maximum Latency"), "リクエストの最大レイテンシ（処理遅延）", _xlfn.REGEXTEST(C105, "Garbage Collection Duration"), "Javaのガベージコレクション（GC）の所要時間", _xlfn.REGEXTEST(C105, "Spool Directory Usage"), "Rangerプラグインのスプールディレクトリ使用量", _xlfn.REGEXTEST(C105, "Process Directory Free Space Monitoring Absolute"), "プロセスディレクトリの空き容量（絶対値)", _xlfn.REGEXTEST(C105, "Process Directory Free Space.*Percentage"), "プロセスディレクトリの空き容量割合（%）", _xlfn.REGEXTEST(C105, "Parcel Directory Free Space.*Absolute"), "パーセルディレクトリの空き容量（絶対値）", _xlfn.REGEXTEST(C105, "Parcel Directory Free Space.*Percentage"), "パーセルディレクトリの空き容量割合（%）", _xlfn.REGEXTEST(C105, "Host Network Frame Error Percentage"), "ホストのネットワークフレームエラー割合（%）", _xlfn.REGEXTEST(C105, "Network Interfaces Slow Link Modes"), "ホストのネットワークインターフェースの低速リンクモード検出", _xlfn.REGEXTEST(C105, "Host Memory Swapping"), "ホストのメモリのスワップ発生状態", TRUE, "要手動確認")</f>
        <v>Rangerプラグインのスプールディレクトリ使用量</v>
      </c>
      <c r="H105" s="479" t="s">
        <v>867</v>
      </c>
    </row>
    <row r="106" spans="1:8" ht="33.6">
      <c r="A106" s="514"/>
      <c r="B106" s="470"/>
      <c r="C106" s="471" t="s">
        <v>736</v>
      </c>
      <c r="D106" s="471" t="s">
        <v>873</v>
      </c>
      <c r="E106" s="471" t="s">
        <v>874</v>
      </c>
      <c r="F106" s="471"/>
      <c r="G106" s="471" t="str" cm="1">
        <f t="array" ref="G106">_xlfn.IFS(C106 = "", "", _xlfn.REGEXTEST(C106, "Schema Registry Server Monitoring"), "Schema Registry Serverの稼働状態監視", _xlfn.REGEXTEST(C106, "SRM Service Monitoring"), "SRMサービスの稼働状態監視", _xlfn.REGEXTEST(C106, "SRM Driver Monitoring"), "SRMドライバーの稼働状態監視", _xlfn.REGEXTEST(C106, "Loggin"), "ログ出力状態・設定監視", _xlfn.REGEXTEST(C106, "Server Monitoring"), "サーバーの稼働状態監視", _xlfn.REGEXTEST(C106, "Server Connection Count"), "サーバーの接続数（コネクション数）", _xlfn.REGEXTEST(C106, "Server Outstanding Requests"), "サーバーの未処理リクエスト数（滞留要求数）", _xlfn.REGEXTEST(C106, "Repository Status"), "リポジトリのステータス状態", _xlfn.REGEXTEST(C106, "Monitor Long Running Task"), "長時間実行タスク（ジョブ）の監視", _xlfn.REGEXTEST(C106, "Token requests per second"), "1秒あたりのトークンリクエスト数（要求レート）", _xlfn.REGEXTEST(C106, "Connection Model Score"), "接続モデルスコア（コネクション品質）", _xlfn.REGEXTEST(C106, "Queue swap"), "キューのスワップ発生状態", _xlfn.REGEXTEST(C106, "NiFi Node Monitoring"), "NiFiノードの稼働状態監視", _xlfn.REGEXTEST(C106, "Host Clock Offset"), "ホストのクロックオフセット（時刻同期のズレ）", _xlfn.REGEXTEST(C106, "Memory Overcommit Validation"), "メモリオーバーコミット設定の検証", _xlfn.REGEXTEST(C106, "Gateway Logging"), "ゲートウェイのログ出力設定", _xlfn.REGEXTEST(C106, "CPU Balance"), "CPU使用率の分散バランス状態", _xlfn.REGEXTEST(C106, "Disk Balance"), "ディスク使用量の分散バランス状態", _xlfn.REGEXTEST(C106, "Network Inbound Balance"), "ネットワークインバウンド（受信）の分散バランス状態", _xlfn.REGEXTEST(C106, "Network Outbound Balance"), "ネットワークアウトバウンド（送信）の分散バランス状態", _xlfn.REGEXTEST(C106, "Replica Count Balance"), "レプリカ数の分散バランス状態", _xlfn.REGEXTEST(C106, "Disk Capacity"), "ディスク総容量の限界・使用容量", _xlfn.REGEXTEST(C106, "CPU Capacity"), "CPU総処理能力の限界・使用量", _xlfn.REGEXTEST(C106, "Network Inbound Capacity"), "ネットワークインバウンド（受信）帯域の限界・使用量", _xlfn.REGEXTEST(C106, "Network Outbound Capacity"), "ネットワークアウトバウンド（送信）帯域の限界・使用量", _xlfn.REGEXTEST(C106, "Leader Replica Count Balance"), "リーダーレプリカ数の分散バランス状態", _xlfn.REGEXTEST(C106, "Host DNS Resolution Duration"), "ホストのDNS名前解決の所要時間", _xlfn.REGEXTEST(C106, "TLS Certificate Expiry"), "TLS証明書の有効期限切れ", _xlfn.REGEXTEST(C106, "Host Entropy"), "ホストのエントロピー（乱数生成能力）の不足", _xlfn.REGEXTEST(C106, "File Descriptor"), "プロセスのファイルディスクリプタ使用率", _xlfn.REGEXTEST(C106, "Unexpected Exits"), "プロセスの異常終了（予期せぬ停止）", _xlfn.REGEXTEST(C106, "Swap Memory Thresholds"), "プロセスのスワップメモリ使用量", _xlfn.REGEXTEST(C106, "Swap Memory Usage Rate"), "スワップメモリ使用量の変化率（増加速度）", _xlfn.REGEXTEST(C106, "Log Directory Free Space.*Absolute"), "ログディレクトリの空き容量（絶対値）", _xlfn.REGEXTEST(C106, "Log Directory Free Space.*Percentage"), "ログディレクトリの空き容量割合（%）", _xlfn.REGEXTEST(C106, "Heap Dump Directory Free Space.*Absolute"), "ヒープダンプディレクトリの空き容量（絶対値）", _xlfn.REGEXTEST(C106, "Heap Dump Directory Free Space.*Percentage"), "ヒープダンプディレクトリの空き容量割合（%）", _xlfn.REGEXTEST(C106, "Data Directory Free Space.*Absolute"), "データディレクトリの空き容量（絶対値）", _xlfn.REGEXTEST(C106, "Data Directory Free Space.*Percentage"), "データディレクトリの空き容量割合（%）", _xlfn.REGEXTEST(C106, "Transaction Log Directory Free Space.*Absolute"), "トランザクションログディレクトリの空き容量（絶対値）", _xlfn.REGEXTEST(C106, "Logging Threshold|Logger Threshold"), "ログ出力レベルの閾値設定", _xlfn.REGEXTEST(C106, "Enable.*Alerts"), "ヘルスアラートの有効化状態", _xlfn.REGEXTEST(C106, "Triggers"), "カスタムアラート条件（トリガー設定）", _xlfn.REGEXTEST(C106, "Healthy Kafka Broker"), "Kafka Brokerの健全ノード割合（稼働率）", _xlfn.REGEXTEST(C106, "Healthy Kafka Connect"), "Kafka Connectの健全ノード割合（稼働率）", _xlfn.REGEXTEST(C106, "Healthy KRaft Controller"), "KRaft Controllerの健全ノード割合（稼働率）", _xlfn.REGEXTEST(C106, "Healthy Knox IDBroker"), "Knox IDBrokerの健全ノード割合（稼働率）", _xlfn.REGEXTEST(C106, "Healthy Knox Gateway"), "Knox Gatewayの健全ノード割合（稼働率）", _xlfn.REGEXTEST(C106, "Healthy ZooKeeper Server"), "ZooKeeper Serverの健全ノード割合（稼働率）", _xlfn.REGEXTEST(C106, "Healthy NodeManager"), "NodeManagerの健全ノード割合（稼働率）", _xlfn.REGEXTEST(C106, "Maximum Latency"), "リクエストの最大レイテンシ（処理遅延）", _xlfn.REGEXTEST(C106, "Garbage Collection Duration"), "Javaのガベージコレクション（GC）の所要時間", _xlfn.REGEXTEST(C106, "Spool Directory Usage"), "Rangerプラグインのスプールディレクトリ使用量", _xlfn.REGEXTEST(C106, "Process Directory Free Space Monitoring Absolute"), "プロセスディレクトリの空き容量（絶対値)", _xlfn.REGEXTEST(C106, "Process Directory Free Space.*Percentage"), "プロセスディレクトリの空き容量割合（%）", _xlfn.REGEXTEST(C106, "Parcel Directory Free Space.*Absolute"), "パーセルディレクトリの空き容量（絶対値）", _xlfn.REGEXTEST(C106, "Parcel Directory Free Space.*Percentage"), "パーセルディレクトリの空き容量割合（%）", _xlfn.REGEXTEST(C106, "Host Network Frame Error Percentage"), "ホストのネットワークフレームエラー割合（%）", _xlfn.REGEXTEST(C106, "Network Interfaces Slow Link Modes"), "ホストのネットワークインターフェースの低速リンクモード検出", _xlfn.REGEXTEST(C106, "Host Memory Swapping"), "ホストのメモリのスワップ発生状態", TRUE, "要手動確認")</f>
        <v>プロセスのファイルディスクリプタ使用率</v>
      </c>
      <c r="H106" s="479" t="s">
        <v>813</v>
      </c>
    </row>
    <row r="107" spans="1:8" ht="33.6">
      <c r="A107" s="514"/>
      <c r="B107" s="472" t="s">
        <v>875</v>
      </c>
      <c r="C107" s="471" t="s">
        <v>876</v>
      </c>
      <c r="D107" s="471" t="s">
        <v>877</v>
      </c>
      <c r="E107" s="471" t="s">
        <v>878</v>
      </c>
      <c r="F107" s="471"/>
      <c r="G107" s="471" t="str" cm="1">
        <f t="array" ref="G107">_xlfn.IFS(C107 = "", "", _xlfn.REGEXTEST(C107, "Service Metric Migrator Minimum Consecutive Successful Checks"), "サービスメトリック移行ツールの連続正常チェック最小回数", _xlfn.REGEXTEST(C107, "Rebalancing"), "リバランシング（データ再配置）状態", _xlfn.REGEXTEST(C107, "Temporary Dump Directory"), "一時ダンプディレクトリの監視", _xlfn.REGEXTEST(C107, "Safemode Extension"), "セーフモード延長状態", _xlfn.REGEXTEST(C107, "Client Idle"), "クライアントのアイドル（待機）状態", _xlfn.REGEXTEST(C107, "Available Space Policy Balanced"), "空き容量ポリシーの分散バランス状態", _xlfn.REGEXTEST(C107, "Filesystem Checkpoint Transaction"), "ファイルシステムのチェックポイントトランザクション", _xlfn.REGEXTEST(C107, "Blocks With Corrupt Replicas Monitoring"), "破損レプリカを持つブロックの監視", _xlfn.REGEXTEST(C107, "Missing Block Monitoring"), "消失（ミッシング）ブロックの監視", _xlfn.REGEXTEST(C107, "Under-replicated Block Monitoring"), "レプリカ数不足ブロックの監視", _xlfn.REGEXTEST(C107, "HDFS Free Space Monitoring"), "HDFSの空き容量監視", _xlfn.REGEXTEST(C107, "DataNode Monitoring"), "DataNodeの稼働状態監視", _xlfn.REGEXTEST(C107, "Rules to Extract Events from Log Files"), "ログファイルからのイベント抽出ルール設定", _xlfn.REGEXTEST(C107, "Free Space Monitoring$"), "空き容量監視（一般設定）", _xlfn.REGEXTEST(C107, "Transceivers Usage"), "トランシーバー使用量（データ転送スレッド数）", _xlfn.REGEXTEST(C107, "Volume Failures"), "ボリューム障害（ディスクエラー）数", _xlfn.REGEXTEST(C107, "Block Count"), "ブロック総数", _xlfn.REGEXTEST(C107, "Audit Failure"), "監査（オーディット）ログの失敗イベント", _xlfn.REGEXTEST(C107, "Web Metric Collection Duration"), "Webメトリック収集の所要時間", _xlfn.REGEXTEST(C107, "Pause Duration"), "一時停止（ポーズ）の所要時間", _xlfn.REGEXTEST(C107, "Fsync Latency"), "Fsync（ディスク同期）のレイテンシ", _xlfn.REGEXTEST(C107, "Free Space Monitoring Absolute"), "空き容量（絶対値）", _xlfn.REGEXTEST(C107, "Free Space Monitoring Percentage"), "空き容量割合（%）", _xlfn.REGEXTEST(C107, "Age Monitoring"), "経過時間の監視", _xlfn.REGEXTEST(C107, "Transactions Monitoring"), "トランザクション数の監視", _xlfn.REGEXTEST(C107, "RPC Latency"), "RPC（遠隔手続き呼出し）のレイテンシ", _xlfn.REGEXTEST(C107, "Directory Failures"), "ディレクトリ障害数", _xlfn.REGEXTEST(C107, "Out-Of-Sync JournalNodes"), "同期ズレが発生しているJournalNode数", _xlfn.REGEXTEST(C107, "Safemode Threshold Percentage"), "セーフモード解除閾値の割合（%）", _xlfn.REGEXTEST(C107, "Kerberos Ticket Renewer Monitoring"), "Kerberosチケット更新プロセスの稼働状態監視", _xlfn.REGEXTEST(C107, "Load Balancer Monitoring"), "ロードバランサーの稼働状態監視", _xlfn.REGEXTEST(C107, "Navigator Audit Failure"), "Cloudera Navigator監査ログの失敗イベント", _xlfn.REGEXTEST(C107, "Schema Registry Server Monitoring"), "Schema Registry Serverの稼働状態監視", _xlfn.REGEXTEST(C107, "SRM Service Monitoring"), "SRMサービスの稼働状態監視", _xlfn.REGEXTEST(C107, "SRM Driver Monitoring"), "SRMドライバーの稼働状態監視", _xlfn.REGEXTEST(C107, "Loggin"), "ログ出力状態・設定監視", _xlfn.REGEXTEST(C107, "Server Monitoring"), "サーバーの稼働状態監視", _xlfn.REGEXTEST(C107, "Server Connection Count"), "サーバーの接続数（コネクション数）", _xlfn.REGEXTEST(C107, "Server Outstanding Requests"), "サーバーの未処理リクエスト数（滞留要求数）", _xlfn.REGEXTEST(C107, "Repository Status"), "リポジトリのステータス状態", _xlfn.REGEXTEST(C107, "Monitor Long Running Task"), "長時間実行タスク（ジョブ）の監視", _xlfn.REGEXTEST(C107, "Token requests per second"), "1秒あたりのトークンリクエスト数（要求レート）", _xlfn.REGEXTEST(C107, "Connection Model Score"), "接続モデルスコア（コネクション品質）", _xlfn.REGEXTEST(C107, "Queue swap"), "キューのスワップ発生状態", _xlfn.REGEXTEST(C107, "NiFi Node Monitoring"), "NiFiノードの稼働状態監視", _xlfn.REGEXTEST(C107, "Host Clock Offset"), "ホストのクロックオフセット（時刻同期のズレ）", _xlfn.REGEXTEST(C107, "Memory Overcommit Validation"), "メモリオーバーコミット設定の検証", _xlfn.REGEXTEST(C107, "Gateway Logging"), "ゲートウェイのログ出力設定", _xlfn.REGEXTEST(C107, "CPU Balance"), "CPU使用率の分散バランス状態", _xlfn.REGEXTEST(C107, "Disk Balance"), "ディスク使用量の分散バランス状態", _xlfn.REGEXTEST(C107, "Network Inbound Balance"), "ネットワークインバウンド（受信）の分散バランス状態", _xlfn.REGEXTEST(C107, "Network Outbound Balance"), "ネットワークアウトバウンド（送信）の分散バランス状態", _xlfn.REGEXTEST(C107, "Replica Count Balance"), "レプリカ数の分散バランス状態", _xlfn.REGEXTEST(C107, "Disk Capacity"), "ディスク総容量の限界・使用容量", _xlfn.REGEXTEST(C107, "CPU Capacity"), "CPU総処理能力の限界・使用量", _xlfn.REGEXTEST(C107, "Network Inbound Capacity"), "ネットワークインバウンド（受信）帯域の限界・使用量", _xlfn.REGEXTEST(C107, "Network Outbound Capacity"), "ネットワークアウトバウンド（送信）帯域の限界・使用量", _xlfn.REGEXTEST(C107, "Leader Replica Count Balance"), "リーダーレプリカ数の分散バランス状態", _xlfn.REGEXTEST(C107, "Host DNS Resolution Duration"), "ホストのDNS名前解決の所要時間", _xlfn.REGEXTEST(C107, "TLS Certificate Expiry"), "TLS証明書の有効期限切れ", _xlfn.REGEXTEST(C107, "Host Entropy"), "ホストのエントロピー（乱数生成能力）の不足", _xlfn.REGEXTEST(C107, "File Descriptor"), "プロセスのファイルディスクリプタ使用率", _xlfn.REGEXTEST(C107, "Unexpected Exits"), "プロセスの異常終了（予期せぬ停止）", _xlfn.REGEXTEST(C107, "Swap Memory Thresholds"), "プロセスのスワップメモリ使用量", _xlfn.REGEXTEST(C107, "Swap Memory Usage Rate"), "スワップメモリ使用量の変化率（増加速度）", _xlfn.REGEXTEST(C107, "Log Directory Free Space.*Absolute"), "ログディレクトリの空き容量（絶対値）", _xlfn.REGEXTEST(C107, "Log Directory Free Space.*Percentage"), "ログディレクトリの空き容量割合（%）", _xlfn.REGEXTEST(C107, "Heap Dump Directory Free Space.*Absolute"), "ヒープダンプディレクトリの空き容量（絶対値）", _xlfn.REGEXTEST(C107, "Heap Dump Directory Free Space.*Percentage"), "ヒープダンプディレクトリの空き容量割合（%）", _xlfn.REGEXTEST(C107, "Data Directory Free Space.*Absolute"), "データディレクトリの空き容量（絶対値）", _xlfn.REGEXTEST(C107, "Data Directory Free Space.*Percentage"), "データディレクトリの空き容量割合（%）", _xlfn.REGEXTEST(C107, "Transaction Log Directory Free Space.*Absolute"), "トランザクションログディレクトリの空き容量（絶対値）", _xlfn.REGEXTEST(C107, "Logging Threshold|Logger Threshold"), "ログ出力レベルの閾値設定", _xlfn.REGEXTEST(C107, "Enable.*Alerts"), "ヘルスアラートの有効化状態", _xlfn.REGEXTEST(C107, "Triggers"), "カスタムアラート条件（トリガー設定）", _xlfn.REGEXTEST(C107, "Healthy Kafka Broker"), "Kafka Brokerの健全ノード割合（稼働率）", _xlfn.REGEXTEST(C107, "Healthy Kafka Connect"), "Kafka Connectの健全ノード割合（稼働率）", _xlfn.REGEXTEST(C107, "Healthy KRaft Controller"), "KRaft Controllerの健全ノード割合（稼働率）", _xlfn.REGEXTEST(C107, "Healthy Knox IDBroker"), "Knox IDBrokerの健全ノード割合（稼働率）", _xlfn.REGEXTEST(C107, "Healthy Knox Gateway"), "Knox Gatewayの健全ノード割合（稼働率）", _xlfn.REGEXTEST(C107, "Healthy ZooKeeper Server"), "ZooKeeper Serverの健全ノード割合（稼働率）", _xlfn.REGEXTEST(C107, "Healthy NodeManager"), "NodeManagerの健全ノード割合（稼働率）", _xlfn.REGEXTEST(C107, "Maximum Latency"), "リクエストの最大レイテンシ（処理遅延）", _xlfn.REGEXTEST(C107, "Garbage Collection Duration"), "Javaのガベージコレクション（GC）の所要時間", _xlfn.REGEXTEST(C107, "Spool Directory Usage"), "Rangerプラグインのスプールディレクトリ使用量", _xlfn.REGEXTEST(C107, "Process Directory Free Space Monitoring Absolute"), "プロセスディレクトリの空き容量（絶対値)", _xlfn.REGEXTEST(C107, "Process Directory Free Space.*Percentage"), "プロセスディレクトリの空き容量割合（%）", _xlfn.REGEXTEST(C107, "Parcel Directory Free Space.*Absolute"), "パーセルディレクトリの空き容量（絶対値）", _xlfn.REGEXTEST(C107, "Parcel Directory Free Space.*Percentage"), "パーセルディレクトリの空き容量割合（%）", _xlfn.REGEXTEST(C107, "Host Network Frame Error Percentage"), "ホストのネットワークフレームエラー割合（%）", _xlfn.REGEXTEST(C107, "Network Interfaces Slow Link Modes"), "ホストのネットワークインターフェースの低速リンクモード検出", _xlfn.REGEXTEST(C107, "Host Memory Swapping"), "ホストのメモリのスワップ発生状態", TRUE, "要手動確認")</f>
        <v>サービスメトリック移行ツールの連続正常チェック最小回数</v>
      </c>
      <c r="H107" s="479">
        <v>3</v>
      </c>
    </row>
    <row r="108" spans="1:8" ht="16.899999999999999">
      <c r="A108" s="468"/>
      <c r="B108" s="473"/>
      <c r="C108" s="471" t="s">
        <v>879</v>
      </c>
      <c r="D108" s="471" t="s">
        <v>772</v>
      </c>
      <c r="E108" s="471" t="s">
        <v>880</v>
      </c>
      <c r="F108" s="471"/>
      <c r="G108" s="471" t="str" cm="1">
        <f t="array" ref="G108">_xlfn.IFS(C108 = "", "", _xlfn.REGEXTEST(C108, "Service Metric Migrator Minimum Consecutive Successful Checks"), "サービスメトリック移行ツールの連続正常チェック最小回数", _xlfn.REGEXTEST(C108, "Rebalancing"), "リバランシング（データ再配置）状態", _xlfn.REGEXTEST(C108, "Temporary Dump Directory"), "一時ダンプディレクトリの監視", _xlfn.REGEXTEST(C108, "Safemode Extension"), "セーフモード延長状態", _xlfn.REGEXTEST(C108, "Client Idle"), "クライアントのアイドル（待機）状態", _xlfn.REGEXTEST(C108, "Available Space Policy Balanced"), "空き容量ポリシーの分散バランス状態", _xlfn.REGEXTEST(C108, "Filesystem Checkpoint Transaction"), "ファイルシステムのチェックポイントトランザクション", _xlfn.REGEXTEST(C108, "Blocks With Corrupt Replicas Monitoring"), "破損レプリカを持つブロックの監視", _xlfn.REGEXTEST(C108, "Missing Block Monitoring"), "消失（ミッシング）ブロックの監視", _xlfn.REGEXTEST(C108, "Under-replicated Block Monitoring"), "レプリカ数不足ブロックの監視", _xlfn.REGEXTEST(C108, "HDFS Free Space Monitoring"), "HDFSの空き容量監視", _xlfn.REGEXTEST(C108, "DataNode Monitoring"), "DataNodeの稼働状態監視", _xlfn.REGEXTEST(C108, "Rules to Extract Events from Log Files"), "ログファイルからのイベント抽出ルール設定", _xlfn.REGEXTEST(C108, "Free Space Monitoring$"), "空き容量監視（一般設定）", _xlfn.REGEXTEST(C108, "Transceivers Usage"), "トランシーバー使用量（データ転送スレッド数）", _xlfn.REGEXTEST(C108, "Volume Failures"), "ボリューム障害（ディスクエラー）数", _xlfn.REGEXTEST(C108, "Block Count"), "ブロック総数", _xlfn.REGEXTEST(C108, "Audit Failure"), "監査（オーディット）ログの失敗イベント", _xlfn.REGEXTEST(C108, "Web Metric Collection Duration"), "Webメトリック収集の所要時間", _xlfn.REGEXTEST(C108, "Pause Duration"), "一時停止（ポーズ）の所要時間", _xlfn.REGEXTEST(C108, "Fsync Latency"), "Fsync（ディスク同期）のレイテンシ", _xlfn.REGEXTEST(C108, "Free Space Monitoring Absolute"), "空き容量（絶対値）", _xlfn.REGEXTEST(C108, "Free Space Monitoring Percentage"), "空き容量割合（%）", _xlfn.REGEXTEST(C108, "Age Monitoring"), "経過時間の監視", _xlfn.REGEXTEST(C108, "Transactions Monitoring"), "トランザクション数の監視", _xlfn.REGEXTEST(C108, "RPC Latency"), "RPC（遠隔手続き呼出し）のレイテンシ", _xlfn.REGEXTEST(C108, "Directory Failures"), "ディレクトリ障害数", _xlfn.REGEXTEST(C108, "Out-Of-Sync JournalNodes"), "同期ズレが発生しているJournalNode数", _xlfn.REGEXTEST(C108, "Safemode Threshold Percentage"), "セーフモード解除閾値の割合（%）", _xlfn.REGEXTEST(C108, "Kerberos Ticket Renewer Monitoring"), "Kerberosチケット更新プロセスの稼働状態監視", _xlfn.REGEXTEST(C108, "Load Balancer Monitoring"), "ロードバランサーの稼働状態監視", _xlfn.REGEXTEST(C108, "Navigator Audit Failure"), "Cloudera Navigator監査ログの失敗イベント", _xlfn.REGEXTEST(C108, "Schema Registry Server Monitoring"), "Schema Registry Serverの稼働状態監視", _xlfn.REGEXTEST(C108, "SRM Service Monitoring"), "SRMサービスの稼働状態監視", _xlfn.REGEXTEST(C108, "SRM Driver Monitoring"), "SRMドライバーの稼働状態監視", _xlfn.REGEXTEST(C108, "Loggin"), "ログ出力状態・設定監視", _xlfn.REGEXTEST(C108, "Server Monitoring"), "サーバーの稼働状態監視", _xlfn.REGEXTEST(C108, "Server Connection Count"), "サーバーの接続数（コネクション数）", _xlfn.REGEXTEST(C108, "Server Outstanding Requests"), "サーバーの未処理リクエスト数（滞留要求数）", _xlfn.REGEXTEST(C108, "Repository Status"), "リポジトリのステータス状態", _xlfn.REGEXTEST(C108, "Monitor Long Running Task"), "長時間実行タスク（ジョブ）の監視", _xlfn.REGEXTEST(C108, "Token requests per second"), "1秒あたりのトークンリクエスト数（要求レート）", _xlfn.REGEXTEST(C108, "Connection Model Score"), "接続モデルスコア（コネクション品質）", _xlfn.REGEXTEST(C108, "Queue swap"), "キューのスワップ発生状態", _xlfn.REGEXTEST(C108, "NiFi Node Monitoring"), "NiFiノードの稼働状態監視", _xlfn.REGEXTEST(C108, "Host Clock Offset"), "ホストのクロックオフセット（時刻同期のズレ）", _xlfn.REGEXTEST(C108, "Memory Overcommit Validation"), "メモリオーバーコミット設定の検証", _xlfn.REGEXTEST(C108, "Gateway Logging"), "ゲートウェイのログ出力設定", _xlfn.REGEXTEST(C108, "CPU Balance"), "CPU使用率の分散バランス状態", _xlfn.REGEXTEST(C108, "Disk Balance"), "ディスク使用量の分散バランス状態", _xlfn.REGEXTEST(C108, "Network Inbound Balance"), "ネットワークインバウンド（受信）の分散バランス状態", _xlfn.REGEXTEST(C108, "Network Outbound Balance"), "ネットワークアウトバウンド（送信）の分散バランス状態", _xlfn.REGEXTEST(C108, "Replica Count Balance"), "レプリカ数の分散バランス状態", _xlfn.REGEXTEST(C108, "Disk Capacity"), "ディスク総容量の限界・使用容量", _xlfn.REGEXTEST(C108, "CPU Capacity"), "CPU総処理能力の限界・使用量", _xlfn.REGEXTEST(C108, "Network Inbound Capacity"), "ネットワークインバウンド（受信）帯域の限界・使用量", _xlfn.REGEXTEST(C108, "Network Outbound Capacity"), "ネットワークアウトバウンド（送信）帯域の限界・使用量", _xlfn.REGEXTEST(C108, "Leader Replica Count Balance"), "リーダーレプリカ数の分散バランス状態", _xlfn.REGEXTEST(C108, "Host DNS Resolution Duration"), "ホストのDNS名前解決の所要時間", _xlfn.REGEXTEST(C108, "TLS Certificate Expiry"), "TLS証明書の有効期限切れ", _xlfn.REGEXTEST(C108, "Host Entropy"), "ホストのエントロピー（乱数生成能力）の不足", _xlfn.REGEXTEST(C108, "File Descriptor"), "プロセスのファイルディスクリプタ使用率", _xlfn.REGEXTEST(C108, "Unexpected Exits"), "プロセスの異常終了（予期せぬ停止）", _xlfn.REGEXTEST(C108, "Swap Memory Thresholds"), "プロセスのスワップメモリ使用量", _xlfn.REGEXTEST(C108, "Swap Memory Usage Rate"), "スワップメモリ使用量の変化率（増加速度）", _xlfn.REGEXTEST(C108, "Log Directory Free Space.*Absolute"), "ログディレクトリの空き容量（絶対値）", _xlfn.REGEXTEST(C108, "Log Directory Free Space.*Percentage"), "ログディレクトリの空き容量割合（%）", _xlfn.REGEXTEST(C108, "Heap Dump Directory Free Space.*Absolute"), "ヒープダンプディレクトリの空き容量（絶対値）", _xlfn.REGEXTEST(C108, "Heap Dump Directory Free Space.*Percentage"), "ヒープダンプディレクトリの空き容量割合（%）", _xlfn.REGEXTEST(C108, "Data Directory Free Space.*Absolute"), "データディレクトリの空き容量（絶対値）", _xlfn.REGEXTEST(C108, "Data Directory Free Space.*Percentage"), "データディレクトリの空き容量割合（%）", _xlfn.REGEXTEST(C108, "Transaction Log Directory Free Space.*Absolute"), "トランザクションログディレクトリの空き容量（絶対値）", _xlfn.REGEXTEST(C108, "Logging Threshold|Logger Threshold"), "ログ出力レベルの閾値設定", _xlfn.REGEXTEST(C108, "Enable.*Alerts"), "ヘルスアラートの有効化状態", _xlfn.REGEXTEST(C108, "Triggers"), "カスタムアラート条件（トリガー設定）", _xlfn.REGEXTEST(C108, "Healthy Kafka Broker"), "Kafka Brokerの健全ノード割合（稼働率）", _xlfn.REGEXTEST(C108, "Healthy Kafka Connect"), "Kafka Connectの健全ノード割合（稼働率）", _xlfn.REGEXTEST(C108, "Healthy KRaft Controller"), "KRaft Controllerの健全ノード割合（稼働率）", _xlfn.REGEXTEST(C108, "Healthy Knox IDBroker"), "Knox IDBrokerの健全ノード割合（稼働率）", _xlfn.REGEXTEST(C108, "Healthy Knox Gateway"), "Knox Gatewayの健全ノード割合（稼働率）", _xlfn.REGEXTEST(C108, "Healthy ZooKeeper Server"), "ZooKeeper Serverの健全ノード割合（稼働率）", _xlfn.REGEXTEST(C108, "Healthy NodeManager"), "NodeManagerの健全ノード割合（稼働率）", _xlfn.REGEXTEST(C108, "Maximum Latency"), "リクエストの最大レイテンシ（処理遅延）", _xlfn.REGEXTEST(C108, "Garbage Collection Duration"), "Javaのガベージコレクション（GC）の所要時間", _xlfn.REGEXTEST(C108, "Spool Directory Usage"), "Rangerプラグインのスプールディレクトリ使用量", _xlfn.REGEXTEST(C108, "Process Directory Free Space Monitoring Absolute"), "プロセスディレクトリの空き容量（絶対値)", _xlfn.REGEXTEST(C108, "Process Directory Free Space.*Percentage"), "プロセスディレクトリの空き容量割合（%）", _xlfn.REGEXTEST(C108, "Parcel Directory Free Space.*Absolute"), "パーセルディレクトリの空き容量（絶対値）", _xlfn.REGEXTEST(C108, "Parcel Directory Free Space.*Percentage"), "パーセルディレクトリの空き容量割合（%）", _xlfn.REGEXTEST(C108, "Host Network Frame Error Percentage"), "ホストのネットワークフレームエラー割合（%）", _xlfn.REGEXTEST(C108, "Network Interfaces Slow Link Modes"), "ホストのネットワークインターフェースの低速リンクモード検出", _xlfn.REGEXTEST(C108, "Host Memory Swapping"), "ホストのメモリのスワップ発生状態", TRUE, "要手動確認")</f>
        <v>ログ出力状態・設定監視</v>
      </c>
      <c r="H108" s="479" t="s">
        <v>775</v>
      </c>
    </row>
    <row r="109" spans="1:8" ht="16.899999999999999">
      <c r="A109" s="468"/>
      <c r="B109" s="473"/>
      <c r="C109" s="471" t="s">
        <v>881</v>
      </c>
      <c r="D109" s="471" t="s">
        <v>772</v>
      </c>
      <c r="E109" s="471" t="s">
        <v>878</v>
      </c>
      <c r="F109" s="471"/>
      <c r="G109" s="471" t="str" cm="1">
        <f t="array" ref="G109">_xlfn.IFS(C109 = "", "", _xlfn.REGEXTEST(C109, "Service Metric Migrator Minimum Consecutive Successful Checks"), "サービスメトリック移行ツールの連続正常チェック最小回数", _xlfn.REGEXTEST(C109, "Rebalancing"), "リバランシング（データ再配置）状態", _xlfn.REGEXTEST(C109, "Temporary Dump Directory"), "一時ダンプディレクトリの監視", _xlfn.REGEXTEST(C109, "Safemode Extension"), "セーフモード延長状態", _xlfn.REGEXTEST(C109, "Client Idle"), "クライアントのアイドル（待機）状態", _xlfn.REGEXTEST(C109, "Available Space Policy Balanced"), "空き容量ポリシーの分散バランス状態", _xlfn.REGEXTEST(C109, "Filesystem Checkpoint Transaction"), "ファイルシステムのチェックポイントトランザクション", _xlfn.REGEXTEST(C109, "Blocks With Corrupt Replicas Monitoring"), "破損レプリカを持つブロックの監視", _xlfn.REGEXTEST(C109, "Missing Block Monitoring"), "消失（ミッシング）ブロックの監視", _xlfn.REGEXTEST(C109, "Under-replicated Block Monitoring"), "レプリカ数不足ブロックの監視", _xlfn.REGEXTEST(C109, "HDFS Free Space Monitoring"), "HDFSの空き容量監視", _xlfn.REGEXTEST(C109, "DataNode Monitoring"), "DataNodeの稼働状態監視", _xlfn.REGEXTEST(C109, "Rules to Extract Events from Log Files"), "ログファイルからのイベント抽出ルール設定", _xlfn.REGEXTEST(C109, "Free Space Monitoring$"), "空き容量監視（一般設定）", _xlfn.REGEXTEST(C109, "Transceivers Usage"), "トランシーバー使用量（データ転送スレッド数）", _xlfn.REGEXTEST(C109, "Volume Failures"), "ボリューム障害（ディスクエラー）数", _xlfn.REGEXTEST(C109, "Block Count"), "ブロック総数", _xlfn.REGEXTEST(C109, "Audit Failure"), "監査（オーディット）ログの失敗イベント", _xlfn.REGEXTEST(C109, "Web Metric Collection Duration"), "Webメトリック収集の所要時間", _xlfn.REGEXTEST(C109, "Pause Duration"), "一時停止（ポーズ）の所要時間", _xlfn.REGEXTEST(C109, "Fsync Latency"), "Fsync（ディスク同期）のレイテンシ", _xlfn.REGEXTEST(C109, "Free Space Monitoring Absolute"), "空き容量（絶対値）", _xlfn.REGEXTEST(C109, "Free Space Monitoring Percentage"), "空き容量割合（%）", _xlfn.REGEXTEST(C109, "Age Monitoring"), "経過時間の監視", _xlfn.REGEXTEST(C109, "Transactions Monitoring"), "トランザクション数の監視", _xlfn.REGEXTEST(C109, "RPC Latency"), "RPC（遠隔手続き呼出し）のレイテンシ", _xlfn.REGEXTEST(C109, "Directory Failures"), "ディレクトリ障害数", _xlfn.REGEXTEST(C109, "Out-Of-Sync JournalNodes"), "同期ズレが発生しているJournalNode数", _xlfn.REGEXTEST(C109, "Safemode Threshold Percentage"), "セーフモード解除閾値の割合（%）", _xlfn.REGEXTEST(C109, "Kerberos Ticket Renewer Monitoring"), "Kerberosチケット更新プロセスの稼働状態監視", _xlfn.REGEXTEST(C109, "Load Balancer Monitoring"), "ロードバランサーの稼働状態監視", _xlfn.REGEXTEST(C109, "Navigator Audit Failure"), "Cloudera Navigator監査ログの失敗イベント", _xlfn.REGEXTEST(C109, "Schema Registry Server Monitoring"), "Schema Registry Serverの稼働状態監視", _xlfn.REGEXTEST(C109, "SRM Service Monitoring"), "SRMサービスの稼働状態監視", _xlfn.REGEXTEST(C109, "SRM Driver Monitoring"), "SRMドライバーの稼働状態監視", _xlfn.REGEXTEST(C109, "Loggin"), "ログ出力状態・設定監視", _xlfn.REGEXTEST(C109, "Server Monitoring"), "サーバーの稼働状態監視", _xlfn.REGEXTEST(C109, "Server Connection Count"), "サーバーの接続数（コネクション数）", _xlfn.REGEXTEST(C109, "Server Outstanding Requests"), "サーバーの未処理リクエスト数（滞留要求数）", _xlfn.REGEXTEST(C109, "Repository Status"), "リポジトリのステータス状態", _xlfn.REGEXTEST(C109, "Monitor Long Running Task"), "長時間実行タスク（ジョブ）の監視", _xlfn.REGEXTEST(C109, "Token requests per second"), "1秒あたりのトークンリクエスト数（要求レート）", _xlfn.REGEXTEST(C109, "Connection Model Score"), "接続モデルスコア（コネクション品質）", _xlfn.REGEXTEST(C109, "Queue swap"), "キューのスワップ発生状態", _xlfn.REGEXTEST(C109, "NiFi Node Monitoring"), "NiFiノードの稼働状態監視", _xlfn.REGEXTEST(C109, "Host Clock Offset"), "ホストのクロックオフセット（時刻同期のズレ）", _xlfn.REGEXTEST(C109, "Memory Overcommit Validation"), "メモリオーバーコミット設定の検証", _xlfn.REGEXTEST(C109, "Gateway Logging"), "ゲートウェイのログ出力設定", _xlfn.REGEXTEST(C109, "CPU Balance"), "CPU使用率の分散バランス状態", _xlfn.REGEXTEST(C109, "Disk Balance"), "ディスク使用量の分散バランス状態", _xlfn.REGEXTEST(C109, "Network Inbound Balance"), "ネットワークインバウンド（受信）の分散バランス状態", _xlfn.REGEXTEST(C109, "Network Outbound Balance"), "ネットワークアウトバウンド（送信）の分散バランス状態", _xlfn.REGEXTEST(C109, "Replica Count Balance"), "レプリカ数の分散バランス状態", _xlfn.REGEXTEST(C109, "Disk Capacity"), "ディスク総容量の限界・使用容量", _xlfn.REGEXTEST(C109, "CPU Capacity"), "CPU総処理能力の限界・使用量", _xlfn.REGEXTEST(C109, "Network Inbound Capacity"), "ネットワークインバウンド（受信）帯域の限界・使用量", _xlfn.REGEXTEST(C109, "Network Outbound Capacity"), "ネットワークアウトバウンド（送信）帯域の限界・使用量", _xlfn.REGEXTEST(C109, "Leader Replica Count Balance"), "リーダーレプリカ数の分散バランス状態", _xlfn.REGEXTEST(C109, "Host DNS Resolution Duration"), "ホストのDNS名前解決の所要時間", _xlfn.REGEXTEST(C109, "TLS Certificate Expiry"), "TLS証明書の有効期限切れ", _xlfn.REGEXTEST(C109, "Host Entropy"), "ホストのエントロピー（乱数生成能力）の不足", _xlfn.REGEXTEST(C109, "File Descriptor"), "プロセスのファイルディスクリプタ使用率", _xlfn.REGEXTEST(C109, "Unexpected Exits"), "プロセスの異常終了（予期せぬ停止）", _xlfn.REGEXTEST(C109, "Swap Memory Thresholds"), "プロセスのスワップメモリ使用量", _xlfn.REGEXTEST(C109, "Swap Memory Usage Rate"), "スワップメモリ使用量の変化率（増加速度）", _xlfn.REGEXTEST(C109, "Log Directory Free Space.*Absolute"), "ログディレクトリの空き容量（絶対値）", _xlfn.REGEXTEST(C109, "Log Directory Free Space.*Percentage"), "ログディレクトリの空き容量割合（%）", _xlfn.REGEXTEST(C109, "Heap Dump Directory Free Space.*Absolute"), "ヒープダンプディレクトリの空き容量（絶対値）", _xlfn.REGEXTEST(C109, "Heap Dump Directory Free Space.*Percentage"), "ヒープダンプディレクトリの空き容量割合（%）", _xlfn.REGEXTEST(C109, "Data Directory Free Space.*Absolute"), "データディレクトリの空き容量（絶対値）", _xlfn.REGEXTEST(C109, "Data Directory Free Space.*Percentage"), "データディレクトリの空き容量割合（%）", _xlfn.REGEXTEST(C109, "Transaction Log Directory Free Space.*Absolute"), "トランザクションログディレクトリの空き容量（絶対値）", _xlfn.REGEXTEST(C109, "Logging Threshold|Logger Threshold"), "ログ出力レベルの閾値設定", _xlfn.REGEXTEST(C109, "Enable.*Alerts"), "ヘルスアラートの有効化状態", _xlfn.REGEXTEST(C109, "Triggers"), "カスタムアラート条件（トリガー設定）", _xlfn.REGEXTEST(C109, "Healthy Kafka Broker"), "Kafka Brokerの健全ノード割合（稼働率）", _xlfn.REGEXTEST(C109, "Healthy Kafka Connect"), "Kafka Connectの健全ノード割合（稼働率）", _xlfn.REGEXTEST(C109, "Healthy KRaft Controller"), "KRaft Controllerの健全ノード割合（稼働率）", _xlfn.REGEXTEST(C109, "Healthy Knox IDBroker"), "Knox IDBrokerの健全ノード割合（稼働率）", _xlfn.REGEXTEST(C109, "Healthy Knox Gateway"), "Knox Gatewayの健全ノード割合（稼働率）", _xlfn.REGEXTEST(C109, "Healthy ZooKeeper Server"), "ZooKeeper Serverの健全ノード割合（稼働率）", _xlfn.REGEXTEST(C109, "Healthy NodeManager"), "NodeManagerの健全ノード割合（稼働率）", _xlfn.REGEXTEST(C109, "Maximum Latency"), "リクエストの最大レイテンシ（処理遅延）", _xlfn.REGEXTEST(C109, "Garbage Collection Duration"), "Javaのガベージコレクション（GC）の所要時間", _xlfn.REGEXTEST(C109, "Spool Directory Usage"), "Rangerプラグインのスプールディレクトリ使用量", _xlfn.REGEXTEST(C109, "Process Directory Free Space Monitoring Absolute"), "プロセスディレクトリの空き容量（絶対値)", _xlfn.REGEXTEST(C109, "Process Directory Free Space.*Percentage"), "プロセスディレクトリの空き容量割合（%）", _xlfn.REGEXTEST(C109, "Parcel Directory Free Space.*Absolute"), "パーセルディレクトリの空き容量（絶対値）", _xlfn.REGEXTEST(C109, "Parcel Directory Free Space.*Percentage"), "パーセルディレクトリの空き容量割合（%）", _xlfn.REGEXTEST(C109, "Host Network Frame Error Percentage"), "ホストのネットワークフレームエラー割合（%）", _xlfn.REGEXTEST(C109, "Network Interfaces Slow Link Modes"), "ホストのネットワークインターフェースの低速リンクモード検出", _xlfn.REGEXTEST(C109, "Host Memory Swapping"), "ホストのメモリのスワップ発生状態", TRUE, "要手動確認")</f>
        <v>ログ出力状態・設定監視</v>
      </c>
      <c r="H109" s="479" t="s">
        <v>775</v>
      </c>
    </row>
    <row r="110" spans="1:8" ht="33.6">
      <c r="A110" s="468"/>
      <c r="B110" s="473"/>
      <c r="C110" s="471" t="s">
        <v>882</v>
      </c>
      <c r="D110" s="471" t="s">
        <v>883</v>
      </c>
      <c r="E110" s="471" t="s">
        <v>884</v>
      </c>
      <c r="F110" s="471"/>
      <c r="G110" s="471" t="str" cm="1">
        <f t="array" ref="G110">_xlfn.IFS(C110 = "", "", _xlfn.REGEXTEST(C110, "Service Metric Migrator Minimum Consecutive Successful Checks"), "サービスメトリック移行ツールの連続正常チェック最小回数", _xlfn.REGEXTEST(C110, "Rebalancing"), "リバランシング（データ再配置）状態", _xlfn.REGEXTEST(C110, "Temporary Dump Directory"), "一時ダンプディレクトリの監視", _xlfn.REGEXTEST(C110, "Safemode Extension"), "セーフモード延長状態", _xlfn.REGEXTEST(C110, "Client Idle"), "クライアントのアイドル（待機）状態", _xlfn.REGEXTEST(C110, "Available Space Policy Balanced"), "空き容量ポリシーの分散バランス状態", _xlfn.REGEXTEST(C110, "Filesystem Checkpoint Transaction"), "ファイルシステムのチェックポイントトランザクション", _xlfn.REGEXTEST(C110, "Blocks With Corrupt Replicas Monitoring"), "破損レプリカを持つブロックの監視", _xlfn.REGEXTEST(C110, "Missing Block Monitoring"), "消失（ミッシング）ブロックの監視", _xlfn.REGEXTEST(C110, "Under-replicated Block Monitoring"), "レプリカ数不足ブロックの監視", _xlfn.REGEXTEST(C110, "HDFS Free Space Monitoring"), "HDFSの空き容量監視", _xlfn.REGEXTEST(C110, "DataNode Monitoring"), "DataNodeの稼働状態監視", _xlfn.REGEXTEST(C110, "Rules to Extract Events from Log Files"), "ログファイルからのイベント抽出ルール設定", _xlfn.REGEXTEST(C110, "Free Space Monitoring$"), "空き容量監視（一般設定）", _xlfn.REGEXTEST(C110, "Transceivers Usage"), "トランシーバー使用量（データ転送スレッド数）", _xlfn.REGEXTEST(C110, "Volume Failures"), "ボリューム障害（ディスクエラー）数", _xlfn.REGEXTEST(C110, "Block Count"), "ブロック総数", _xlfn.REGEXTEST(C110, "Audit Failure"), "監査（オーディット）ログの失敗イベント", _xlfn.REGEXTEST(C110, "Web Metric Collection Duration"), "Webメトリック収集の所要時間", _xlfn.REGEXTEST(C110, "Pause Duration"), "一時停止（ポーズ）の所要時間", _xlfn.REGEXTEST(C110, "Fsync Latency"), "Fsync（ディスク同期）のレイテンシ", _xlfn.REGEXTEST(C110, "Free Space Monitoring Absolute"), "空き容量（絶対値）", _xlfn.REGEXTEST(C110, "Free Space Monitoring Percentage"), "空き容量割合（%）", _xlfn.REGEXTEST(C110, "Age Monitoring"), "経過時間の監視", _xlfn.REGEXTEST(C110, "Transactions Monitoring"), "トランザクション数の監視", _xlfn.REGEXTEST(C110, "RPC Latency"), "RPC（遠隔手続き呼出し）のレイテンシ", _xlfn.REGEXTEST(C110, "Directory Failures"), "ディレクトリ障害数", _xlfn.REGEXTEST(C110, "Out-Of-Sync JournalNodes"), "同期ズレが発生しているJournalNode数", _xlfn.REGEXTEST(C110, "Safemode Threshold Percentage"), "セーフモード解除閾値の割合（%）", _xlfn.REGEXTEST(C110, "Kerberos Ticket Renewer Monitoring"), "Kerberosチケット更新プロセスの稼働状態監視", _xlfn.REGEXTEST(C110, "Load Balancer Monitoring"), "ロードバランサーの稼働状態監視", _xlfn.REGEXTEST(C110, "Navigator Audit Failure"), "Cloudera Navigator監査ログの失敗イベント", _xlfn.REGEXTEST(C110, "Schema Registry Server Monitoring"), "Schema Registry Serverの稼働状態監視", _xlfn.REGEXTEST(C110, "SRM Service Monitoring"), "SRMサービスの稼働状態監視", _xlfn.REGEXTEST(C110, "SRM Driver Monitoring"), "SRMドライバーの稼働状態監視", _xlfn.REGEXTEST(C110, "Loggin"), "ログ出力状態・設定監視", _xlfn.REGEXTEST(C110, "Server Monitoring"), "サーバーの稼働状態監視", _xlfn.REGEXTEST(C110, "Server Connection Count"), "サーバーの接続数（コネクション数）", _xlfn.REGEXTEST(C110, "Server Outstanding Requests"), "サーバーの未処理リクエスト数（滞留要求数）", _xlfn.REGEXTEST(C110, "Repository Status"), "リポジトリのステータス状態", _xlfn.REGEXTEST(C110, "Monitor Long Running Task"), "長時間実行タスク（ジョブ）の監視", _xlfn.REGEXTEST(C110, "Token requests per second"), "1秒あたりのトークンリクエスト数（要求レート）", _xlfn.REGEXTEST(C110, "Connection Model Score"), "接続モデルスコア（コネクション品質）", _xlfn.REGEXTEST(C110, "Queue swap"), "キューのスワップ発生状態", _xlfn.REGEXTEST(C110, "NiFi Node Monitoring"), "NiFiノードの稼働状態監視", _xlfn.REGEXTEST(C110, "Host Clock Offset"), "ホストのクロックオフセット（時刻同期のズレ）", _xlfn.REGEXTEST(C110, "Memory Overcommit Validation"), "メモリオーバーコミット設定の検証", _xlfn.REGEXTEST(C110, "Gateway Logging"), "ゲートウェイのログ出力設定", _xlfn.REGEXTEST(C110, "CPU Balance"), "CPU使用率の分散バランス状態", _xlfn.REGEXTEST(C110, "Disk Balance"), "ディスク使用量の分散バランス状態", _xlfn.REGEXTEST(C110, "Network Inbound Balance"), "ネットワークインバウンド（受信）の分散バランス状態", _xlfn.REGEXTEST(C110, "Network Outbound Balance"), "ネットワークアウトバウンド（送信）の分散バランス状態", _xlfn.REGEXTEST(C110, "Replica Count Balance"), "レプリカ数の分散バランス状態", _xlfn.REGEXTEST(C110, "Disk Capacity"), "ディスク総容量の限界・使用容量", _xlfn.REGEXTEST(C110, "CPU Capacity"), "CPU総処理能力の限界・使用量", _xlfn.REGEXTEST(C110, "Network Inbound Capacity"), "ネットワークインバウンド（受信）帯域の限界・使用量", _xlfn.REGEXTEST(C110, "Network Outbound Capacity"), "ネットワークアウトバウンド（送信）帯域の限界・使用量", _xlfn.REGEXTEST(C110, "Leader Replica Count Balance"), "リーダーレプリカ数の分散バランス状態", _xlfn.REGEXTEST(C110, "Host DNS Resolution Duration"), "ホストのDNS名前解決の所要時間", _xlfn.REGEXTEST(C110, "TLS Certificate Expiry"), "TLS証明書の有効期限切れ", _xlfn.REGEXTEST(C110, "Host Entropy"), "ホストのエントロピー（乱数生成能力）の不足", _xlfn.REGEXTEST(C110, "File Descriptor"), "プロセスのファイルディスクリプタ使用率", _xlfn.REGEXTEST(C110, "Unexpected Exits"), "プロセスの異常終了（予期せぬ停止）", _xlfn.REGEXTEST(C110, "Swap Memory Thresholds"), "プロセスのスワップメモリ使用量", _xlfn.REGEXTEST(C110, "Swap Memory Usage Rate"), "スワップメモリ使用量の変化率（増加速度）", _xlfn.REGEXTEST(C110, "Log Directory Free Space.*Absolute"), "ログディレクトリの空き容量（絶対値）", _xlfn.REGEXTEST(C110, "Log Directory Free Space.*Percentage"), "ログディレクトリの空き容量割合（%）", _xlfn.REGEXTEST(C110, "Heap Dump Directory Free Space.*Absolute"), "ヒープダンプディレクトリの空き容量（絶対値）", _xlfn.REGEXTEST(C110, "Heap Dump Directory Free Space.*Percentage"), "ヒープダンプディレクトリの空き容量割合（%）", _xlfn.REGEXTEST(C110, "Data Directory Free Space.*Absolute"), "データディレクトリの空き容量（絶対値）", _xlfn.REGEXTEST(C110, "Data Directory Free Space.*Percentage"), "データディレクトリの空き容量割合（%）", _xlfn.REGEXTEST(C110, "Transaction Log Directory Free Space.*Absolute"), "トランザクションログディレクトリの空き容量（絶対値）", _xlfn.REGEXTEST(C110, "Logging Threshold|Logger Threshold"), "ログ出力レベルの閾値設定", _xlfn.REGEXTEST(C110, "Enable.*Alerts"), "ヘルスアラートの有効化状態", _xlfn.REGEXTEST(C110, "Triggers"), "カスタムアラート条件（トリガー設定）", _xlfn.REGEXTEST(C110, "Healthy Kafka Broker"), "Kafka Brokerの健全ノード割合（稼働率）", _xlfn.REGEXTEST(C110, "Healthy Kafka Connect"), "Kafka Connectの健全ノード割合（稼働率）", _xlfn.REGEXTEST(C110, "Healthy KRaft Controller"), "KRaft Controllerの健全ノード割合（稼働率）", _xlfn.REGEXTEST(C110, "Healthy Knox IDBroker"), "Knox IDBrokerの健全ノード割合（稼働率）", _xlfn.REGEXTEST(C110, "Healthy Knox Gateway"), "Knox Gatewayの健全ノード割合（稼働率）", _xlfn.REGEXTEST(C110, "Healthy ZooKeeper Server"), "ZooKeeper Serverの健全ノード割合（稼働率）", _xlfn.REGEXTEST(C110, "Healthy NodeManager"), "NodeManagerの健全ノード割合（稼働率）", _xlfn.REGEXTEST(C110, "Maximum Latency"), "リクエストの最大レイテンシ（処理遅延）", _xlfn.REGEXTEST(C110, "Garbage Collection Duration"), "Javaのガベージコレクション（GC）の所要時間", _xlfn.REGEXTEST(C110, "Spool Directory Usage"), "Rangerプラグインのスプールディレクトリ使用量", _xlfn.REGEXTEST(C110, "Process Directory Free Space Monitoring Absolute"), "プロセスディレクトリの空き容量（絶対値)", _xlfn.REGEXTEST(C110, "Process Directory Free Space.*Percentage"), "プロセスディレクトリの空き容量割合（%）", _xlfn.REGEXTEST(C110, "Parcel Directory Free Space.*Absolute"), "パーセルディレクトリの空き容量（絶対値）", _xlfn.REGEXTEST(C110, "Parcel Directory Free Space.*Percentage"), "パーセルディレクトリの空き容量割合（%）", _xlfn.REGEXTEST(C110, "Host Network Frame Error Percentage"), "ホストのネットワークフレームエラー割合（%）", _xlfn.REGEXTEST(C110, "Network Interfaces Slow Link Modes"), "ホストのネットワークインターフェースの低速リンクモード検出", _xlfn.REGEXTEST(C110, "Host Memory Swapping"), "ホストのメモリのスワップ発生状態", TRUE, "要手動確認")</f>
        <v>SRMサービスの稼働状態監視</v>
      </c>
      <c r="H110" s="479" t="s">
        <v>885</v>
      </c>
    </row>
    <row r="111" spans="1:8" ht="33.6">
      <c r="A111" s="468"/>
      <c r="B111" s="473"/>
      <c r="C111" s="471" t="s">
        <v>886</v>
      </c>
      <c r="D111" s="471" t="s">
        <v>887</v>
      </c>
      <c r="E111" s="471" t="s">
        <v>884</v>
      </c>
      <c r="F111" s="471"/>
      <c r="G111" s="471" t="str" cm="1">
        <f t="array" ref="G111">_xlfn.IFS(C111 = "", "", _xlfn.REGEXTEST(C111, "Service Metric Migrator Minimum Consecutive Successful Checks"), "サービスメトリック移行ツールの連続正常チェック最小回数", _xlfn.REGEXTEST(C111, "Rebalancing"), "リバランシング（データ再配置）状態", _xlfn.REGEXTEST(C111, "Temporary Dump Directory"), "一時ダンプディレクトリの監視", _xlfn.REGEXTEST(C111, "Safemode Extension"), "セーフモード延長状態", _xlfn.REGEXTEST(C111, "Client Idle"), "クライアントのアイドル（待機）状態", _xlfn.REGEXTEST(C111, "Available Space Policy Balanced"), "空き容量ポリシーの分散バランス状態", _xlfn.REGEXTEST(C111, "Filesystem Checkpoint Transaction"), "ファイルシステムのチェックポイントトランザクション", _xlfn.REGEXTEST(C111, "Blocks With Corrupt Replicas Monitoring"), "破損レプリカを持つブロックの監視", _xlfn.REGEXTEST(C111, "Missing Block Monitoring"), "消失（ミッシング）ブロックの監視", _xlfn.REGEXTEST(C111, "Under-replicated Block Monitoring"), "レプリカ数不足ブロックの監視", _xlfn.REGEXTEST(C111, "HDFS Free Space Monitoring"), "HDFSの空き容量監視", _xlfn.REGEXTEST(C111, "DataNode Monitoring"), "DataNodeの稼働状態監視", _xlfn.REGEXTEST(C111, "Rules to Extract Events from Log Files"), "ログファイルからのイベント抽出ルール設定", _xlfn.REGEXTEST(C111, "Free Space Monitoring$"), "空き容量監視（一般設定）", _xlfn.REGEXTEST(C111, "Transceivers Usage"), "トランシーバー使用量（データ転送スレッド数）", _xlfn.REGEXTEST(C111, "Volume Failures"), "ボリューム障害（ディスクエラー）数", _xlfn.REGEXTEST(C111, "Block Count"), "ブロック総数", _xlfn.REGEXTEST(C111, "Audit Failure"), "監査（オーディット）ログの失敗イベント", _xlfn.REGEXTEST(C111, "Web Metric Collection Duration"), "Webメトリック収集の所要時間", _xlfn.REGEXTEST(C111, "Pause Duration"), "一時停止（ポーズ）の所要時間", _xlfn.REGEXTEST(C111, "Fsync Latency"), "Fsync（ディスク同期）のレイテンシ", _xlfn.REGEXTEST(C111, "Free Space Monitoring Absolute"), "空き容量（絶対値）", _xlfn.REGEXTEST(C111, "Free Space Monitoring Percentage"), "空き容量割合（%）", _xlfn.REGEXTEST(C111, "Age Monitoring"), "経過時間の監視", _xlfn.REGEXTEST(C111, "Transactions Monitoring"), "トランザクション数の監視", _xlfn.REGEXTEST(C111, "RPC Latency"), "RPC（遠隔手続き呼出し）のレイテンシ", _xlfn.REGEXTEST(C111, "Directory Failures"), "ディレクトリ障害数", _xlfn.REGEXTEST(C111, "Out-Of-Sync JournalNodes"), "同期ズレが発生しているJournalNode数", _xlfn.REGEXTEST(C111, "Safemode Threshold Percentage"), "セーフモード解除閾値の割合（%）", _xlfn.REGEXTEST(C111, "Kerberos Ticket Renewer Monitoring"), "Kerberosチケット更新プロセスの稼働状態監視", _xlfn.REGEXTEST(C111, "Load Balancer Monitoring"), "ロードバランサーの稼働状態監視", _xlfn.REGEXTEST(C111, "Navigator Audit Failure"), "Cloudera Navigator監査ログの失敗イベント", _xlfn.REGEXTEST(C111, "Schema Registry Server Monitoring"), "Schema Registry Serverの稼働状態監視", _xlfn.REGEXTEST(C111, "SRM Service Monitoring"), "SRMサービスの稼働状態監視", _xlfn.REGEXTEST(C111, "SRM Driver Monitoring"), "SRMドライバーの稼働状態監視", _xlfn.REGEXTEST(C111, "Loggin"), "ログ出力状態・設定監視", _xlfn.REGEXTEST(C111, "Server Monitoring"), "サーバーの稼働状態監視", _xlfn.REGEXTEST(C111, "Server Connection Count"), "サーバーの接続数（コネクション数）", _xlfn.REGEXTEST(C111, "Server Outstanding Requests"), "サーバーの未処理リクエスト数（滞留要求数）", _xlfn.REGEXTEST(C111, "Repository Status"), "リポジトリのステータス状態", _xlfn.REGEXTEST(C111, "Monitor Long Running Task"), "長時間実行タスク（ジョブ）の監視", _xlfn.REGEXTEST(C111, "Token requests per second"), "1秒あたりのトークンリクエスト数（要求レート）", _xlfn.REGEXTEST(C111, "Connection Model Score"), "接続モデルスコア（コネクション品質）", _xlfn.REGEXTEST(C111, "Queue swap"), "キューのスワップ発生状態", _xlfn.REGEXTEST(C111, "NiFi Node Monitoring"), "NiFiノードの稼働状態監視", _xlfn.REGEXTEST(C111, "Host Clock Offset"), "ホストのクロックオフセット（時刻同期のズレ）", _xlfn.REGEXTEST(C111, "Memory Overcommit Validation"), "メモリオーバーコミット設定の検証", _xlfn.REGEXTEST(C111, "Gateway Logging"), "ゲートウェイのログ出力設定", _xlfn.REGEXTEST(C111, "CPU Balance"), "CPU使用率の分散バランス状態", _xlfn.REGEXTEST(C111, "Disk Balance"), "ディスク使用量の分散バランス状態", _xlfn.REGEXTEST(C111, "Network Inbound Balance"), "ネットワークインバウンド（受信）の分散バランス状態", _xlfn.REGEXTEST(C111, "Network Outbound Balance"), "ネットワークアウトバウンド（送信）の分散バランス状態", _xlfn.REGEXTEST(C111, "Replica Count Balance"), "レプリカ数の分散バランス状態", _xlfn.REGEXTEST(C111, "Disk Capacity"), "ディスク総容量の限界・使用容量", _xlfn.REGEXTEST(C111, "CPU Capacity"), "CPU総処理能力の限界・使用量", _xlfn.REGEXTEST(C111, "Network Inbound Capacity"), "ネットワークインバウンド（受信）帯域の限界・使用量", _xlfn.REGEXTEST(C111, "Network Outbound Capacity"), "ネットワークアウトバウンド（送信）帯域の限界・使用量", _xlfn.REGEXTEST(C111, "Leader Replica Count Balance"), "リーダーレプリカ数の分散バランス状態", _xlfn.REGEXTEST(C111, "Host DNS Resolution Duration"), "ホストのDNS名前解決の所要時間", _xlfn.REGEXTEST(C111, "TLS Certificate Expiry"), "TLS証明書の有効期限切れ", _xlfn.REGEXTEST(C111, "Host Entropy"), "ホストのエントロピー（乱数生成能力）の不足", _xlfn.REGEXTEST(C111, "File Descriptor"), "プロセスのファイルディスクリプタ使用率", _xlfn.REGEXTEST(C111, "Unexpected Exits"), "プロセスの異常終了（予期せぬ停止）", _xlfn.REGEXTEST(C111, "Swap Memory Thresholds"), "プロセスのスワップメモリ使用量", _xlfn.REGEXTEST(C111, "Swap Memory Usage Rate"), "スワップメモリ使用量の変化率（増加速度）", _xlfn.REGEXTEST(C111, "Log Directory Free Space.*Absolute"), "ログディレクトリの空き容量（絶対値）", _xlfn.REGEXTEST(C111, "Log Directory Free Space.*Percentage"), "ログディレクトリの空き容量割合（%）", _xlfn.REGEXTEST(C111, "Heap Dump Directory Free Space.*Absolute"), "ヒープダンプディレクトリの空き容量（絶対値）", _xlfn.REGEXTEST(C111, "Heap Dump Directory Free Space.*Percentage"), "ヒープダンプディレクトリの空き容量割合（%）", _xlfn.REGEXTEST(C111, "Data Directory Free Space.*Absolute"), "データディレクトリの空き容量（絶対値）", _xlfn.REGEXTEST(C111, "Data Directory Free Space.*Percentage"), "データディレクトリの空き容量割合（%）", _xlfn.REGEXTEST(C111, "Transaction Log Directory Free Space.*Absolute"), "トランザクションログディレクトリの空き容量（絶対値）", _xlfn.REGEXTEST(C111, "Logging Threshold|Logger Threshold"), "ログ出力レベルの閾値設定", _xlfn.REGEXTEST(C111, "Enable.*Alerts"), "ヘルスアラートの有効化状態", _xlfn.REGEXTEST(C111, "Triggers"), "カスタムアラート条件（トリガー設定）", _xlfn.REGEXTEST(C111, "Healthy Kafka Broker"), "Kafka Brokerの健全ノード割合（稼働率）", _xlfn.REGEXTEST(C111, "Healthy Kafka Connect"), "Kafka Connectの健全ノード割合（稼働率）", _xlfn.REGEXTEST(C111, "Healthy KRaft Controller"), "KRaft Controllerの健全ノード割合（稼働率）", _xlfn.REGEXTEST(C111, "Healthy Knox IDBroker"), "Knox IDBrokerの健全ノード割合（稼働率）", _xlfn.REGEXTEST(C111, "Healthy Knox Gateway"), "Knox Gatewayの健全ノード割合（稼働率）", _xlfn.REGEXTEST(C111, "Healthy ZooKeeper Server"), "ZooKeeper Serverの健全ノード割合（稼働率）", _xlfn.REGEXTEST(C111, "Healthy NodeManager"), "NodeManagerの健全ノード割合（稼働率）", _xlfn.REGEXTEST(C111, "Maximum Latency"), "リクエストの最大レイテンシ（処理遅延）", _xlfn.REGEXTEST(C111, "Garbage Collection Duration"), "Javaのガベージコレクション（GC）の所要時間", _xlfn.REGEXTEST(C111, "Spool Directory Usage"), "Rangerプラグインのスプールディレクトリ使用量", _xlfn.REGEXTEST(C111, "Process Directory Free Space Monitoring Absolute"), "プロセスディレクトリの空き容量（絶対値)", _xlfn.REGEXTEST(C111, "Process Directory Free Space.*Percentage"), "プロセスディレクトリの空き容量割合（%）", _xlfn.REGEXTEST(C111, "Parcel Directory Free Space.*Absolute"), "パーセルディレクトリの空き容量（絶対値）", _xlfn.REGEXTEST(C111, "Parcel Directory Free Space.*Percentage"), "パーセルディレクトリの空き容量割合（%）", _xlfn.REGEXTEST(C111, "Host Network Frame Error Percentage"), "ホストのネットワークフレームエラー割合（%）", _xlfn.REGEXTEST(C111, "Network Interfaces Slow Link Modes"), "ホストのネットワークインターフェースの低速リンクモード検出", _xlfn.REGEXTEST(C111, "Host Memory Swapping"), "ホストのメモリのスワップ発生状態", TRUE, "要手動確認")</f>
        <v>SRMドライバーの稼働状態監視</v>
      </c>
      <c r="H111" s="479" t="s">
        <v>885</v>
      </c>
    </row>
    <row r="112" spans="1:8" ht="33.6">
      <c r="A112" s="468"/>
      <c r="B112" s="473"/>
      <c r="C112" s="471" t="s">
        <v>736</v>
      </c>
      <c r="D112" s="471" t="s">
        <v>888</v>
      </c>
      <c r="E112" s="471" t="s">
        <v>880</v>
      </c>
      <c r="F112" s="471"/>
      <c r="G112" s="471" t="str" cm="1">
        <f t="array" ref="G112">_xlfn.IFS(C112 = "", "", _xlfn.REGEXTEST(C112, "Service Metric Migrator Minimum Consecutive Successful Checks"), "サービスメトリック移行ツールの連続正常チェック最小回数", _xlfn.REGEXTEST(C112, "Rebalancing"), "リバランシング（データ再配置）状態", _xlfn.REGEXTEST(C112, "Temporary Dump Directory"), "一時ダンプディレクトリの監視", _xlfn.REGEXTEST(C112, "Safemode Extension"), "セーフモード延長状態", _xlfn.REGEXTEST(C112, "Client Idle"), "クライアントのアイドル（待機）状態", _xlfn.REGEXTEST(C112, "Available Space Policy Balanced"), "空き容量ポリシーの分散バランス状態", _xlfn.REGEXTEST(C112, "Filesystem Checkpoint Transaction"), "ファイルシステムのチェックポイントトランザクション", _xlfn.REGEXTEST(C112, "Blocks With Corrupt Replicas Monitoring"), "破損レプリカを持つブロックの監視", _xlfn.REGEXTEST(C112, "Missing Block Monitoring"), "消失（ミッシング）ブロックの監視", _xlfn.REGEXTEST(C112, "Under-replicated Block Monitoring"), "レプリカ数不足ブロックの監視", _xlfn.REGEXTEST(C112, "HDFS Free Space Monitoring"), "HDFSの空き容量監視", _xlfn.REGEXTEST(C112, "DataNode Monitoring"), "DataNodeの稼働状態監視", _xlfn.REGEXTEST(C112, "Rules to Extract Events from Log Files"), "ログファイルからのイベント抽出ルール設定", _xlfn.REGEXTEST(C112, "Free Space Monitoring$"), "空き容量監視（一般設定）", _xlfn.REGEXTEST(C112, "Transceivers Usage"), "トランシーバー使用量（データ転送スレッド数）", _xlfn.REGEXTEST(C112, "Volume Failures"), "ボリューム障害（ディスクエラー）数", _xlfn.REGEXTEST(C112, "Block Count"), "ブロック総数", _xlfn.REGEXTEST(C112, "Audit Failure"), "監査（オーディット）ログの失敗イベント", _xlfn.REGEXTEST(C112, "Web Metric Collection Duration"), "Webメトリック収集の所要時間", _xlfn.REGEXTEST(C112, "Pause Duration"), "一時停止（ポーズ）の所要時間", _xlfn.REGEXTEST(C112, "Fsync Latency"), "Fsync（ディスク同期）のレイテンシ", _xlfn.REGEXTEST(C112, "Free Space Monitoring Absolute"), "空き容量（絶対値）", _xlfn.REGEXTEST(C112, "Free Space Monitoring Percentage"), "空き容量割合（%）", _xlfn.REGEXTEST(C112, "Age Monitoring"), "経過時間の監視", _xlfn.REGEXTEST(C112, "Transactions Monitoring"), "トランザクション数の監視", _xlfn.REGEXTEST(C112, "RPC Latency"), "RPC（遠隔手続き呼出し）のレイテンシ", _xlfn.REGEXTEST(C112, "Directory Failures"), "ディレクトリ障害数", _xlfn.REGEXTEST(C112, "Out-Of-Sync JournalNodes"), "同期ズレが発生しているJournalNode数", _xlfn.REGEXTEST(C112, "Safemode Threshold Percentage"), "セーフモード解除閾値の割合（%）", _xlfn.REGEXTEST(C112, "Kerberos Ticket Renewer Monitoring"), "Kerberosチケット更新プロセスの稼働状態監視", _xlfn.REGEXTEST(C112, "Load Balancer Monitoring"), "ロードバランサーの稼働状態監視", _xlfn.REGEXTEST(C112, "Navigator Audit Failure"), "Cloudera Navigator監査ログの失敗イベント", _xlfn.REGEXTEST(C112, "Schema Registry Server Monitoring"), "Schema Registry Serverの稼働状態監視", _xlfn.REGEXTEST(C112, "SRM Service Monitoring"), "SRMサービスの稼働状態監視", _xlfn.REGEXTEST(C112, "SRM Driver Monitoring"), "SRMドライバーの稼働状態監視", _xlfn.REGEXTEST(C112, "Loggin"), "ログ出力状態・設定監視", _xlfn.REGEXTEST(C112, "Server Monitoring"), "サーバーの稼働状態監視", _xlfn.REGEXTEST(C112, "Server Connection Count"), "サーバーの接続数（コネクション数）", _xlfn.REGEXTEST(C112, "Server Outstanding Requests"), "サーバーの未処理リクエスト数（滞留要求数）", _xlfn.REGEXTEST(C112, "Repository Status"), "リポジトリのステータス状態", _xlfn.REGEXTEST(C112, "Monitor Long Running Task"), "長時間実行タスク（ジョブ）の監視", _xlfn.REGEXTEST(C112, "Token requests per second"), "1秒あたりのトークンリクエスト数（要求レート）", _xlfn.REGEXTEST(C112, "Connection Model Score"), "接続モデルスコア（コネクション品質）", _xlfn.REGEXTEST(C112, "Queue swap"), "キューのスワップ発生状態", _xlfn.REGEXTEST(C112, "NiFi Node Monitoring"), "NiFiノードの稼働状態監視", _xlfn.REGEXTEST(C112, "Host Clock Offset"), "ホストのクロックオフセット（時刻同期のズレ）", _xlfn.REGEXTEST(C112, "Memory Overcommit Validation"), "メモリオーバーコミット設定の検証", _xlfn.REGEXTEST(C112, "Gateway Logging"), "ゲートウェイのログ出力設定", _xlfn.REGEXTEST(C112, "CPU Balance"), "CPU使用率の分散バランス状態", _xlfn.REGEXTEST(C112, "Disk Balance"), "ディスク使用量の分散バランス状態", _xlfn.REGEXTEST(C112, "Network Inbound Balance"), "ネットワークインバウンド（受信）の分散バランス状態", _xlfn.REGEXTEST(C112, "Network Outbound Balance"), "ネットワークアウトバウンド（送信）の分散バランス状態", _xlfn.REGEXTEST(C112, "Replica Count Balance"), "レプリカ数の分散バランス状態", _xlfn.REGEXTEST(C112, "Disk Capacity"), "ディスク総容量の限界・使用容量", _xlfn.REGEXTEST(C112, "CPU Capacity"), "CPU総処理能力の限界・使用量", _xlfn.REGEXTEST(C112, "Network Inbound Capacity"), "ネットワークインバウンド（受信）帯域の限界・使用量", _xlfn.REGEXTEST(C112, "Network Outbound Capacity"), "ネットワークアウトバウンド（送信）帯域の限界・使用量", _xlfn.REGEXTEST(C112, "Leader Replica Count Balance"), "リーダーレプリカ数の分散バランス状態", _xlfn.REGEXTEST(C112, "Host DNS Resolution Duration"), "ホストのDNS名前解決の所要時間", _xlfn.REGEXTEST(C112, "TLS Certificate Expiry"), "TLS証明書の有効期限切れ", _xlfn.REGEXTEST(C112, "Host Entropy"), "ホストのエントロピー（乱数生成能力）の不足", _xlfn.REGEXTEST(C112, "File Descriptor"), "プロセスのファイルディスクリプタ使用率", _xlfn.REGEXTEST(C112, "Unexpected Exits"), "プロセスの異常終了（予期せぬ停止）", _xlfn.REGEXTEST(C112, "Swap Memory Thresholds"), "プロセスのスワップメモリ使用量", _xlfn.REGEXTEST(C112, "Swap Memory Usage Rate"), "スワップメモリ使用量の変化率（増加速度）", _xlfn.REGEXTEST(C112, "Log Directory Free Space.*Absolute"), "ログディレクトリの空き容量（絶対値）", _xlfn.REGEXTEST(C112, "Log Directory Free Space.*Percentage"), "ログディレクトリの空き容量割合（%）", _xlfn.REGEXTEST(C112, "Heap Dump Directory Free Space.*Absolute"), "ヒープダンプディレクトリの空き容量（絶対値）", _xlfn.REGEXTEST(C112, "Heap Dump Directory Free Space.*Percentage"), "ヒープダンプディレクトリの空き容量割合（%）", _xlfn.REGEXTEST(C112, "Data Directory Free Space.*Absolute"), "データディレクトリの空き容量（絶対値）", _xlfn.REGEXTEST(C112, "Data Directory Free Space.*Percentage"), "データディレクトリの空き容量割合（%）", _xlfn.REGEXTEST(C112, "Transaction Log Directory Free Space.*Absolute"), "トランザクションログディレクトリの空き容量（絶対値）", _xlfn.REGEXTEST(C112, "Logging Threshold|Logger Threshold"), "ログ出力レベルの閾値設定", _xlfn.REGEXTEST(C112, "Enable.*Alerts"), "ヘルスアラートの有効化状態", _xlfn.REGEXTEST(C112, "Triggers"), "カスタムアラート条件（トリガー設定）", _xlfn.REGEXTEST(C112, "Healthy Kafka Broker"), "Kafka Brokerの健全ノード割合（稼働率）", _xlfn.REGEXTEST(C112, "Healthy Kafka Connect"), "Kafka Connectの健全ノード割合（稼働率）", _xlfn.REGEXTEST(C112, "Healthy KRaft Controller"), "KRaft Controllerの健全ノード割合（稼働率）", _xlfn.REGEXTEST(C112, "Healthy Knox IDBroker"), "Knox IDBrokerの健全ノード割合（稼働率）", _xlfn.REGEXTEST(C112, "Healthy Knox Gateway"), "Knox Gatewayの健全ノード割合（稼働率）", _xlfn.REGEXTEST(C112, "Healthy ZooKeeper Server"), "ZooKeeper Serverの健全ノード割合（稼働率）", _xlfn.REGEXTEST(C112, "Healthy NodeManager"), "NodeManagerの健全ノード割合（稼働率）", _xlfn.REGEXTEST(C112, "Maximum Latency"), "リクエストの最大レイテンシ（処理遅延）", _xlfn.REGEXTEST(C112, "Garbage Collection Duration"), "Javaのガベージコレクション（GC）の所要時間", _xlfn.REGEXTEST(C112, "Spool Directory Usage"), "Rangerプラグインのスプールディレクトリ使用量", _xlfn.REGEXTEST(C112, "Process Directory Free Space Monitoring Absolute"), "プロセスディレクトリの空き容量（絶対値)", _xlfn.REGEXTEST(C112, "Process Directory Free Space.*Percentage"), "プロセスディレクトリの空き容量割合（%）", _xlfn.REGEXTEST(C112, "Parcel Directory Free Space.*Absolute"), "パーセルディレクトリの空き容量（絶対値）", _xlfn.REGEXTEST(C112, "Parcel Directory Free Space.*Percentage"), "パーセルディレクトリの空き容量割合（%）", _xlfn.REGEXTEST(C112, "Host Network Frame Error Percentage"), "ホストのネットワークフレームエラー割合（%）", _xlfn.REGEXTEST(C112, "Network Interfaces Slow Link Modes"), "ホストのネットワークインターフェースの低速リンクモード検出", _xlfn.REGEXTEST(C112, "Host Memory Swapping"), "ホストのメモリのスワップ発生状態", TRUE, "要手動確認")</f>
        <v>プロセスのファイルディスクリプタ使用率</v>
      </c>
      <c r="H112" s="479" t="s">
        <v>813</v>
      </c>
    </row>
    <row r="113" spans="1:8" ht="33.6">
      <c r="A113" s="468"/>
      <c r="B113" s="473"/>
      <c r="C113" s="471" t="s">
        <v>741</v>
      </c>
      <c r="D113" s="471" t="s">
        <v>742</v>
      </c>
      <c r="E113" s="471" t="s">
        <v>880</v>
      </c>
      <c r="F113" s="471"/>
      <c r="G113" s="471" t="str" cm="1">
        <f t="array" ref="G113">_xlfn.IFS(C113 = "", "", _xlfn.REGEXTEST(C113, "Service Metric Migrator Minimum Consecutive Successful Checks"), "サービスメトリック移行ツールの連続正常チェック最小回数", _xlfn.REGEXTEST(C113, "Rebalancing"), "リバランシング（データ再配置）状態", _xlfn.REGEXTEST(C113, "Temporary Dump Directory"), "一時ダンプディレクトリの監視", _xlfn.REGEXTEST(C113, "Safemode Extension"), "セーフモード延長状態", _xlfn.REGEXTEST(C113, "Client Idle"), "クライアントのアイドル（待機）状態", _xlfn.REGEXTEST(C113, "Available Space Policy Balanced"), "空き容量ポリシーの分散バランス状態", _xlfn.REGEXTEST(C113, "Filesystem Checkpoint Transaction"), "ファイルシステムのチェックポイントトランザクション", _xlfn.REGEXTEST(C113, "Blocks With Corrupt Replicas Monitoring"), "破損レプリカを持つブロックの監視", _xlfn.REGEXTEST(C113, "Missing Block Monitoring"), "消失（ミッシング）ブロックの監視", _xlfn.REGEXTEST(C113, "Under-replicated Block Monitoring"), "レプリカ数不足ブロックの監視", _xlfn.REGEXTEST(C113, "HDFS Free Space Monitoring"), "HDFSの空き容量監視", _xlfn.REGEXTEST(C113, "DataNode Monitoring"), "DataNodeの稼働状態監視", _xlfn.REGEXTEST(C113, "Rules to Extract Events from Log Files"), "ログファイルからのイベント抽出ルール設定", _xlfn.REGEXTEST(C113, "Free Space Monitoring$"), "空き容量監視（一般設定）", _xlfn.REGEXTEST(C113, "Transceivers Usage"), "トランシーバー使用量（データ転送スレッド数）", _xlfn.REGEXTEST(C113, "Volume Failures"), "ボリューム障害（ディスクエラー）数", _xlfn.REGEXTEST(C113, "Block Count"), "ブロック総数", _xlfn.REGEXTEST(C113, "Audit Failure"), "監査（オーディット）ログの失敗イベント", _xlfn.REGEXTEST(C113, "Web Metric Collection Duration"), "Webメトリック収集の所要時間", _xlfn.REGEXTEST(C113, "Pause Duration"), "一時停止（ポーズ）の所要時間", _xlfn.REGEXTEST(C113, "Fsync Latency"), "Fsync（ディスク同期）のレイテンシ", _xlfn.REGEXTEST(C113, "Free Space Monitoring Absolute"), "空き容量（絶対値）", _xlfn.REGEXTEST(C113, "Free Space Monitoring Percentage"), "空き容量割合（%）", _xlfn.REGEXTEST(C113, "Age Monitoring"), "経過時間の監視", _xlfn.REGEXTEST(C113, "Transactions Monitoring"), "トランザクション数の監視", _xlfn.REGEXTEST(C113, "RPC Latency"), "RPC（遠隔手続き呼出し）のレイテンシ", _xlfn.REGEXTEST(C113, "Directory Failures"), "ディレクトリ障害数", _xlfn.REGEXTEST(C113, "Out-Of-Sync JournalNodes"), "同期ズレが発生しているJournalNode数", _xlfn.REGEXTEST(C113, "Safemode Threshold Percentage"), "セーフモード解除閾値の割合（%）", _xlfn.REGEXTEST(C113, "Kerberos Ticket Renewer Monitoring"), "Kerberosチケット更新プロセスの稼働状態監視", _xlfn.REGEXTEST(C113, "Load Balancer Monitoring"), "ロードバランサーの稼働状態監視", _xlfn.REGEXTEST(C113, "Navigator Audit Failure"), "Cloudera Navigator監査ログの失敗イベント", _xlfn.REGEXTEST(C113, "Schema Registry Server Monitoring"), "Schema Registry Serverの稼働状態監視", _xlfn.REGEXTEST(C113, "SRM Service Monitoring"), "SRMサービスの稼働状態監視", _xlfn.REGEXTEST(C113, "SRM Driver Monitoring"), "SRMドライバーの稼働状態監視", _xlfn.REGEXTEST(C113, "Loggin"), "ログ出力状態・設定監視", _xlfn.REGEXTEST(C113, "Server Monitoring"), "サーバーの稼働状態監視", _xlfn.REGEXTEST(C113, "Server Connection Count"), "サーバーの接続数（コネクション数）", _xlfn.REGEXTEST(C113, "Server Outstanding Requests"), "サーバーの未処理リクエスト数（滞留要求数）", _xlfn.REGEXTEST(C113, "Repository Status"), "リポジトリのステータス状態", _xlfn.REGEXTEST(C113, "Monitor Long Running Task"), "長時間実行タスク（ジョブ）の監視", _xlfn.REGEXTEST(C113, "Token requests per second"), "1秒あたりのトークンリクエスト数（要求レート）", _xlfn.REGEXTEST(C113, "Connection Model Score"), "接続モデルスコア（コネクション品質）", _xlfn.REGEXTEST(C113, "Queue swap"), "キューのスワップ発生状態", _xlfn.REGEXTEST(C113, "NiFi Node Monitoring"), "NiFiノードの稼働状態監視", _xlfn.REGEXTEST(C113, "Host Clock Offset"), "ホストのクロックオフセット（時刻同期のズレ）", _xlfn.REGEXTEST(C113, "Memory Overcommit Validation"), "メモリオーバーコミット設定の検証", _xlfn.REGEXTEST(C113, "Gateway Logging"), "ゲートウェイのログ出力設定", _xlfn.REGEXTEST(C113, "CPU Balance"), "CPU使用率の分散バランス状態", _xlfn.REGEXTEST(C113, "Disk Balance"), "ディスク使用量の分散バランス状態", _xlfn.REGEXTEST(C113, "Network Inbound Balance"), "ネットワークインバウンド（受信）の分散バランス状態", _xlfn.REGEXTEST(C113, "Network Outbound Balance"), "ネットワークアウトバウンド（送信）の分散バランス状態", _xlfn.REGEXTEST(C113, "Replica Count Balance"), "レプリカ数の分散バランス状態", _xlfn.REGEXTEST(C113, "Disk Capacity"), "ディスク総容量の限界・使用容量", _xlfn.REGEXTEST(C113, "CPU Capacity"), "CPU総処理能力の限界・使用量", _xlfn.REGEXTEST(C113, "Network Inbound Capacity"), "ネットワークインバウンド（受信）帯域の限界・使用量", _xlfn.REGEXTEST(C113, "Network Outbound Capacity"), "ネットワークアウトバウンド（送信）帯域の限界・使用量", _xlfn.REGEXTEST(C113, "Leader Replica Count Balance"), "リーダーレプリカ数の分散バランス状態", _xlfn.REGEXTEST(C113, "Host DNS Resolution Duration"), "ホストのDNS名前解決の所要時間", _xlfn.REGEXTEST(C113, "TLS Certificate Expiry"), "TLS証明書の有効期限切れ", _xlfn.REGEXTEST(C113, "Host Entropy"), "ホストのエントロピー（乱数生成能力）の不足", _xlfn.REGEXTEST(C113, "File Descriptor"), "プロセスのファイルディスクリプタ使用率", _xlfn.REGEXTEST(C113, "Unexpected Exits"), "プロセスの異常終了（予期せぬ停止）", _xlfn.REGEXTEST(C113, "Swap Memory Thresholds"), "プロセスのスワップメモリ使用量", _xlfn.REGEXTEST(C113, "Swap Memory Usage Rate"), "スワップメモリ使用量の変化率（増加速度）", _xlfn.REGEXTEST(C113, "Log Directory Free Space.*Absolute"), "ログディレクトリの空き容量（絶対値）", _xlfn.REGEXTEST(C113, "Log Directory Free Space.*Percentage"), "ログディレクトリの空き容量割合（%）", _xlfn.REGEXTEST(C113, "Heap Dump Directory Free Space.*Absolute"), "ヒープダンプディレクトリの空き容量（絶対値）", _xlfn.REGEXTEST(C113, "Heap Dump Directory Free Space.*Percentage"), "ヒープダンプディレクトリの空き容量割合（%）", _xlfn.REGEXTEST(C113, "Data Directory Free Space.*Absolute"), "データディレクトリの空き容量（絶対値）", _xlfn.REGEXTEST(C113, "Data Directory Free Space.*Percentage"), "データディレクトリの空き容量割合（%）", _xlfn.REGEXTEST(C113, "Transaction Log Directory Free Space.*Absolute"), "トランザクションログディレクトリの空き容量（絶対値）", _xlfn.REGEXTEST(C113, "Logging Threshold|Logger Threshold"), "ログ出力レベルの閾値設定", _xlfn.REGEXTEST(C113, "Enable.*Alerts"), "ヘルスアラートの有効化状態", _xlfn.REGEXTEST(C113, "Triggers"), "カスタムアラート条件（トリガー設定）", _xlfn.REGEXTEST(C113, "Healthy Kafka Broker"), "Kafka Brokerの健全ノード割合（稼働率）", _xlfn.REGEXTEST(C113, "Healthy Kafka Connect"), "Kafka Connectの健全ノード割合（稼働率）", _xlfn.REGEXTEST(C113, "Healthy KRaft Controller"), "KRaft Controllerの健全ノード割合（稼働率）", _xlfn.REGEXTEST(C113, "Healthy Knox IDBroker"), "Knox IDBrokerの健全ノード割合（稼働率）", _xlfn.REGEXTEST(C113, "Healthy Knox Gateway"), "Knox Gatewayの健全ノード割合（稼働率）", _xlfn.REGEXTEST(C113, "Healthy ZooKeeper Server"), "ZooKeeper Serverの健全ノード割合（稼働率）", _xlfn.REGEXTEST(C113, "Healthy NodeManager"), "NodeManagerの健全ノード割合（稼働率）", _xlfn.REGEXTEST(C113, "Maximum Latency"), "リクエストの最大レイテンシ（処理遅延）", _xlfn.REGEXTEST(C113, "Garbage Collection Duration"), "Javaのガベージコレクション（GC）の所要時間", _xlfn.REGEXTEST(C113, "Spool Directory Usage"), "Rangerプラグインのスプールディレクトリ使用量", _xlfn.REGEXTEST(C113, "Process Directory Free Space Monitoring Absolute"), "プロセスディレクトリの空き容量（絶対値)", _xlfn.REGEXTEST(C113, "Process Directory Free Space.*Percentage"), "プロセスディレクトリの空き容量割合（%）", _xlfn.REGEXTEST(C113, "Parcel Directory Free Space.*Absolute"), "パーセルディレクトリの空き容量（絶対値）", _xlfn.REGEXTEST(C113, "Parcel Directory Free Space.*Percentage"), "パーセルディレクトリの空き容量割合（%）", _xlfn.REGEXTEST(C113, "Host Network Frame Error Percentage"), "ホストのネットワークフレームエラー割合（%）", _xlfn.REGEXTEST(C113, "Network Interfaces Slow Link Modes"), "ホストのネットワークインターフェースの低速リンクモード検出", _xlfn.REGEXTEST(C113, "Host Memory Swapping"), "ホストのメモリのスワップ発生状態", TRUE, "要手動確認")</f>
        <v>空き容量（絶対値）</v>
      </c>
      <c r="H113" s="479" t="s">
        <v>692</v>
      </c>
    </row>
    <row r="114" spans="1:8" ht="33.6">
      <c r="A114" s="468"/>
      <c r="B114" s="473"/>
      <c r="C114" s="471" t="s">
        <v>746</v>
      </c>
      <c r="D114" s="471" t="s">
        <v>747</v>
      </c>
      <c r="E114" s="471" t="s">
        <v>880</v>
      </c>
      <c r="F114" s="471"/>
      <c r="G114" s="471" t="str" cm="1">
        <f t="array" ref="G114">_xlfn.IFS(C114 = "", "", _xlfn.REGEXTEST(C114, "Service Metric Migrator Minimum Consecutive Successful Checks"), "サービスメトリック移行ツールの連続正常チェック最小回数", _xlfn.REGEXTEST(C114, "Rebalancing"), "リバランシング（データ再配置）状態", _xlfn.REGEXTEST(C114, "Temporary Dump Directory"), "一時ダンプディレクトリの監視", _xlfn.REGEXTEST(C114, "Safemode Extension"), "セーフモード延長状態", _xlfn.REGEXTEST(C114, "Client Idle"), "クライアントのアイドル（待機）状態", _xlfn.REGEXTEST(C114, "Available Space Policy Balanced"), "空き容量ポリシーの分散バランス状態", _xlfn.REGEXTEST(C114, "Filesystem Checkpoint Transaction"), "ファイルシステムのチェックポイントトランザクション", _xlfn.REGEXTEST(C114, "Blocks With Corrupt Replicas Monitoring"), "破損レプリカを持つブロックの監視", _xlfn.REGEXTEST(C114, "Missing Block Monitoring"), "消失（ミッシング）ブロックの監視", _xlfn.REGEXTEST(C114, "Under-replicated Block Monitoring"), "レプリカ数不足ブロックの監視", _xlfn.REGEXTEST(C114, "HDFS Free Space Monitoring"), "HDFSの空き容量監視", _xlfn.REGEXTEST(C114, "DataNode Monitoring"), "DataNodeの稼働状態監視", _xlfn.REGEXTEST(C114, "Rules to Extract Events from Log Files"), "ログファイルからのイベント抽出ルール設定", _xlfn.REGEXTEST(C114, "Free Space Monitoring$"), "空き容量監視（一般設定）", _xlfn.REGEXTEST(C114, "Transceivers Usage"), "トランシーバー使用量（データ転送スレッド数）", _xlfn.REGEXTEST(C114, "Volume Failures"), "ボリューム障害（ディスクエラー）数", _xlfn.REGEXTEST(C114, "Block Count"), "ブロック総数", _xlfn.REGEXTEST(C114, "Audit Failure"), "監査（オーディット）ログの失敗イベント", _xlfn.REGEXTEST(C114, "Web Metric Collection Duration"), "Webメトリック収集の所要時間", _xlfn.REGEXTEST(C114, "Pause Duration"), "一時停止（ポーズ）の所要時間", _xlfn.REGEXTEST(C114, "Fsync Latency"), "Fsync（ディスク同期）のレイテンシ", _xlfn.REGEXTEST(C114, "Free Space Monitoring Absolute"), "空き容量（絶対値）", _xlfn.REGEXTEST(C114, "Free Space Monitoring Percentage"), "空き容量割合（%）", _xlfn.REGEXTEST(C114, "Age Monitoring"), "経過時間の監視", _xlfn.REGEXTEST(C114, "Transactions Monitoring"), "トランザクション数の監視", _xlfn.REGEXTEST(C114, "RPC Latency"), "RPC（遠隔手続き呼出し）のレイテンシ", _xlfn.REGEXTEST(C114, "Directory Failures"), "ディレクトリ障害数", _xlfn.REGEXTEST(C114, "Out-Of-Sync JournalNodes"), "同期ズレが発生しているJournalNode数", _xlfn.REGEXTEST(C114, "Safemode Threshold Percentage"), "セーフモード解除閾値の割合（%）", _xlfn.REGEXTEST(C114, "Kerberos Ticket Renewer Monitoring"), "Kerberosチケット更新プロセスの稼働状態監視", _xlfn.REGEXTEST(C114, "Load Balancer Monitoring"), "ロードバランサーの稼働状態監視", _xlfn.REGEXTEST(C114, "Navigator Audit Failure"), "Cloudera Navigator監査ログの失敗イベント", _xlfn.REGEXTEST(C114, "Schema Registry Server Monitoring"), "Schema Registry Serverの稼働状態監視", _xlfn.REGEXTEST(C114, "SRM Service Monitoring"), "SRMサービスの稼働状態監視", _xlfn.REGEXTEST(C114, "SRM Driver Monitoring"), "SRMドライバーの稼働状態監視", _xlfn.REGEXTEST(C114, "Loggin"), "ログ出力状態・設定監視", _xlfn.REGEXTEST(C114, "Server Monitoring"), "サーバーの稼働状態監視", _xlfn.REGEXTEST(C114, "Server Connection Count"), "サーバーの接続数（コネクション数）", _xlfn.REGEXTEST(C114, "Server Outstanding Requests"), "サーバーの未処理リクエスト数（滞留要求数）", _xlfn.REGEXTEST(C114, "Repository Status"), "リポジトリのステータス状態", _xlfn.REGEXTEST(C114, "Monitor Long Running Task"), "長時間実行タスク（ジョブ）の監視", _xlfn.REGEXTEST(C114, "Token requests per second"), "1秒あたりのトークンリクエスト数（要求レート）", _xlfn.REGEXTEST(C114, "Connection Model Score"), "接続モデルスコア（コネクション品質）", _xlfn.REGEXTEST(C114, "Queue swap"), "キューのスワップ発生状態", _xlfn.REGEXTEST(C114, "NiFi Node Monitoring"), "NiFiノードの稼働状態監視", _xlfn.REGEXTEST(C114, "Host Clock Offset"), "ホストのクロックオフセット（時刻同期のズレ）", _xlfn.REGEXTEST(C114, "Memory Overcommit Validation"), "メモリオーバーコミット設定の検証", _xlfn.REGEXTEST(C114, "Gateway Logging"), "ゲートウェイのログ出力設定", _xlfn.REGEXTEST(C114, "CPU Balance"), "CPU使用率の分散バランス状態", _xlfn.REGEXTEST(C114, "Disk Balance"), "ディスク使用量の分散バランス状態", _xlfn.REGEXTEST(C114, "Network Inbound Balance"), "ネットワークインバウンド（受信）の分散バランス状態", _xlfn.REGEXTEST(C114, "Network Outbound Balance"), "ネットワークアウトバウンド（送信）の分散バランス状態", _xlfn.REGEXTEST(C114, "Replica Count Balance"), "レプリカ数の分散バランス状態", _xlfn.REGEXTEST(C114, "Disk Capacity"), "ディスク総容量の限界・使用容量", _xlfn.REGEXTEST(C114, "CPU Capacity"), "CPU総処理能力の限界・使用量", _xlfn.REGEXTEST(C114, "Network Inbound Capacity"), "ネットワークインバウンド（受信）帯域の限界・使用量", _xlfn.REGEXTEST(C114, "Network Outbound Capacity"), "ネットワークアウトバウンド（送信）帯域の限界・使用量", _xlfn.REGEXTEST(C114, "Leader Replica Count Balance"), "リーダーレプリカ数の分散バランス状態", _xlfn.REGEXTEST(C114, "Host DNS Resolution Duration"), "ホストのDNS名前解決の所要時間", _xlfn.REGEXTEST(C114, "TLS Certificate Expiry"), "TLS証明書の有効期限切れ", _xlfn.REGEXTEST(C114, "Host Entropy"), "ホストのエントロピー（乱数生成能力）の不足", _xlfn.REGEXTEST(C114, "File Descriptor"), "プロセスのファイルディスクリプタ使用率", _xlfn.REGEXTEST(C114, "Unexpected Exits"), "プロセスの異常終了（予期せぬ停止）", _xlfn.REGEXTEST(C114, "Swap Memory Thresholds"), "プロセスのスワップメモリ使用量", _xlfn.REGEXTEST(C114, "Swap Memory Usage Rate"), "スワップメモリ使用量の変化率（増加速度）", _xlfn.REGEXTEST(C114, "Log Directory Free Space.*Absolute"), "ログディレクトリの空き容量（絶対値）", _xlfn.REGEXTEST(C114, "Log Directory Free Space.*Percentage"), "ログディレクトリの空き容量割合（%）", _xlfn.REGEXTEST(C114, "Heap Dump Directory Free Space.*Absolute"), "ヒープダンプディレクトリの空き容量（絶対値）", _xlfn.REGEXTEST(C114, "Heap Dump Directory Free Space.*Percentage"), "ヒープダンプディレクトリの空き容量割合（%）", _xlfn.REGEXTEST(C114, "Data Directory Free Space.*Absolute"), "データディレクトリの空き容量（絶対値）", _xlfn.REGEXTEST(C114, "Data Directory Free Space.*Percentage"), "データディレクトリの空き容量割合（%）", _xlfn.REGEXTEST(C114, "Transaction Log Directory Free Space.*Absolute"), "トランザクションログディレクトリの空き容量（絶対値）", _xlfn.REGEXTEST(C114, "Logging Threshold|Logger Threshold"), "ログ出力レベルの閾値設定", _xlfn.REGEXTEST(C114, "Enable.*Alerts"), "ヘルスアラートの有効化状態", _xlfn.REGEXTEST(C114, "Triggers"), "カスタムアラート条件（トリガー設定）", _xlfn.REGEXTEST(C114, "Healthy Kafka Broker"), "Kafka Brokerの健全ノード割合（稼働率）", _xlfn.REGEXTEST(C114, "Healthy Kafka Connect"), "Kafka Connectの健全ノード割合（稼働率）", _xlfn.REGEXTEST(C114, "Healthy KRaft Controller"), "KRaft Controllerの健全ノード割合（稼働率）", _xlfn.REGEXTEST(C114, "Healthy Knox IDBroker"), "Knox IDBrokerの健全ノード割合（稼働率）", _xlfn.REGEXTEST(C114, "Healthy Knox Gateway"), "Knox Gatewayの健全ノード割合（稼働率）", _xlfn.REGEXTEST(C114, "Healthy ZooKeeper Server"), "ZooKeeper Serverの健全ノード割合（稼働率）", _xlfn.REGEXTEST(C114, "Healthy NodeManager"), "NodeManagerの健全ノード割合（稼働率）", _xlfn.REGEXTEST(C114, "Maximum Latency"), "リクエストの最大レイテンシ（処理遅延）", _xlfn.REGEXTEST(C114, "Garbage Collection Duration"), "Javaのガベージコレクション（GC）の所要時間", _xlfn.REGEXTEST(C114, "Spool Directory Usage"), "Rangerプラグインのスプールディレクトリ使用量", _xlfn.REGEXTEST(C114, "Process Directory Free Space Monitoring Absolute"), "プロセスディレクトリの空き容量（絶対値)", _xlfn.REGEXTEST(C114, "Process Directory Free Space.*Percentage"), "プロセスディレクトリの空き容量割合（%）", _xlfn.REGEXTEST(C114, "Parcel Directory Free Space.*Absolute"), "パーセルディレクトリの空き容量（絶対値）", _xlfn.REGEXTEST(C114, "Parcel Directory Free Space.*Percentage"), "パーセルディレクトリの空き容量割合（%）", _xlfn.REGEXTEST(C114, "Host Network Frame Error Percentage"), "ホストのネットワークフレームエラー割合（%）", _xlfn.REGEXTEST(C114, "Network Interfaces Slow Link Modes"), "ホストのネットワークインターフェースの低速リンクモード検出", _xlfn.REGEXTEST(C114, "Host Memory Swapping"), "ホストのメモリのスワップ発生状態", TRUE, "要手動確認")</f>
        <v>空き容量割合（%）</v>
      </c>
      <c r="H114" s="479" t="s">
        <v>689</v>
      </c>
    </row>
    <row r="115" spans="1:8" ht="33.6">
      <c r="A115" s="468"/>
      <c r="B115" s="473"/>
      <c r="C115" s="471" t="s">
        <v>749</v>
      </c>
      <c r="D115" s="471" t="s">
        <v>750</v>
      </c>
      <c r="E115" s="471" t="s">
        <v>880</v>
      </c>
      <c r="F115" s="471"/>
      <c r="G115" s="471" t="str" cm="1">
        <f t="array" ref="G115">_xlfn.IFS(C115 = "", "", _xlfn.REGEXTEST(C115, "Service Metric Migrator Minimum Consecutive Successful Checks"), "サービスメトリック移行ツールの連続正常チェック最小回数", _xlfn.REGEXTEST(C115, "Rebalancing"), "リバランシング（データ再配置）状態", _xlfn.REGEXTEST(C115, "Temporary Dump Directory"), "一時ダンプディレクトリの監視", _xlfn.REGEXTEST(C115, "Safemode Extension"), "セーフモード延長状態", _xlfn.REGEXTEST(C115, "Client Idle"), "クライアントのアイドル（待機）状態", _xlfn.REGEXTEST(C115, "Available Space Policy Balanced"), "空き容量ポリシーの分散バランス状態", _xlfn.REGEXTEST(C115, "Filesystem Checkpoint Transaction"), "ファイルシステムのチェックポイントトランザクション", _xlfn.REGEXTEST(C115, "Blocks With Corrupt Replicas Monitoring"), "破損レプリカを持つブロックの監視", _xlfn.REGEXTEST(C115, "Missing Block Monitoring"), "消失（ミッシング）ブロックの監視", _xlfn.REGEXTEST(C115, "Under-replicated Block Monitoring"), "レプリカ数不足ブロックの監視", _xlfn.REGEXTEST(C115, "HDFS Free Space Monitoring"), "HDFSの空き容量監視", _xlfn.REGEXTEST(C115, "DataNode Monitoring"), "DataNodeの稼働状態監視", _xlfn.REGEXTEST(C115, "Rules to Extract Events from Log Files"), "ログファイルからのイベント抽出ルール設定", _xlfn.REGEXTEST(C115, "Free Space Monitoring$"), "空き容量監視（一般設定）", _xlfn.REGEXTEST(C115, "Transceivers Usage"), "トランシーバー使用量（データ転送スレッド数）", _xlfn.REGEXTEST(C115, "Volume Failures"), "ボリューム障害（ディスクエラー）数", _xlfn.REGEXTEST(C115, "Block Count"), "ブロック総数", _xlfn.REGEXTEST(C115, "Audit Failure"), "監査（オーディット）ログの失敗イベント", _xlfn.REGEXTEST(C115, "Web Metric Collection Duration"), "Webメトリック収集の所要時間", _xlfn.REGEXTEST(C115, "Pause Duration"), "一時停止（ポーズ）の所要時間", _xlfn.REGEXTEST(C115, "Fsync Latency"), "Fsync（ディスク同期）のレイテンシ", _xlfn.REGEXTEST(C115, "Free Space Monitoring Absolute"), "空き容量（絶対値）", _xlfn.REGEXTEST(C115, "Free Space Monitoring Percentage"), "空き容量割合（%）", _xlfn.REGEXTEST(C115, "Age Monitoring"), "経過時間の監視", _xlfn.REGEXTEST(C115, "Transactions Monitoring"), "トランザクション数の監視", _xlfn.REGEXTEST(C115, "RPC Latency"), "RPC（遠隔手続き呼出し）のレイテンシ", _xlfn.REGEXTEST(C115, "Directory Failures"), "ディレクトリ障害数", _xlfn.REGEXTEST(C115, "Out-Of-Sync JournalNodes"), "同期ズレが発生しているJournalNode数", _xlfn.REGEXTEST(C115, "Safemode Threshold Percentage"), "セーフモード解除閾値の割合（%）", _xlfn.REGEXTEST(C115, "Kerberos Ticket Renewer Monitoring"), "Kerberosチケット更新プロセスの稼働状態監視", _xlfn.REGEXTEST(C115, "Load Balancer Monitoring"), "ロードバランサーの稼働状態監視", _xlfn.REGEXTEST(C115, "Navigator Audit Failure"), "Cloudera Navigator監査ログの失敗イベント", _xlfn.REGEXTEST(C115, "Schema Registry Server Monitoring"), "Schema Registry Serverの稼働状態監視", _xlfn.REGEXTEST(C115, "SRM Service Monitoring"), "SRMサービスの稼働状態監視", _xlfn.REGEXTEST(C115, "SRM Driver Monitoring"), "SRMドライバーの稼働状態監視", _xlfn.REGEXTEST(C115, "Loggin"), "ログ出力状態・設定監視", _xlfn.REGEXTEST(C115, "Server Monitoring"), "サーバーの稼働状態監視", _xlfn.REGEXTEST(C115, "Server Connection Count"), "サーバーの接続数（コネクション数）", _xlfn.REGEXTEST(C115, "Server Outstanding Requests"), "サーバーの未処理リクエスト数（滞留要求数）", _xlfn.REGEXTEST(C115, "Repository Status"), "リポジトリのステータス状態", _xlfn.REGEXTEST(C115, "Monitor Long Running Task"), "長時間実行タスク（ジョブ）の監視", _xlfn.REGEXTEST(C115, "Token requests per second"), "1秒あたりのトークンリクエスト数（要求レート）", _xlfn.REGEXTEST(C115, "Connection Model Score"), "接続モデルスコア（コネクション品質）", _xlfn.REGEXTEST(C115, "Queue swap"), "キューのスワップ発生状態", _xlfn.REGEXTEST(C115, "NiFi Node Monitoring"), "NiFiノードの稼働状態監視", _xlfn.REGEXTEST(C115, "Host Clock Offset"), "ホストのクロックオフセット（時刻同期のズレ）", _xlfn.REGEXTEST(C115, "Memory Overcommit Validation"), "メモリオーバーコミット設定の検証", _xlfn.REGEXTEST(C115, "Gateway Logging"), "ゲートウェイのログ出力設定", _xlfn.REGEXTEST(C115, "CPU Balance"), "CPU使用率の分散バランス状態", _xlfn.REGEXTEST(C115, "Disk Balance"), "ディスク使用量の分散バランス状態", _xlfn.REGEXTEST(C115, "Network Inbound Balance"), "ネットワークインバウンド（受信）の分散バランス状態", _xlfn.REGEXTEST(C115, "Network Outbound Balance"), "ネットワークアウトバウンド（送信）の分散バランス状態", _xlfn.REGEXTEST(C115, "Replica Count Balance"), "レプリカ数の分散バランス状態", _xlfn.REGEXTEST(C115, "Disk Capacity"), "ディスク総容量の限界・使用容量", _xlfn.REGEXTEST(C115, "CPU Capacity"), "CPU総処理能力の限界・使用量", _xlfn.REGEXTEST(C115, "Network Inbound Capacity"), "ネットワークインバウンド（受信）帯域の限界・使用量", _xlfn.REGEXTEST(C115, "Network Outbound Capacity"), "ネットワークアウトバウンド（送信）帯域の限界・使用量", _xlfn.REGEXTEST(C115, "Leader Replica Count Balance"), "リーダーレプリカ数の分散バランス状態", _xlfn.REGEXTEST(C115, "Host DNS Resolution Duration"), "ホストのDNS名前解決の所要時間", _xlfn.REGEXTEST(C115, "TLS Certificate Expiry"), "TLS証明書の有効期限切れ", _xlfn.REGEXTEST(C115, "Host Entropy"), "ホストのエントロピー（乱数生成能力）の不足", _xlfn.REGEXTEST(C115, "File Descriptor"), "プロセスのファイルディスクリプタ使用率", _xlfn.REGEXTEST(C115, "Unexpected Exits"), "プロセスの異常終了（予期せぬ停止）", _xlfn.REGEXTEST(C115, "Swap Memory Thresholds"), "プロセスのスワップメモリ使用量", _xlfn.REGEXTEST(C115, "Swap Memory Usage Rate"), "スワップメモリ使用量の変化率（増加速度）", _xlfn.REGEXTEST(C115, "Log Directory Free Space.*Absolute"), "ログディレクトリの空き容量（絶対値）", _xlfn.REGEXTEST(C115, "Log Directory Free Space.*Percentage"), "ログディレクトリの空き容量割合（%）", _xlfn.REGEXTEST(C115, "Heap Dump Directory Free Space.*Absolute"), "ヒープダンプディレクトリの空き容量（絶対値）", _xlfn.REGEXTEST(C115, "Heap Dump Directory Free Space.*Percentage"), "ヒープダンプディレクトリの空き容量割合（%）", _xlfn.REGEXTEST(C115, "Data Directory Free Space.*Absolute"), "データディレクトリの空き容量（絶対値）", _xlfn.REGEXTEST(C115, "Data Directory Free Space.*Percentage"), "データディレクトリの空き容量割合（%）", _xlfn.REGEXTEST(C115, "Transaction Log Directory Free Space.*Absolute"), "トランザクションログディレクトリの空き容量（絶対値）", _xlfn.REGEXTEST(C115, "Logging Threshold|Logger Threshold"), "ログ出力レベルの閾値設定", _xlfn.REGEXTEST(C115, "Enable.*Alerts"), "ヘルスアラートの有効化状態", _xlfn.REGEXTEST(C115, "Triggers"), "カスタムアラート条件（トリガー設定）", _xlfn.REGEXTEST(C115, "Healthy Kafka Broker"), "Kafka Brokerの健全ノード割合（稼働率）", _xlfn.REGEXTEST(C115, "Healthy Kafka Connect"), "Kafka Connectの健全ノード割合（稼働率）", _xlfn.REGEXTEST(C115, "Healthy KRaft Controller"), "KRaft Controllerの健全ノード割合（稼働率）", _xlfn.REGEXTEST(C115, "Healthy Knox IDBroker"), "Knox IDBrokerの健全ノード割合（稼働率）", _xlfn.REGEXTEST(C115, "Healthy Knox Gateway"), "Knox Gatewayの健全ノード割合（稼働率）", _xlfn.REGEXTEST(C115, "Healthy ZooKeeper Server"), "ZooKeeper Serverの健全ノード割合（稼働率）", _xlfn.REGEXTEST(C115, "Healthy NodeManager"), "NodeManagerの健全ノード割合（稼働率）", _xlfn.REGEXTEST(C115, "Maximum Latency"), "リクエストの最大レイテンシ（処理遅延）", _xlfn.REGEXTEST(C115, "Garbage Collection Duration"), "Javaのガベージコレクション（GC）の所要時間", _xlfn.REGEXTEST(C115, "Spool Directory Usage"), "Rangerプラグインのスプールディレクトリ使用量", _xlfn.REGEXTEST(C115, "Process Directory Free Space Monitoring Absolute"), "プロセスディレクトリの空き容量（絶対値)", _xlfn.REGEXTEST(C115, "Process Directory Free Space.*Percentage"), "プロセスディレクトリの空き容量割合（%）", _xlfn.REGEXTEST(C115, "Parcel Directory Free Space.*Absolute"), "パーセルディレクトリの空き容量（絶対値）", _xlfn.REGEXTEST(C115, "Parcel Directory Free Space.*Percentage"), "パーセルディレクトリの空き容量割合（%）", _xlfn.REGEXTEST(C115, "Host Network Frame Error Percentage"), "ホストのネットワークフレームエラー割合（%）", _xlfn.REGEXTEST(C115, "Network Interfaces Slow Link Modes"), "ホストのネットワークインターフェースの低速リンクモード検出", _xlfn.REGEXTEST(C115, "Host Memory Swapping"), "ホストのメモリのスワップ発生状態", TRUE, "要手動確認")</f>
        <v>プロセスの異常終了（予期せぬ停止）</v>
      </c>
      <c r="H115" s="479" t="s">
        <v>818</v>
      </c>
    </row>
    <row r="116" spans="1:8" ht="33.6">
      <c r="A116" s="468"/>
      <c r="B116" s="473"/>
      <c r="C116" s="471" t="s">
        <v>755</v>
      </c>
      <c r="D116" s="471" t="s">
        <v>756</v>
      </c>
      <c r="E116" s="471" t="s">
        <v>880</v>
      </c>
      <c r="F116" s="471"/>
      <c r="G116" s="471" t="str" cm="1">
        <f t="array" ref="G116">_xlfn.IFS(C116 = "", "", _xlfn.REGEXTEST(C116, "Service Metric Migrator Minimum Consecutive Successful Checks"), "サービスメトリック移行ツールの連続正常チェック最小回数", _xlfn.REGEXTEST(C116, "Rebalancing"), "リバランシング（データ再配置）状態", _xlfn.REGEXTEST(C116, "Temporary Dump Directory"), "一時ダンプディレクトリの監視", _xlfn.REGEXTEST(C116, "Safemode Extension"), "セーフモード延長状態", _xlfn.REGEXTEST(C116, "Client Idle"), "クライアントのアイドル（待機）状態", _xlfn.REGEXTEST(C116, "Available Space Policy Balanced"), "空き容量ポリシーの分散バランス状態", _xlfn.REGEXTEST(C116, "Filesystem Checkpoint Transaction"), "ファイルシステムのチェックポイントトランザクション", _xlfn.REGEXTEST(C116, "Blocks With Corrupt Replicas Monitoring"), "破損レプリカを持つブロックの監視", _xlfn.REGEXTEST(C116, "Missing Block Monitoring"), "消失（ミッシング）ブロックの監視", _xlfn.REGEXTEST(C116, "Under-replicated Block Monitoring"), "レプリカ数不足ブロックの監視", _xlfn.REGEXTEST(C116, "HDFS Free Space Monitoring"), "HDFSの空き容量監視", _xlfn.REGEXTEST(C116, "DataNode Monitoring"), "DataNodeの稼働状態監視", _xlfn.REGEXTEST(C116, "Rules to Extract Events from Log Files"), "ログファイルからのイベント抽出ルール設定", _xlfn.REGEXTEST(C116, "Free Space Monitoring$"), "空き容量監視（一般設定）", _xlfn.REGEXTEST(C116, "Transceivers Usage"), "トランシーバー使用量（データ転送スレッド数）", _xlfn.REGEXTEST(C116, "Volume Failures"), "ボリューム障害（ディスクエラー）数", _xlfn.REGEXTEST(C116, "Block Count"), "ブロック総数", _xlfn.REGEXTEST(C116, "Audit Failure"), "監査（オーディット）ログの失敗イベント", _xlfn.REGEXTEST(C116, "Web Metric Collection Duration"), "Webメトリック収集の所要時間", _xlfn.REGEXTEST(C116, "Pause Duration"), "一時停止（ポーズ）の所要時間", _xlfn.REGEXTEST(C116, "Fsync Latency"), "Fsync（ディスク同期）のレイテンシ", _xlfn.REGEXTEST(C116, "Free Space Monitoring Absolute"), "空き容量（絶対値）", _xlfn.REGEXTEST(C116, "Free Space Monitoring Percentage"), "空き容量割合（%）", _xlfn.REGEXTEST(C116, "Age Monitoring"), "経過時間の監視", _xlfn.REGEXTEST(C116, "Transactions Monitoring"), "トランザクション数の監視", _xlfn.REGEXTEST(C116, "RPC Latency"), "RPC（遠隔手続き呼出し）のレイテンシ", _xlfn.REGEXTEST(C116, "Directory Failures"), "ディレクトリ障害数", _xlfn.REGEXTEST(C116, "Out-Of-Sync JournalNodes"), "同期ズレが発生しているJournalNode数", _xlfn.REGEXTEST(C116, "Safemode Threshold Percentage"), "セーフモード解除閾値の割合（%）", _xlfn.REGEXTEST(C116, "Kerberos Ticket Renewer Monitoring"), "Kerberosチケット更新プロセスの稼働状態監視", _xlfn.REGEXTEST(C116, "Load Balancer Monitoring"), "ロードバランサーの稼働状態監視", _xlfn.REGEXTEST(C116, "Navigator Audit Failure"), "Cloudera Navigator監査ログの失敗イベント", _xlfn.REGEXTEST(C116, "Schema Registry Server Monitoring"), "Schema Registry Serverの稼働状態監視", _xlfn.REGEXTEST(C116, "SRM Service Monitoring"), "SRMサービスの稼働状態監視", _xlfn.REGEXTEST(C116, "SRM Driver Monitoring"), "SRMドライバーの稼働状態監視", _xlfn.REGEXTEST(C116, "Loggin"), "ログ出力状態・設定監視", _xlfn.REGEXTEST(C116, "Server Monitoring"), "サーバーの稼働状態監視", _xlfn.REGEXTEST(C116, "Server Connection Count"), "サーバーの接続数（コネクション数）", _xlfn.REGEXTEST(C116, "Server Outstanding Requests"), "サーバーの未処理リクエスト数（滞留要求数）", _xlfn.REGEXTEST(C116, "Repository Status"), "リポジトリのステータス状態", _xlfn.REGEXTEST(C116, "Monitor Long Running Task"), "長時間実行タスク（ジョブ）の監視", _xlfn.REGEXTEST(C116, "Token requests per second"), "1秒あたりのトークンリクエスト数（要求レート）", _xlfn.REGEXTEST(C116, "Connection Model Score"), "接続モデルスコア（コネクション品質）", _xlfn.REGEXTEST(C116, "Queue swap"), "キューのスワップ発生状態", _xlfn.REGEXTEST(C116, "NiFi Node Monitoring"), "NiFiノードの稼働状態監視", _xlfn.REGEXTEST(C116, "Host Clock Offset"), "ホストのクロックオフセット（時刻同期のズレ）", _xlfn.REGEXTEST(C116, "Memory Overcommit Validation"), "メモリオーバーコミット設定の検証", _xlfn.REGEXTEST(C116, "Gateway Logging"), "ゲートウェイのログ出力設定", _xlfn.REGEXTEST(C116, "CPU Balance"), "CPU使用率の分散バランス状態", _xlfn.REGEXTEST(C116, "Disk Balance"), "ディスク使用量の分散バランス状態", _xlfn.REGEXTEST(C116, "Network Inbound Balance"), "ネットワークインバウンド（受信）の分散バランス状態", _xlfn.REGEXTEST(C116, "Network Outbound Balance"), "ネットワークアウトバウンド（送信）の分散バランス状態", _xlfn.REGEXTEST(C116, "Replica Count Balance"), "レプリカ数の分散バランス状態", _xlfn.REGEXTEST(C116, "Disk Capacity"), "ディスク総容量の限界・使用容量", _xlfn.REGEXTEST(C116, "CPU Capacity"), "CPU総処理能力の限界・使用量", _xlfn.REGEXTEST(C116, "Network Inbound Capacity"), "ネットワークインバウンド（受信）帯域の限界・使用量", _xlfn.REGEXTEST(C116, "Network Outbound Capacity"), "ネットワークアウトバウンド（送信）帯域の限界・使用量", _xlfn.REGEXTEST(C116, "Leader Replica Count Balance"), "リーダーレプリカ数の分散バランス状態", _xlfn.REGEXTEST(C116, "Host DNS Resolution Duration"), "ホストのDNS名前解決の所要時間", _xlfn.REGEXTEST(C116, "TLS Certificate Expiry"), "TLS証明書の有効期限切れ", _xlfn.REGEXTEST(C116, "Host Entropy"), "ホストのエントロピー（乱数生成能力）の不足", _xlfn.REGEXTEST(C116, "File Descriptor"), "プロセスのファイルディスクリプタ使用率", _xlfn.REGEXTEST(C116, "Unexpected Exits"), "プロセスの異常終了（予期せぬ停止）", _xlfn.REGEXTEST(C116, "Swap Memory Thresholds"), "プロセスのスワップメモリ使用量", _xlfn.REGEXTEST(C116, "Swap Memory Usage Rate"), "スワップメモリ使用量の変化率（増加速度）", _xlfn.REGEXTEST(C116, "Log Directory Free Space.*Absolute"), "ログディレクトリの空き容量（絶対値）", _xlfn.REGEXTEST(C116, "Log Directory Free Space.*Percentage"), "ログディレクトリの空き容量割合（%）", _xlfn.REGEXTEST(C116, "Heap Dump Directory Free Space.*Absolute"), "ヒープダンプディレクトリの空き容量（絶対値）", _xlfn.REGEXTEST(C116, "Heap Dump Directory Free Space.*Percentage"), "ヒープダンプディレクトリの空き容量割合（%）", _xlfn.REGEXTEST(C116, "Data Directory Free Space.*Absolute"), "データディレクトリの空き容量（絶対値）", _xlfn.REGEXTEST(C116, "Data Directory Free Space.*Percentage"), "データディレクトリの空き容量割合（%）", _xlfn.REGEXTEST(C116, "Transaction Log Directory Free Space.*Absolute"), "トランザクションログディレクトリの空き容量（絶対値）", _xlfn.REGEXTEST(C116, "Logging Threshold|Logger Threshold"), "ログ出力レベルの閾値設定", _xlfn.REGEXTEST(C116, "Enable.*Alerts"), "ヘルスアラートの有効化状態", _xlfn.REGEXTEST(C116, "Triggers"), "カスタムアラート条件（トリガー設定）", _xlfn.REGEXTEST(C116, "Healthy Kafka Broker"), "Kafka Brokerの健全ノード割合（稼働率）", _xlfn.REGEXTEST(C116, "Healthy Kafka Connect"), "Kafka Connectの健全ノード割合（稼働率）", _xlfn.REGEXTEST(C116, "Healthy KRaft Controller"), "KRaft Controllerの健全ノード割合（稼働率）", _xlfn.REGEXTEST(C116, "Healthy Knox IDBroker"), "Knox IDBrokerの健全ノード割合（稼働率）", _xlfn.REGEXTEST(C116, "Healthy Knox Gateway"), "Knox Gatewayの健全ノード割合（稼働率）", _xlfn.REGEXTEST(C116, "Healthy ZooKeeper Server"), "ZooKeeper Serverの健全ノード割合（稼働率）", _xlfn.REGEXTEST(C116, "Healthy NodeManager"), "NodeManagerの健全ノード割合（稼働率）", _xlfn.REGEXTEST(C116, "Maximum Latency"), "リクエストの最大レイテンシ（処理遅延）", _xlfn.REGEXTEST(C116, "Garbage Collection Duration"), "Javaのガベージコレクション（GC）の所要時間", _xlfn.REGEXTEST(C116, "Spool Directory Usage"), "Rangerプラグインのスプールディレクトリ使用量", _xlfn.REGEXTEST(C116, "Process Directory Free Space Monitoring Absolute"), "プロセスディレクトリの空き容量（絶対値)", _xlfn.REGEXTEST(C116, "Process Directory Free Space.*Percentage"), "プロセスディレクトリの空き容量割合（%）", _xlfn.REGEXTEST(C116, "Parcel Directory Free Space.*Absolute"), "パーセルディレクトリの空き容量（絶対値）", _xlfn.REGEXTEST(C116, "Parcel Directory Free Space.*Percentage"), "パーセルディレクトリの空き容量割合（%）", _xlfn.REGEXTEST(C116, "Host Network Frame Error Percentage"), "ホストのネットワークフレームエラー割合（%）", _xlfn.REGEXTEST(C116, "Network Interfaces Slow Link Modes"), "ホストのネットワークインターフェースの低速リンクモード検出", _xlfn.REGEXTEST(C116, "Host Memory Swapping"), "ホストのメモリのスワップ発生状態", TRUE, "要手動確認")</f>
        <v>プロセスのスワップメモリ使用量</v>
      </c>
      <c r="H116" s="479" t="s">
        <v>819</v>
      </c>
    </row>
    <row r="117" spans="1:8" ht="33.6">
      <c r="A117" s="468"/>
      <c r="B117" s="473"/>
      <c r="C117" s="471" t="s">
        <v>758</v>
      </c>
      <c r="D117" s="471" t="s">
        <v>759</v>
      </c>
      <c r="E117" s="471" t="s">
        <v>880</v>
      </c>
      <c r="F117" s="471"/>
      <c r="G117" s="471" t="str" cm="1">
        <f t="array" ref="G117">_xlfn.IFS(C117 = "", "", _xlfn.REGEXTEST(C117, "Service Metric Migrator Minimum Consecutive Successful Checks"), "サービスメトリック移行ツールの連続正常チェック最小回数", _xlfn.REGEXTEST(C117, "Rebalancing"), "リバランシング（データ再配置）状態", _xlfn.REGEXTEST(C117, "Temporary Dump Directory"), "一時ダンプディレクトリの監視", _xlfn.REGEXTEST(C117, "Safemode Extension"), "セーフモード延長状態", _xlfn.REGEXTEST(C117, "Client Idle"), "クライアントのアイドル（待機）状態", _xlfn.REGEXTEST(C117, "Available Space Policy Balanced"), "空き容量ポリシーの分散バランス状態", _xlfn.REGEXTEST(C117, "Filesystem Checkpoint Transaction"), "ファイルシステムのチェックポイントトランザクション", _xlfn.REGEXTEST(C117, "Blocks With Corrupt Replicas Monitoring"), "破損レプリカを持つブロックの監視", _xlfn.REGEXTEST(C117, "Missing Block Monitoring"), "消失（ミッシング）ブロックの監視", _xlfn.REGEXTEST(C117, "Under-replicated Block Monitoring"), "レプリカ数不足ブロックの監視", _xlfn.REGEXTEST(C117, "HDFS Free Space Monitoring"), "HDFSの空き容量監視", _xlfn.REGEXTEST(C117, "DataNode Monitoring"), "DataNodeの稼働状態監視", _xlfn.REGEXTEST(C117, "Rules to Extract Events from Log Files"), "ログファイルからのイベント抽出ルール設定", _xlfn.REGEXTEST(C117, "Free Space Monitoring$"), "空き容量監視（一般設定）", _xlfn.REGEXTEST(C117, "Transceivers Usage"), "トランシーバー使用量（データ転送スレッド数）", _xlfn.REGEXTEST(C117, "Volume Failures"), "ボリューム障害（ディスクエラー）数", _xlfn.REGEXTEST(C117, "Block Count"), "ブロック総数", _xlfn.REGEXTEST(C117, "Audit Failure"), "監査（オーディット）ログの失敗イベント", _xlfn.REGEXTEST(C117, "Web Metric Collection Duration"), "Webメトリック収集の所要時間", _xlfn.REGEXTEST(C117, "Pause Duration"), "一時停止（ポーズ）の所要時間", _xlfn.REGEXTEST(C117, "Fsync Latency"), "Fsync（ディスク同期）のレイテンシ", _xlfn.REGEXTEST(C117, "Free Space Monitoring Absolute"), "空き容量（絶対値）", _xlfn.REGEXTEST(C117, "Free Space Monitoring Percentage"), "空き容量割合（%）", _xlfn.REGEXTEST(C117, "Age Monitoring"), "経過時間の監視", _xlfn.REGEXTEST(C117, "Transactions Monitoring"), "トランザクション数の監視", _xlfn.REGEXTEST(C117, "RPC Latency"), "RPC（遠隔手続き呼出し）のレイテンシ", _xlfn.REGEXTEST(C117, "Directory Failures"), "ディレクトリ障害数", _xlfn.REGEXTEST(C117, "Out-Of-Sync JournalNodes"), "同期ズレが発生しているJournalNode数", _xlfn.REGEXTEST(C117, "Safemode Threshold Percentage"), "セーフモード解除閾値の割合（%）", _xlfn.REGEXTEST(C117, "Kerberos Ticket Renewer Monitoring"), "Kerberosチケット更新プロセスの稼働状態監視", _xlfn.REGEXTEST(C117, "Load Balancer Monitoring"), "ロードバランサーの稼働状態監視", _xlfn.REGEXTEST(C117, "Navigator Audit Failure"), "Cloudera Navigator監査ログの失敗イベント", _xlfn.REGEXTEST(C117, "Schema Registry Server Monitoring"), "Schema Registry Serverの稼働状態監視", _xlfn.REGEXTEST(C117, "SRM Service Monitoring"), "SRMサービスの稼働状態監視", _xlfn.REGEXTEST(C117, "SRM Driver Monitoring"), "SRMドライバーの稼働状態監視", _xlfn.REGEXTEST(C117, "Loggin"), "ログ出力状態・設定監視", _xlfn.REGEXTEST(C117, "Server Monitoring"), "サーバーの稼働状態監視", _xlfn.REGEXTEST(C117, "Server Connection Count"), "サーバーの接続数（コネクション数）", _xlfn.REGEXTEST(C117, "Server Outstanding Requests"), "サーバーの未処理リクエスト数（滞留要求数）", _xlfn.REGEXTEST(C117, "Repository Status"), "リポジトリのステータス状態", _xlfn.REGEXTEST(C117, "Monitor Long Running Task"), "長時間実行タスク（ジョブ）の監視", _xlfn.REGEXTEST(C117, "Token requests per second"), "1秒あたりのトークンリクエスト数（要求レート）", _xlfn.REGEXTEST(C117, "Connection Model Score"), "接続モデルスコア（コネクション品質）", _xlfn.REGEXTEST(C117, "Queue swap"), "キューのスワップ発生状態", _xlfn.REGEXTEST(C117, "NiFi Node Monitoring"), "NiFiノードの稼働状態監視", _xlfn.REGEXTEST(C117, "Host Clock Offset"), "ホストのクロックオフセット（時刻同期のズレ）", _xlfn.REGEXTEST(C117, "Memory Overcommit Validation"), "メモリオーバーコミット設定の検証", _xlfn.REGEXTEST(C117, "Gateway Logging"), "ゲートウェイのログ出力設定", _xlfn.REGEXTEST(C117, "CPU Balance"), "CPU使用率の分散バランス状態", _xlfn.REGEXTEST(C117, "Disk Balance"), "ディスク使用量の分散バランス状態", _xlfn.REGEXTEST(C117, "Network Inbound Balance"), "ネットワークインバウンド（受信）の分散バランス状態", _xlfn.REGEXTEST(C117, "Network Outbound Balance"), "ネットワークアウトバウンド（送信）の分散バランス状態", _xlfn.REGEXTEST(C117, "Replica Count Balance"), "レプリカ数の分散バランス状態", _xlfn.REGEXTEST(C117, "Disk Capacity"), "ディスク総容量の限界・使用容量", _xlfn.REGEXTEST(C117, "CPU Capacity"), "CPU総処理能力の限界・使用量", _xlfn.REGEXTEST(C117, "Network Inbound Capacity"), "ネットワークインバウンド（受信）帯域の限界・使用量", _xlfn.REGEXTEST(C117, "Network Outbound Capacity"), "ネットワークアウトバウンド（送信）帯域の限界・使用量", _xlfn.REGEXTEST(C117, "Leader Replica Count Balance"), "リーダーレプリカ数の分散バランス状態", _xlfn.REGEXTEST(C117, "Host DNS Resolution Duration"), "ホストのDNS名前解決の所要時間", _xlfn.REGEXTEST(C117, "TLS Certificate Expiry"), "TLS証明書の有効期限切れ", _xlfn.REGEXTEST(C117, "Host Entropy"), "ホストのエントロピー（乱数生成能力）の不足", _xlfn.REGEXTEST(C117, "File Descriptor"), "プロセスのファイルディスクリプタ使用率", _xlfn.REGEXTEST(C117, "Unexpected Exits"), "プロセスの異常終了（予期せぬ停止）", _xlfn.REGEXTEST(C117, "Swap Memory Thresholds"), "プロセスのスワップメモリ使用量", _xlfn.REGEXTEST(C117, "Swap Memory Usage Rate"), "スワップメモリ使用量の変化率（増加速度）", _xlfn.REGEXTEST(C117, "Log Directory Free Space.*Absolute"), "ログディレクトリの空き容量（絶対値）", _xlfn.REGEXTEST(C117, "Log Directory Free Space.*Percentage"), "ログディレクトリの空き容量割合（%）", _xlfn.REGEXTEST(C117, "Heap Dump Directory Free Space.*Absolute"), "ヒープダンプディレクトリの空き容量（絶対値）", _xlfn.REGEXTEST(C117, "Heap Dump Directory Free Space.*Percentage"), "ヒープダンプディレクトリの空き容量割合（%）", _xlfn.REGEXTEST(C117, "Data Directory Free Space.*Absolute"), "データディレクトリの空き容量（絶対値）", _xlfn.REGEXTEST(C117, "Data Directory Free Space.*Percentage"), "データディレクトリの空き容量割合（%）", _xlfn.REGEXTEST(C117, "Transaction Log Directory Free Space.*Absolute"), "トランザクションログディレクトリの空き容量（絶対値）", _xlfn.REGEXTEST(C117, "Logging Threshold|Logger Threshold"), "ログ出力レベルの閾値設定", _xlfn.REGEXTEST(C117, "Enable.*Alerts"), "ヘルスアラートの有効化状態", _xlfn.REGEXTEST(C117, "Triggers"), "カスタムアラート条件（トリガー設定）", _xlfn.REGEXTEST(C117, "Healthy Kafka Broker"), "Kafka Brokerの健全ノード割合（稼働率）", _xlfn.REGEXTEST(C117, "Healthy Kafka Connect"), "Kafka Connectの健全ノード割合（稼働率）", _xlfn.REGEXTEST(C117, "Healthy KRaft Controller"), "KRaft Controllerの健全ノード割合（稼働率）", _xlfn.REGEXTEST(C117, "Healthy Knox IDBroker"), "Knox IDBrokerの健全ノード割合（稼働率）", _xlfn.REGEXTEST(C117, "Healthy Knox Gateway"), "Knox Gatewayの健全ノード割合（稼働率）", _xlfn.REGEXTEST(C117, "Healthy ZooKeeper Server"), "ZooKeeper Serverの健全ノード割合（稼働率）", _xlfn.REGEXTEST(C117, "Healthy NodeManager"), "NodeManagerの健全ノード割合（稼働率）", _xlfn.REGEXTEST(C117, "Maximum Latency"), "リクエストの最大レイテンシ（処理遅延）", _xlfn.REGEXTEST(C117, "Garbage Collection Duration"), "Javaのガベージコレクション（GC）の所要時間", _xlfn.REGEXTEST(C117, "Spool Directory Usage"), "Rangerプラグインのスプールディレクトリ使用量", _xlfn.REGEXTEST(C117, "Process Directory Free Space Monitoring Absolute"), "プロセスディレクトリの空き容量（絶対値)", _xlfn.REGEXTEST(C117, "Process Directory Free Space.*Percentage"), "プロセスディレクトリの空き容量割合（%）", _xlfn.REGEXTEST(C117, "Parcel Directory Free Space.*Absolute"), "パーセルディレクトリの空き容量（絶対値）", _xlfn.REGEXTEST(C117, "Parcel Directory Free Space.*Percentage"), "パーセルディレクトリの空き容量割合（%）", _xlfn.REGEXTEST(C117, "Host Network Frame Error Percentage"), "ホストのネットワークフレームエラー割合（%）", _xlfn.REGEXTEST(C117, "Network Interfaces Slow Link Modes"), "ホストのネットワークインターフェースの低速リンクモード検出", _xlfn.REGEXTEST(C117, "Host Memory Swapping"), "ホストのメモリのスワップ発生状態", TRUE, "要手動確認")</f>
        <v>スワップメモリ使用量の変化率（増加速度）</v>
      </c>
      <c r="H117" s="479" t="s">
        <v>689</v>
      </c>
    </row>
    <row r="118" spans="1:8" ht="33.6">
      <c r="A118" s="514"/>
      <c r="B118" s="470"/>
      <c r="C118" s="471" t="s">
        <v>736</v>
      </c>
      <c r="D118" s="471" t="s">
        <v>889</v>
      </c>
      <c r="E118" s="471" t="s">
        <v>878</v>
      </c>
      <c r="F118" s="471"/>
      <c r="G118" s="471" t="str" cm="1">
        <f t="array" ref="G118">_xlfn.IFS(C118 = "", "", _xlfn.REGEXTEST(C118, "Service Metric Migrator Minimum Consecutive Successful Checks"), "サービスメトリック移行ツールの連続正常チェック最小回数", _xlfn.REGEXTEST(C118, "Rebalancing"), "リバランシング（データ再配置）状態", _xlfn.REGEXTEST(C118, "Temporary Dump Directory"), "一時ダンプディレクトリの監視", _xlfn.REGEXTEST(C118, "Safemode Extension"), "セーフモード延長状態", _xlfn.REGEXTEST(C118, "Client Idle"), "クライアントのアイドル（待機）状態", _xlfn.REGEXTEST(C118, "Available Space Policy Balanced"), "空き容量ポリシーの分散バランス状態", _xlfn.REGEXTEST(C118, "Filesystem Checkpoint Transaction"), "ファイルシステムのチェックポイントトランザクション", _xlfn.REGEXTEST(C118, "Blocks With Corrupt Replicas Monitoring"), "破損レプリカを持つブロックの監視", _xlfn.REGEXTEST(C118, "Missing Block Monitoring"), "消失（ミッシング）ブロックの監視", _xlfn.REGEXTEST(C118, "Under-replicated Block Monitoring"), "レプリカ数不足ブロックの監視", _xlfn.REGEXTEST(C118, "HDFS Free Space Monitoring"), "HDFSの空き容量監視", _xlfn.REGEXTEST(C118, "DataNode Monitoring"), "DataNodeの稼働状態監視", _xlfn.REGEXTEST(C118, "Rules to Extract Events from Log Files"), "ログファイルからのイベント抽出ルール設定", _xlfn.REGEXTEST(C118, "Free Space Monitoring$"), "空き容量監視（一般設定）", _xlfn.REGEXTEST(C118, "Transceivers Usage"), "トランシーバー使用量（データ転送スレッド数）", _xlfn.REGEXTEST(C118, "Volume Failures"), "ボリューム障害（ディスクエラー）数", _xlfn.REGEXTEST(C118, "Block Count"), "ブロック総数", _xlfn.REGEXTEST(C118, "Audit Failure"), "監査（オーディット）ログの失敗イベント", _xlfn.REGEXTEST(C118, "Web Metric Collection Duration"), "Webメトリック収集の所要時間", _xlfn.REGEXTEST(C118, "Pause Duration"), "一時停止（ポーズ）の所要時間", _xlfn.REGEXTEST(C118, "Fsync Latency"), "Fsync（ディスク同期）のレイテンシ", _xlfn.REGEXTEST(C118, "Free Space Monitoring Absolute"), "空き容量（絶対値）", _xlfn.REGEXTEST(C118, "Free Space Monitoring Percentage"), "空き容量割合（%）", _xlfn.REGEXTEST(C118, "Age Monitoring"), "経過時間の監視", _xlfn.REGEXTEST(C118, "Transactions Monitoring"), "トランザクション数の監視", _xlfn.REGEXTEST(C118, "RPC Latency"), "RPC（遠隔手続き呼出し）のレイテンシ", _xlfn.REGEXTEST(C118, "Directory Failures"), "ディレクトリ障害数", _xlfn.REGEXTEST(C118, "Out-Of-Sync JournalNodes"), "同期ズレが発生しているJournalNode数", _xlfn.REGEXTEST(C118, "Safemode Threshold Percentage"), "セーフモード解除閾値の割合（%）", _xlfn.REGEXTEST(C118, "Kerberos Ticket Renewer Monitoring"), "Kerberosチケット更新プロセスの稼働状態監視", _xlfn.REGEXTEST(C118, "Load Balancer Monitoring"), "ロードバランサーの稼働状態監視", _xlfn.REGEXTEST(C118, "Navigator Audit Failure"), "Cloudera Navigator監査ログの失敗イベント", _xlfn.REGEXTEST(C118, "Schema Registry Server Monitoring"), "Schema Registry Serverの稼働状態監視", _xlfn.REGEXTEST(C118, "SRM Service Monitoring"), "SRMサービスの稼働状態監視", _xlfn.REGEXTEST(C118, "SRM Driver Monitoring"), "SRMドライバーの稼働状態監視", _xlfn.REGEXTEST(C118, "Loggin"), "ログ出力状態・設定監視", _xlfn.REGEXTEST(C118, "Server Monitoring"), "サーバーの稼働状態監視", _xlfn.REGEXTEST(C118, "Server Connection Count"), "サーバーの接続数（コネクション数）", _xlfn.REGEXTEST(C118, "Server Outstanding Requests"), "サーバーの未処理リクエスト数（滞留要求数）", _xlfn.REGEXTEST(C118, "Repository Status"), "リポジトリのステータス状態", _xlfn.REGEXTEST(C118, "Monitor Long Running Task"), "長時間実行タスク（ジョブ）の監視", _xlfn.REGEXTEST(C118, "Token requests per second"), "1秒あたりのトークンリクエスト数（要求レート）", _xlfn.REGEXTEST(C118, "Connection Model Score"), "接続モデルスコア（コネクション品質）", _xlfn.REGEXTEST(C118, "Queue swap"), "キューのスワップ発生状態", _xlfn.REGEXTEST(C118, "NiFi Node Monitoring"), "NiFiノードの稼働状態監視", _xlfn.REGEXTEST(C118, "Host Clock Offset"), "ホストのクロックオフセット（時刻同期のズレ）", _xlfn.REGEXTEST(C118, "Memory Overcommit Validation"), "メモリオーバーコミット設定の検証", _xlfn.REGEXTEST(C118, "Gateway Logging"), "ゲートウェイのログ出力設定", _xlfn.REGEXTEST(C118, "CPU Balance"), "CPU使用率の分散バランス状態", _xlfn.REGEXTEST(C118, "Disk Balance"), "ディスク使用量の分散バランス状態", _xlfn.REGEXTEST(C118, "Network Inbound Balance"), "ネットワークインバウンド（受信）の分散バランス状態", _xlfn.REGEXTEST(C118, "Network Outbound Balance"), "ネットワークアウトバウンド（送信）の分散バランス状態", _xlfn.REGEXTEST(C118, "Replica Count Balance"), "レプリカ数の分散バランス状態", _xlfn.REGEXTEST(C118, "Disk Capacity"), "ディスク総容量の限界・使用容量", _xlfn.REGEXTEST(C118, "CPU Capacity"), "CPU総処理能力の限界・使用量", _xlfn.REGEXTEST(C118, "Network Inbound Capacity"), "ネットワークインバウンド（受信）帯域の限界・使用量", _xlfn.REGEXTEST(C118, "Network Outbound Capacity"), "ネットワークアウトバウンド（送信）帯域の限界・使用量", _xlfn.REGEXTEST(C118, "Leader Replica Count Balance"), "リーダーレプリカ数の分散バランス状態", _xlfn.REGEXTEST(C118, "Host DNS Resolution Duration"), "ホストのDNS名前解決の所要時間", _xlfn.REGEXTEST(C118, "TLS Certificate Expiry"), "TLS証明書の有効期限切れ", _xlfn.REGEXTEST(C118, "Host Entropy"), "ホストのエントロピー（乱数生成能力）の不足", _xlfn.REGEXTEST(C118, "File Descriptor"), "プロセスのファイルディスクリプタ使用率", _xlfn.REGEXTEST(C118, "Unexpected Exits"), "プロセスの異常終了（予期せぬ停止）", _xlfn.REGEXTEST(C118, "Swap Memory Thresholds"), "プロセスのスワップメモリ使用量", _xlfn.REGEXTEST(C118, "Swap Memory Usage Rate"), "スワップメモリ使用量の変化率（増加速度）", _xlfn.REGEXTEST(C118, "Log Directory Free Space.*Absolute"), "ログディレクトリの空き容量（絶対値）", _xlfn.REGEXTEST(C118, "Log Directory Free Space.*Percentage"), "ログディレクトリの空き容量割合（%）", _xlfn.REGEXTEST(C118, "Heap Dump Directory Free Space.*Absolute"), "ヒープダンプディレクトリの空き容量（絶対値）", _xlfn.REGEXTEST(C118, "Heap Dump Directory Free Space.*Percentage"), "ヒープダンプディレクトリの空き容量割合（%）", _xlfn.REGEXTEST(C118, "Data Directory Free Space.*Absolute"), "データディレクトリの空き容量（絶対値）", _xlfn.REGEXTEST(C118, "Data Directory Free Space.*Percentage"), "データディレクトリの空き容量割合（%）", _xlfn.REGEXTEST(C118, "Transaction Log Directory Free Space.*Absolute"), "トランザクションログディレクトリの空き容量（絶対値）", _xlfn.REGEXTEST(C118, "Logging Threshold|Logger Threshold"), "ログ出力レベルの閾値設定", _xlfn.REGEXTEST(C118, "Enable.*Alerts"), "ヘルスアラートの有効化状態", _xlfn.REGEXTEST(C118, "Triggers"), "カスタムアラート条件（トリガー設定）", _xlfn.REGEXTEST(C118, "Healthy Kafka Broker"), "Kafka Brokerの健全ノード割合（稼働率）", _xlfn.REGEXTEST(C118, "Healthy Kafka Connect"), "Kafka Connectの健全ノード割合（稼働率）", _xlfn.REGEXTEST(C118, "Healthy KRaft Controller"), "KRaft Controllerの健全ノード割合（稼働率）", _xlfn.REGEXTEST(C118, "Healthy Knox IDBroker"), "Knox IDBrokerの健全ノード割合（稼働率）", _xlfn.REGEXTEST(C118, "Healthy Knox Gateway"), "Knox Gatewayの健全ノード割合（稼働率）", _xlfn.REGEXTEST(C118, "Healthy ZooKeeper Server"), "ZooKeeper Serverの健全ノード割合（稼働率）", _xlfn.REGEXTEST(C118, "Healthy NodeManager"), "NodeManagerの健全ノード割合（稼働率）", _xlfn.REGEXTEST(C118, "Maximum Latency"), "リクエストの最大レイテンシ（処理遅延）", _xlfn.REGEXTEST(C118, "Garbage Collection Duration"), "Javaのガベージコレクション（GC）の所要時間", _xlfn.REGEXTEST(C118, "Spool Directory Usage"), "Rangerプラグインのスプールディレクトリ使用量", _xlfn.REGEXTEST(C118, "Process Directory Free Space Monitoring Absolute"), "プロセスディレクトリの空き容量（絶対値)", _xlfn.REGEXTEST(C118, "Process Directory Free Space.*Percentage"), "プロセスディレクトリの空き容量割合（%）", _xlfn.REGEXTEST(C118, "Parcel Directory Free Space.*Absolute"), "パーセルディレクトリの空き容量（絶対値）", _xlfn.REGEXTEST(C118, "Parcel Directory Free Space.*Percentage"), "パーセルディレクトリの空き容量割合（%）", _xlfn.REGEXTEST(C118, "Host Network Frame Error Percentage"), "ホストのネットワークフレームエラー割合（%）", _xlfn.REGEXTEST(C118, "Network Interfaces Slow Link Modes"), "ホストのネットワークインターフェースの低速リンクモード検出", _xlfn.REGEXTEST(C118, "Host Memory Swapping"), "ホストのメモリのスワップ発生状態", TRUE, "要手動確認")</f>
        <v>プロセスのファイルディスクリプタ使用率</v>
      </c>
      <c r="H118" s="479" t="s">
        <v>813</v>
      </c>
    </row>
    <row r="119" spans="1:8" ht="16.899999999999999">
      <c r="A119" s="514"/>
      <c r="B119" s="472" t="s">
        <v>890</v>
      </c>
      <c r="C119" s="471" t="s">
        <v>771</v>
      </c>
      <c r="D119" s="471" t="s">
        <v>772</v>
      </c>
      <c r="E119" s="471" t="s">
        <v>773</v>
      </c>
      <c r="F119" s="471"/>
      <c r="G119" s="471" t="str" cm="1">
        <f t="array" ref="G119">_xlfn.IFS(C119 = "", "", _xlfn.REGEXTEST(C119, "Service Metric Migrator Minimum Consecutive Successful Checks"), "サービスメトリック移行ツールの連続正常チェック最小回数", _xlfn.REGEXTEST(C119, "Rebalancing"), "リバランシング（データ再配置）状態", _xlfn.REGEXTEST(C119, "Temporary Dump Directory"), "一時ダンプディレクトリの監視", _xlfn.REGEXTEST(C119, "Safemode Extension"), "セーフモード延長状態", _xlfn.REGEXTEST(C119, "Client Idle"), "クライアントのアイドル（待機）状態", _xlfn.REGEXTEST(C119, "Available Space Policy Balanced"), "空き容量ポリシーの分散バランス状態", _xlfn.REGEXTEST(C119, "Filesystem Checkpoint Transaction"), "ファイルシステムのチェックポイントトランザクション", _xlfn.REGEXTEST(C119, "Blocks With Corrupt Replicas Monitoring"), "破損レプリカを持つブロックの監視", _xlfn.REGEXTEST(C119, "Missing Block Monitoring"), "消失（ミッシング）ブロックの監視", _xlfn.REGEXTEST(C119, "Under-replicated Block Monitoring"), "レプリカ数不足ブロックの監視", _xlfn.REGEXTEST(C119, "HDFS Free Space Monitoring"), "HDFSの空き容量監視", _xlfn.REGEXTEST(C119, "DataNode Monitoring"), "DataNodeの稼働状態監視", _xlfn.REGEXTEST(C119, "Rules to Extract Events from Log Files"), "ログファイルからのイベント抽出ルール設定", _xlfn.REGEXTEST(C119, "Free Space Monitoring$"), "空き容量監視（一般設定）", _xlfn.REGEXTEST(C119, "Transceivers Usage"), "トランシーバー使用量（データ転送スレッド数）", _xlfn.REGEXTEST(C119, "Volume Failures"), "ボリューム障害（ディスクエラー）数", _xlfn.REGEXTEST(C119, "Block Count"), "ブロック総数", _xlfn.REGEXTEST(C119, "Audit Failure"), "監査（オーディット）ログの失敗イベント", _xlfn.REGEXTEST(C119, "Web Metric Collection Duration"), "Webメトリック収集の所要時間", _xlfn.REGEXTEST(C119, "Pause Duration"), "一時停止（ポーズ）の所要時間", _xlfn.REGEXTEST(C119, "Fsync Latency"), "Fsync（ディスク同期）のレイテンシ", _xlfn.REGEXTEST(C119, "Free Space Monitoring Absolute"), "空き容量（絶対値）", _xlfn.REGEXTEST(C119, "Free Space Monitoring Percentage"), "空き容量割合（%）", _xlfn.REGEXTEST(C119, "Age Monitoring"), "経過時間の監視", _xlfn.REGEXTEST(C119, "Transactions Monitoring"), "トランザクション数の監視", _xlfn.REGEXTEST(C119, "RPC Latency"), "RPC（遠隔手続き呼出し）のレイテンシ", _xlfn.REGEXTEST(C119, "Directory Failures"), "ディレクトリ障害数", _xlfn.REGEXTEST(C119, "Out-Of-Sync JournalNodes"), "同期ズレが発生しているJournalNode数", _xlfn.REGEXTEST(C119, "Safemode Threshold Percentage"), "セーフモード解除閾値の割合（%）", _xlfn.REGEXTEST(C119, "Kerberos Ticket Renewer Monitoring"), "Kerberosチケット更新プロセスの稼働状態監視", _xlfn.REGEXTEST(C119, "Load Balancer Monitoring"), "ロードバランサーの稼働状態監視", _xlfn.REGEXTEST(C119, "Navigator Audit Failure"), "Cloudera Navigator監査ログの失敗イベント", _xlfn.REGEXTEST(C119, "Schema Registry Server Monitoring"), "Schema Registry Serverの稼働状態監視", _xlfn.REGEXTEST(C119, "SRM Service Monitoring"), "SRMサービスの稼働状態監視", _xlfn.REGEXTEST(C119, "SRM Driver Monitoring"), "SRMドライバーの稼働状態監視", _xlfn.REGEXTEST(C119, "Loggin"), "ログ出力状態・設定監視", _xlfn.REGEXTEST(C119, "Server Monitoring"), "サーバーの稼働状態監視", _xlfn.REGEXTEST(C119, "Server Connection Count"), "サーバーの接続数（コネクション数）", _xlfn.REGEXTEST(C119, "Server Outstanding Requests"), "サーバーの未処理リクエスト数（滞留要求数）", _xlfn.REGEXTEST(C119, "Repository Status"), "リポジトリのステータス状態", _xlfn.REGEXTEST(C119, "Monitor Long Running Task"), "長時間実行タスク（ジョブ）の監視", _xlfn.REGEXTEST(C119, "Token requests per second"), "1秒あたりのトークンリクエスト数（要求レート）", _xlfn.REGEXTEST(C119, "Connection Model Score"), "接続モデルスコア（コネクション品質）", _xlfn.REGEXTEST(C119, "Queue swap"), "キューのスワップ発生状態", _xlfn.REGEXTEST(C119, "NiFi Node Monitoring"), "NiFiノードの稼働状態監視", _xlfn.REGEXTEST(C119, "Host Clock Offset"), "ホストのクロックオフセット（時刻同期のズレ）", _xlfn.REGEXTEST(C119, "Memory Overcommit Validation"), "メモリオーバーコミット設定の検証", _xlfn.REGEXTEST(C119, "Gateway Logging"), "ゲートウェイのログ出力設定", _xlfn.REGEXTEST(C119, "CPU Balance"), "CPU使用率の分散バランス状態", _xlfn.REGEXTEST(C119, "Disk Balance"), "ディスク使用量の分散バランス状態", _xlfn.REGEXTEST(C119, "Network Inbound Balance"), "ネットワークインバウンド（受信）の分散バランス状態", _xlfn.REGEXTEST(C119, "Network Outbound Balance"), "ネットワークアウトバウンド（送信）の分散バランス状態", _xlfn.REGEXTEST(C119, "Replica Count Balance"), "レプリカ数の分散バランス状態", _xlfn.REGEXTEST(C119, "Disk Capacity"), "ディスク総容量の限界・使用容量", _xlfn.REGEXTEST(C119, "CPU Capacity"), "CPU総処理能力の限界・使用量", _xlfn.REGEXTEST(C119, "Network Inbound Capacity"), "ネットワークインバウンド（受信）帯域の限界・使用量", _xlfn.REGEXTEST(C119, "Network Outbound Capacity"), "ネットワークアウトバウンド（送信）帯域の限界・使用量", _xlfn.REGEXTEST(C119, "Leader Replica Count Balance"), "リーダーレプリカ数の分散バランス状態", _xlfn.REGEXTEST(C119, "Host DNS Resolution Duration"), "ホストのDNS名前解決の所要時間", _xlfn.REGEXTEST(C119, "TLS Certificate Expiry"), "TLS証明書の有効期限切れ", _xlfn.REGEXTEST(C119, "Host Entropy"), "ホストのエントロピー（乱数生成能力）の不足", _xlfn.REGEXTEST(C119, "File Descriptor"), "プロセスのファイルディスクリプタ使用率", _xlfn.REGEXTEST(C119, "Unexpected Exits"), "プロセスの異常終了（予期せぬ停止）", _xlfn.REGEXTEST(C119, "Swap Memory Thresholds"), "プロセスのスワップメモリ使用量", _xlfn.REGEXTEST(C119, "Swap Memory Usage Rate"), "スワップメモリ使用量の変化率（増加速度）", _xlfn.REGEXTEST(C119, "Log Directory Free Space.*Absolute"), "ログディレクトリの空き容量（絶対値）", _xlfn.REGEXTEST(C119, "Log Directory Free Space.*Percentage"), "ログディレクトリの空き容量割合（%）", _xlfn.REGEXTEST(C119, "Heap Dump Directory Free Space.*Absolute"), "ヒープダンプディレクトリの空き容量（絶対値）", _xlfn.REGEXTEST(C119, "Heap Dump Directory Free Space.*Percentage"), "ヒープダンプディレクトリの空き容量割合（%）", _xlfn.REGEXTEST(C119, "Data Directory Free Space.*Absolute"), "データディレクトリの空き容量（絶対値）", _xlfn.REGEXTEST(C119, "Data Directory Free Space.*Percentage"), "データディレクトリの空き容量割合（%）", _xlfn.REGEXTEST(C119, "Transaction Log Directory Free Space.*Absolute"), "トランザクションログディレクトリの空き容量（絶対値）", _xlfn.REGEXTEST(C119, "Logging Threshold|Logger Threshold"), "ログ出力レベルの閾値設定", _xlfn.REGEXTEST(C119, "Enable.*Alerts"), "ヘルスアラートの有効化状態", _xlfn.REGEXTEST(C119, "Triggers"), "カスタムアラート条件（トリガー設定）", _xlfn.REGEXTEST(C119, "Healthy Kafka Broker"), "Kafka Brokerの健全ノード割合（稼働率）", _xlfn.REGEXTEST(C119, "Healthy Kafka Connect"), "Kafka Connectの健全ノード割合（稼働率）", _xlfn.REGEXTEST(C119, "Healthy KRaft Controller"), "KRaft Controllerの健全ノード割合（稼働率）", _xlfn.REGEXTEST(C119, "Healthy Knox IDBroker"), "Knox IDBrokerの健全ノード割合（稼働率）", _xlfn.REGEXTEST(C119, "Healthy Knox Gateway"), "Knox Gatewayの健全ノード割合（稼働率）", _xlfn.REGEXTEST(C119, "Healthy ZooKeeper Server"), "ZooKeeper Serverの健全ノード割合（稼働率）", _xlfn.REGEXTEST(C119, "Healthy NodeManager"), "NodeManagerの健全ノード割合（稼働率）", _xlfn.REGEXTEST(C119, "Maximum Latency"), "リクエストの最大レイテンシ（処理遅延）", _xlfn.REGEXTEST(C119, "Garbage Collection Duration"), "Javaのガベージコレクション（GC）の所要時間", _xlfn.REGEXTEST(C119, "Spool Directory Usage"), "Rangerプラグインのスプールディレクトリ使用量", _xlfn.REGEXTEST(C119, "Process Directory Free Space Monitoring Absolute"), "プロセスディレクトリの空き容量（絶対値)", _xlfn.REGEXTEST(C119, "Process Directory Free Space.*Percentage"), "プロセスディレクトリの空き容量割合（%）", _xlfn.REGEXTEST(C119, "Parcel Directory Free Space.*Absolute"), "パーセルディレクトリの空き容量（絶対値）", _xlfn.REGEXTEST(C119, "Parcel Directory Free Space.*Percentage"), "パーセルディレクトリの空き容量割合（%）", _xlfn.REGEXTEST(C119, "Host Network Frame Error Percentage"), "ホストのネットワークフレームエラー割合（%）", _xlfn.REGEXTEST(C119, "Network Interfaces Slow Link Modes"), "ホストのネットワークインターフェースの低速リンクモード検出", _xlfn.REGEXTEST(C119, "Host Memory Swapping"), "ホストのメモリのスワップ発生状態", TRUE, "要手動確認")</f>
        <v>ログ出力状態・設定監視</v>
      </c>
      <c r="H119" s="479" t="s">
        <v>775</v>
      </c>
    </row>
    <row r="120" spans="1:8" ht="16.899999999999999">
      <c r="A120" s="468"/>
      <c r="B120" s="473"/>
      <c r="C120" s="471" t="s">
        <v>891</v>
      </c>
      <c r="D120" s="471" t="s">
        <v>772</v>
      </c>
      <c r="E120" s="471" t="s">
        <v>892</v>
      </c>
      <c r="F120" s="471"/>
      <c r="G120" s="471" t="str" cm="1">
        <f t="array" ref="G120">_xlfn.IFS(C120 = "", "", _xlfn.REGEXTEST(C120, "Service Metric Migrator Minimum Consecutive Successful Checks"), "サービスメトリック移行ツールの連続正常チェック最小回数", _xlfn.REGEXTEST(C120, "Rebalancing"), "リバランシング（データ再配置）状態", _xlfn.REGEXTEST(C120, "Temporary Dump Directory"), "一時ダンプディレクトリの監視", _xlfn.REGEXTEST(C120, "Safemode Extension"), "セーフモード延長状態", _xlfn.REGEXTEST(C120, "Client Idle"), "クライアントのアイドル（待機）状態", _xlfn.REGEXTEST(C120, "Available Space Policy Balanced"), "空き容量ポリシーの分散バランス状態", _xlfn.REGEXTEST(C120, "Filesystem Checkpoint Transaction"), "ファイルシステムのチェックポイントトランザクション", _xlfn.REGEXTEST(C120, "Blocks With Corrupt Replicas Monitoring"), "破損レプリカを持つブロックの監視", _xlfn.REGEXTEST(C120, "Missing Block Monitoring"), "消失（ミッシング）ブロックの監視", _xlfn.REGEXTEST(C120, "Under-replicated Block Monitoring"), "レプリカ数不足ブロックの監視", _xlfn.REGEXTEST(C120, "HDFS Free Space Monitoring"), "HDFSの空き容量監視", _xlfn.REGEXTEST(C120, "DataNode Monitoring"), "DataNodeの稼働状態監視", _xlfn.REGEXTEST(C120, "Rules to Extract Events from Log Files"), "ログファイルからのイベント抽出ルール設定", _xlfn.REGEXTEST(C120, "Free Space Monitoring$"), "空き容量監視（一般設定）", _xlfn.REGEXTEST(C120, "Transceivers Usage"), "トランシーバー使用量（データ転送スレッド数）", _xlfn.REGEXTEST(C120, "Volume Failures"), "ボリューム障害（ディスクエラー）数", _xlfn.REGEXTEST(C120, "Block Count"), "ブロック総数", _xlfn.REGEXTEST(C120, "Audit Failure"), "監査（オーディット）ログの失敗イベント", _xlfn.REGEXTEST(C120, "Web Metric Collection Duration"), "Webメトリック収集の所要時間", _xlfn.REGEXTEST(C120, "Pause Duration"), "一時停止（ポーズ）の所要時間", _xlfn.REGEXTEST(C120, "Fsync Latency"), "Fsync（ディスク同期）のレイテンシ", _xlfn.REGEXTEST(C120, "Free Space Monitoring Absolute"), "空き容量（絶対値）", _xlfn.REGEXTEST(C120, "Free Space Monitoring Percentage"), "空き容量割合（%）", _xlfn.REGEXTEST(C120, "Age Monitoring"), "経過時間の監視", _xlfn.REGEXTEST(C120, "Transactions Monitoring"), "トランザクション数の監視", _xlfn.REGEXTEST(C120, "RPC Latency"), "RPC（遠隔手続き呼出し）のレイテンシ", _xlfn.REGEXTEST(C120, "Directory Failures"), "ディレクトリ障害数", _xlfn.REGEXTEST(C120, "Out-Of-Sync JournalNodes"), "同期ズレが発生しているJournalNode数", _xlfn.REGEXTEST(C120, "Safemode Threshold Percentage"), "セーフモード解除閾値の割合（%）", _xlfn.REGEXTEST(C120, "Kerberos Ticket Renewer Monitoring"), "Kerberosチケット更新プロセスの稼働状態監視", _xlfn.REGEXTEST(C120, "Load Balancer Monitoring"), "ロードバランサーの稼働状態監視", _xlfn.REGEXTEST(C120, "Navigator Audit Failure"), "Cloudera Navigator監査ログの失敗イベント", _xlfn.REGEXTEST(C120, "Schema Registry Server Monitoring"), "Schema Registry Serverの稼働状態監視", _xlfn.REGEXTEST(C120, "SRM Service Monitoring"), "SRMサービスの稼働状態監視", _xlfn.REGEXTEST(C120, "SRM Driver Monitoring"), "SRMドライバーの稼働状態監視", _xlfn.REGEXTEST(C120, "Loggin"), "ログ出力状態・設定監視", _xlfn.REGEXTEST(C120, "Server Monitoring"), "サーバーの稼働状態監視", _xlfn.REGEXTEST(C120, "Server Connection Count"), "サーバーの接続数（コネクション数）", _xlfn.REGEXTEST(C120, "Server Outstanding Requests"), "サーバーの未処理リクエスト数（滞留要求数）", _xlfn.REGEXTEST(C120, "Repository Status"), "リポジトリのステータス状態", _xlfn.REGEXTEST(C120, "Monitor Long Running Task"), "長時間実行タスク（ジョブ）の監視", _xlfn.REGEXTEST(C120, "Token requests per second"), "1秒あたりのトークンリクエスト数（要求レート）", _xlfn.REGEXTEST(C120, "Connection Model Score"), "接続モデルスコア（コネクション品質）", _xlfn.REGEXTEST(C120, "Queue swap"), "キューのスワップ発生状態", _xlfn.REGEXTEST(C120, "NiFi Node Monitoring"), "NiFiノードの稼働状態監視", _xlfn.REGEXTEST(C120, "Host Clock Offset"), "ホストのクロックオフセット（時刻同期のズレ）", _xlfn.REGEXTEST(C120, "Memory Overcommit Validation"), "メモリオーバーコミット設定の検証", _xlfn.REGEXTEST(C120, "Gateway Logging"), "ゲートウェイのログ出力設定", _xlfn.REGEXTEST(C120, "CPU Balance"), "CPU使用率の分散バランス状態", _xlfn.REGEXTEST(C120, "Disk Balance"), "ディスク使用量の分散バランス状態", _xlfn.REGEXTEST(C120, "Network Inbound Balance"), "ネットワークインバウンド（受信）の分散バランス状態", _xlfn.REGEXTEST(C120, "Network Outbound Balance"), "ネットワークアウトバウンド（送信）の分散バランス状態", _xlfn.REGEXTEST(C120, "Replica Count Balance"), "レプリカ数の分散バランス状態", _xlfn.REGEXTEST(C120, "Disk Capacity"), "ディスク総容量の限界・使用容量", _xlfn.REGEXTEST(C120, "CPU Capacity"), "CPU総処理能力の限界・使用量", _xlfn.REGEXTEST(C120, "Network Inbound Capacity"), "ネットワークインバウンド（受信）帯域の限界・使用量", _xlfn.REGEXTEST(C120, "Network Outbound Capacity"), "ネットワークアウトバウンド（送信）帯域の限界・使用量", _xlfn.REGEXTEST(C120, "Leader Replica Count Balance"), "リーダーレプリカ数の分散バランス状態", _xlfn.REGEXTEST(C120, "Host DNS Resolution Duration"), "ホストのDNS名前解決の所要時間", _xlfn.REGEXTEST(C120, "TLS Certificate Expiry"), "TLS証明書の有効期限切れ", _xlfn.REGEXTEST(C120, "Host Entropy"), "ホストのエントロピー（乱数生成能力）の不足", _xlfn.REGEXTEST(C120, "File Descriptor"), "プロセスのファイルディスクリプタ使用率", _xlfn.REGEXTEST(C120, "Unexpected Exits"), "プロセスの異常終了（予期せぬ停止）", _xlfn.REGEXTEST(C120, "Swap Memory Thresholds"), "プロセスのスワップメモリ使用量", _xlfn.REGEXTEST(C120, "Swap Memory Usage Rate"), "スワップメモリ使用量の変化率（増加速度）", _xlfn.REGEXTEST(C120, "Log Directory Free Space.*Absolute"), "ログディレクトリの空き容量（絶対値）", _xlfn.REGEXTEST(C120, "Log Directory Free Space.*Percentage"), "ログディレクトリの空き容量割合（%）", _xlfn.REGEXTEST(C120, "Heap Dump Directory Free Space.*Absolute"), "ヒープダンプディレクトリの空き容量（絶対値）", _xlfn.REGEXTEST(C120, "Heap Dump Directory Free Space.*Percentage"), "ヒープダンプディレクトリの空き容量割合（%）", _xlfn.REGEXTEST(C120, "Data Directory Free Space.*Absolute"), "データディレクトリの空き容量（絶対値）", _xlfn.REGEXTEST(C120, "Data Directory Free Space.*Percentage"), "データディレクトリの空き容量割合（%）", _xlfn.REGEXTEST(C120, "Transaction Log Directory Free Space.*Absolute"), "トランザクションログディレクトリの空き容量（絶対値）", _xlfn.REGEXTEST(C120, "Logging Threshold|Logger Threshold"), "ログ出力レベルの閾値設定", _xlfn.REGEXTEST(C120, "Enable.*Alerts"), "ヘルスアラートの有効化状態", _xlfn.REGEXTEST(C120, "Triggers"), "カスタムアラート条件（トリガー設定）", _xlfn.REGEXTEST(C120, "Healthy Kafka Broker"), "Kafka Brokerの健全ノード割合（稼働率）", _xlfn.REGEXTEST(C120, "Healthy Kafka Connect"), "Kafka Connectの健全ノード割合（稼働率）", _xlfn.REGEXTEST(C120, "Healthy KRaft Controller"), "KRaft Controllerの健全ノード割合（稼働率）", _xlfn.REGEXTEST(C120, "Healthy Knox IDBroker"), "Knox IDBrokerの健全ノード割合（稼働率）", _xlfn.REGEXTEST(C120, "Healthy Knox Gateway"), "Knox Gatewayの健全ノード割合（稼働率）", _xlfn.REGEXTEST(C120, "Healthy ZooKeeper Server"), "ZooKeeper Serverの健全ノード割合（稼働率）", _xlfn.REGEXTEST(C120, "Healthy NodeManager"), "NodeManagerの健全ノード割合（稼働率）", _xlfn.REGEXTEST(C120, "Maximum Latency"), "リクエストの最大レイテンシ（処理遅延）", _xlfn.REGEXTEST(C120, "Garbage Collection Duration"), "Javaのガベージコレクション（GC）の所要時間", _xlfn.REGEXTEST(C120, "Spool Directory Usage"), "Rangerプラグインのスプールディレクトリ使用量", _xlfn.REGEXTEST(C120, "Process Directory Free Space Monitoring Absolute"), "プロセスディレクトリの空き容量（絶対値)", _xlfn.REGEXTEST(C120, "Process Directory Free Space.*Percentage"), "プロセスディレクトリの空き容量割合（%）", _xlfn.REGEXTEST(C120, "Parcel Directory Free Space.*Absolute"), "パーセルディレクトリの空き容量（絶対値）", _xlfn.REGEXTEST(C120, "Parcel Directory Free Space.*Percentage"), "パーセルディレクトリの空き容量割合（%）", _xlfn.REGEXTEST(C120, "Host Network Frame Error Percentage"), "ホストのネットワークフレームエラー割合（%）", _xlfn.REGEXTEST(C120, "Network Interfaces Slow Link Modes"), "ホストのネットワークインターフェースの低速リンクモード検出", _xlfn.REGEXTEST(C120, "Host Memory Swapping"), "ホストのメモリのスワップ発生状態", TRUE, "要手動確認")</f>
        <v>ログ出力状態・設定監視</v>
      </c>
      <c r="H120" s="479" t="s">
        <v>775</v>
      </c>
    </row>
    <row r="121" spans="1:8" ht="16.899999999999999">
      <c r="A121" s="514"/>
      <c r="B121" s="473"/>
      <c r="C121" s="474"/>
      <c r="D121" s="474"/>
      <c r="E121" s="474"/>
      <c r="F121" s="474"/>
      <c r="G121" s="474" t="str" cm="1">
        <f t="array" ref="G121">_xlfn.IFS(C121 = "", "", _xlfn.REGEXTEST(C121, "Service Metric Migrator Minimum Consecutive Successful Checks"), "サービスメトリック移行ツールの連続正常チェック最小回数", _xlfn.REGEXTEST(C121, "Rebalancing"), "リバランシング（データ再配置）状態", _xlfn.REGEXTEST(C121, "Temporary Dump Directory"), "一時ダンプディレクトリの監視", _xlfn.REGEXTEST(C121, "Safemode Extension"), "セーフモード延長状態", _xlfn.REGEXTEST(C121, "Client Idle"), "クライアントのアイドル（待機）状態", _xlfn.REGEXTEST(C121, "Available Space Policy Balanced"), "空き容量ポリシーの分散バランス状態", _xlfn.REGEXTEST(C121, "Filesystem Checkpoint Transaction"), "ファイルシステムのチェックポイントトランザクション", _xlfn.REGEXTEST(C121, "Blocks With Corrupt Replicas Monitoring"), "破損レプリカを持つブロックの監視", _xlfn.REGEXTEST(C121, "Missing Block Monitoring"), "消失（ミッシング）ブロックの監視", _xlfn.REGEXTEST(C121, "Under-replicated Block Monitoring"), "レプリカ数不足ブロックの監視", _xlfn.REGEXTEST(C121, "HDFS Free Space Monitoring"), "HDFSの空き容量監視", _xlfn.REGEXTEST(C121, "DataNode Monitoring"), "DataNodeの稼働状態監視", _xlfn.REGEXTEST(C121, "Rules to Extract Events from Log Files"), "ログファイルからのイベント抽出ルール設定", _xlfn.REGEXTEST(C121, "Free Space Monitoring$"), "空き容量監視（一般設定）", _xlfn.REGEXTEST(C121, "Transceivers Usage"), "トランシーバー使用量（データ転送スレッド数）", _xlfn.REGEXTEST(C121, "Volume Failures"), "ボリューム障害（ディスクエラー）数", _xlfn.REGEXTEST(C121, "Block Count"), "ブロック総数", _xlfn.REGEXTEST(C121, "Audit Failure"), "監査（オーディット）ログの失敗イベント", _xlfn.REGEXTEST(C121, "Web Metric Collection Duration"), "Webメトリック収集の所要時間", _xlfn.REGEXTEST(C121, "Pause Duration"), "一時停止（ポーズ）の所要時間", _xlfn.REGEXTEST(C121, "Fsync Latency"), "Fsync（ディスク同期）のレイテンシ", _xlfn.REGEXTEST(C121, "Free Space Monitoring Absolute"), "空き容量（絶対値）", _xlfn.REGEXTEST(C121, "Free Space Monitoring Percentage"), "空き容量割合（%）", _xlfn.REGEXTEST(C121, "Age Monitoring"), "経過時間の監視", _xlfn.REGEXTEST(C121, "Transactions Monitoring"), "トランザクション数の監視", _xlfn.REGEXTEST(C121, "RPC Latency"), "RPC（遠隔手続き呼出し）のレイテンシ", _xlfn.REGEXTEST(C121, "Directory Failures"), "ディレクトリ障害数", _xlfn.REGEXTEST(C121, "Out-Of-Sync JournalNodes"), "同期ズレが発生しているJournalNode数", _xlfn.REGEXTEST(C121, "Safemode Threshold Percentage"), "セーフモード解除閾値の割合（%）", _xlfn.REGEXTEST(C121, "Kerberos Ticket Renewer Monitoring"), "Kerberosチケット更新プロセスの稼働状態監視", _xlfn.REGEXTEST(C121, "Load Balancer Monitoring"), "ロードバランサーの稼働状態監視", _xlfn.REGEXTEST(C121, "Navigator Audit Failure"), "Cloudera Navigator監査ログの失敗イベント", _xlfn.REGEXTEST(C121, "Schema Registry Server Monitoring"), "Schema Registry Serverの稼働状態監視", _xlfn.REGEXTEST(C121, "SRM Service Monitoring"), "SRMサービスの稼働状態監視", _xlfn.REGEXTEST(C121, "SRM Driver Monitoring"), "SRMドライバーの稼働状態監視", _xlfn.REGEXTEST(C121, "Loggin"), "ログ出力状態・設定監視", _xlfn.REGEXTEST(C121, "Server Monitoring"), "サーバーの稼働状態監視", _xlfn.REGEXTEST(C121, "Server Connection Count"), "サーバーの接続数（コネクション数）", _xlfn.REGEXTEST(C121, "Server Outstanding Requests"), "サーバーの未処理リクエスト数（滞留要求数）", _xlfn.REGEXTEST(C121, "Repository Status"), "リポジトリのステータス状態", _xlfn.REGEXTEST(C121, "Monitor Long Running Task"), "長時間実行タスク（ジョブ）の監視", _xlfn.REGEXTEST(C121, "Token requests per second"), "1秒あたりのトークンリクエスト数（要求レート）", _xlfn.REGEXTEST(C121, "Connection Model Score"), "接続モデルスコア（コネクション品質）", _xlfn.REGEXTEST(C121, "Queue swap"), "キューのスワップ発生状態", _xlfn.REGEXTEST(C121, "NiFi Node Monitoring"), "NiFiノードの稼働状態監視", _xlfn.REGEXTEST(C121, "Host Clock Offset"), "ホストのクロックオフセット（時刻同期のズレ）", _xlfn.REGEXTEST(C121, "Memory Overcommit Validation"), "メモリオーバーコミット設定の検証", _xlfn.REGEXTEST(C121, "Gateway Logging"), "ゲートウェイのログ出力設定", _xlfn.REGEXTEST(C121, "CPU Balance"), "CPU使用率の分散バランス状態", _xlfn.REGEXTEST(C121, "Disk Balance"), "ディスク使用量の分散バランス状態", _xlfn.REGEXTEST(C121, "Network Inbound Balance"), "ネットワークインバウンド（受信）の分散バランス状態", _xlfn.REGEXTEST(C121, "Network Outbound Balance"), "ネットワークアウトバウンド（送信）の分散バランス状態", _xlfn.REGEXTEST(C121, "Replica Count Balance"), "レプリカ数の分散バランス状態", _xlfn.REGEXTEST(C121, "Disk Capacity"), "ディスク総容量の限界・使用容量", _xlfn.REGEXTEST(C121, "CPU Capacity"), "CPU総処理能力の限界・使用量", _xlfn.REGEXTEST(C121, "Network Inbound Capacity"), "ネットワークインバウンド（受信）帯域の限界・使用量", _xlfn.REGEXTEST(C121, "Network Outbound Capacity"), "ネットワークアウトバウンド（送信）帯域の限界・使用量", _xlfn.REGEXTEST(C121, "Leader Replica Count Balance"), "リーダーレプリカ数の分散バランス状態", _xlfn.REGEXTEST(C121, "Host DNS Resolution Duration"), "ホストのDNS名前解決の所要時間", _xlfn.REGEXTEST(C121, "TLS Certificate Expiry"), "TLS証明書の有効期限切れ", _xlfn.REGEXTEST(C121, "Host Entropy"), "ホストのエントロピー（乱数生成能力）の不足", _xlfn.REGEXTEST(C121, "File Descriptor"), "プロセスのファイルディスクリプタ使用率", _xlfn.REGEXTEST(C121, "Unexpected Exits"), "プロセスの異常終了（予期せぬ停止）", _xlfn.REGEXTEST(C121, "Swap Memory Thresholds"), "プロセスのスワップメモリ使用量", _xlfn.REGEXTEST(C121, "Swap Memory Usage Rate"), "スワップメモリ使用量の変化率（増加速度）", _xlfn.REGEXTEST(C121, "Log Directory Free Space.*Absolute"), "ログディレクトリの空き容量（絶対値）", _xlfn.REGEXTEST(C121, "Log Directory Free Space.*Percentage"), "ログディレクトリの空き容量割合（%）", _xlfn.REGEXTEST(C121, "Heap Dump Directory Free Space.*Absolute"), "ヒープダンプディレクトリの空き容量（絶対値）", _xlfn.REGEXTEST(C121, "Heap Dump Directory Free Space.*Percentage"), "ヒープダンプディレクトリの空き容量割合（%）", _xlfn.REGEXTEST(C121, "Data Directory Free Space.*Absolute"), "データディレクトリの空き容量（絶対値）", _xlfn.REGEXTEST(C121, "Data Directory Free Space.*Percentage"), "データディレクトリの空き容量割合（%）", _xlfn.REGEXTEST(C121, "Transaction Log Directory Free Space.*Absolute"), "トランザクションログディレクトリの空き容量（絶対値）", _xlfn.REGEXTEST(C121, "Logging Threshold|Logger Threshold"), "ログ出力レベルの閾値設定", _xlfn.REGEXTEST(C121, "Enable.*Alerts"), "ヘルスアラートの有効化状態", _xlfn.REGEXTEST(C121, "Triggers"), "カスタムアラート条件（トリガー設定）", _xlfn.REGEXTEST(C121, "Healthy Kafka Broker"), "Kafka Brokerの健全ノード割合（稼働率）", _xlfn.REGEXTEST(C121, "Healthy Kafka Connect"), "Kafka Connectの健全ノード割合（稼働率）", _xlfn.REGEXTEST(C121, "Healthy KRaft Controller"), "KRaft Controllerの健全ノード割合（稼働率）", _xlfn.REGEXTEST(C121, "Healthy Knox IDBroker"), "Knox IDBrokerの健全ノード割合（稼働率）", _xlfn.REGEXTEST(C121, "Healthy Knox Gateway"), "Knox Gatewayの健全ノード割合（稼働率）", _xlfn.REGEXTEST(C121, "Healthy ZooKeeper Server"), "ZooKeeper Serverの健全ノード割合（稼働率）", _xlfn.REGEXTEST(C121, "Healthy NodeManager"), "NodeManagerの健全ノード割合（稼働率）", _xlfn.REGEXTEST(C121, "Maximum Latency"), "リクエストの最大レイテンシ（処理遅延）", _xlfn.REGEXTEST(C121, "Garbage Collection Duration"), "Javaのガベージコレクション（GC）の所要時間", _xlfn.REGEXTEST(C121, "Spool Directory Usage"), "Rangerプラグインのスプールディレクトリ使用量", _xlfn.REGEXTEST(C121, "Process Directory Free Space Monitoring Absolute"), "プロセスディレクトリの空き容量（絶対値)", _xlfn.REGEXTEST(C121, "Process Directory Free Space.*Percentage"), "プロセスディレクトリの空き容量割合（%）", _xlfn.REGEXTEST(C121, "Parcel Directory Free Space.*Absolute"), "パーセルディレクトリの空き容量（絶対値）", _xlfn.REGEXTEST(C121, "Parcel Directory Free Space.*Percentage"), "パーセルディレクトリの空き容量割合（%）", _xlfn.REGEXTEST(C121, "Host Network Frame Error Percentage"), "ホストのネットワークフレームエラー割合（%）", _xlfn.REGEXTEST(C121, "Network Interfaces Slow Link Modes"), "ホストのネットワークインターフェースの低速リンクモード検出", _xlfn.REGEXTEST(C121, "Host Memory Swapping"), "ホストのメモリのスワップ発生状態", TRUE, "要手動確認")</f>
        <v/>
      </c>
      <c r="H121" s="480"/>
    </row>
    <row r="122" spans="1:8" ht="33.6">
      <c r="A122" s="475" t="s">
        <v>330</v>
      </c>
      <c r="B122" s="476" t="s">
        <v>677</v>
      </c>
      <c r="C122" s="477" t="s">
        <v>678</v>
      </c>
      <c r="D122" s="477" t="s">
        <v>679</v>
      </c>
      <c r="E122" s="477"/>
      <c r="F122" s="477" t="s">
        <v>893</v>
      </c>
      <c r="G122" s="477" t="str" cm="1">
        <f t="array" ref="G122">_xlfn.IFS(C122 = "", "", _xlfn.REGEXTEST(C122, "Service Metric Migrator Minimum Consecutive Successful Checks"), "サービスメトリック移行ツールの連続正常チェック最小回数", _xlfn.REGEXTEST(C122, "Rebalancing"), "リバランシング（データ再配置）状態", _xlfn.REGEXTEST(C122, "Temporary Dump Directory"), "一時ダンプディレクトリの監視", _xlfn.REGEXTEST(C122, "Safemode Extension"), "セーフモード延長状態", _xlfn.REGEXTEST(C122, "Client Idle"), "クライアントのアイドル（待機）状態", _xlfn.REGEXTEST(C122, "Available Space Policy Balanced"), "空き容量ポリシーの分散バランス状態", _xlfn.REGEXTEST(C122, "Filesystem Checkpoint Transaction"), "ファイルシステムのチェックポイントトランザクション", _xlfn.REGEXTEST(C122, "Blocks With Corrupt Replicas Monitoring"), "破損レプリカを持つブロックの監視", _xlfn.REGEXTEST(C122, "Missing Block Monitoring"), "消失（ミッシング）ブロックの監視", _xlfn.REGEXTEST(C122, "Under-replicated Block Monitoring"), "レプリカ数不足ブロックの監視", _xlfn.REGEXTEST(C122, "HDFS Free Space Monitoring"), "HDFSの空き容量監視", _xlfn.REGEXTEST(C122, "DataNode Monitoring"), "DataNodeの稼働状態監視", _xlfn.REGEXTEST(C122, "Rules to Extract Events from Log Files"), "ログファイルからのイベント抽出ルール設定", _xlfn.REGEXTEST(C122, "Free Space Monitoring$"), "空き容量監視（一般設定）", _xlfn.REGEXTEST(C122, "Transceivers Usage"), "トランシーバー使用量（データ転送スレッド数）", _xlfn.REGEXTEST(C122, "Volume Failures"), "ボリューム障害（ディスクエラー）数", _xlfn.REGEXTEST(C122, "Block Count"), "ブロック総数", _xlfn.REGEXTEST(C122, "Audit Failure"), "監査（オーディット）ログの失敗イベント", _xlfn.REGEXTEST(C122, "Web Metric Collection Duration"), "Webメトリック収集の所要時間", _xlfn.REGEXTEST(C122, "Pause Duration"), "一時停止（ポーズ）の所要時間", _xlfn.REGEXTEST(C122, "Fsync Latency"), "Fsync（ディスク同期）のレイテンシ", _xlfn.REGEXTEST(C122, "Free Space Monitoring Absolute"), "空き容量（絶対値）", _xlfn.REGEXTEST(C122, "Free Space Monitoring Percentage"), "空き容量割合（%）", _xlfn.REGEXTEST(C122, "Age Monitoring"), "経過時間の監視", _xlfn.REGEXTEST(C122, "Transactions Monitoring"), "トランザクション数の監視", _xlfn.REGEXTEST(C122, "RPC Latency"), "RPC（遠隔手続き呼出し）のレイテンシ", _xlfn.REGEXTEST(C122, "Directory Failures"), "ディレクトリ障害数", _xlfn.REGEXTEST(C122, "Out-Of-Sync JournalNodes"), "同期ズレが発生しているJournalNode数", _xlfn.REGEXTEST(C122, "Safemode Threshold Percentage"), "セーフモード解除閾値の割合（%）", _xlfn.REGEXTEST(C122, "Kerberos Ticket Renewer Monitoring"), "Kerberosチケット更新プロセスの稼働状態監視", _xlfn.REGEXTEST(C122, "Load Balancer Monitoring"), "ロードバランサーの稼働状態監視", _xlfn.REGEXTEST(C122, "Navigator Audit Failure"), "Cloudera Navigator監査ログの失敗イベント", _xlfn.REGEXTEST(C122, "Schema Registry Server Monitoring"), "Schema Registry Serverの稼働状態監視", _xlfn.REGEXTEST(C122, "SRM Service Monitoring"), "SRMサービスの稼働状態監視", _xlfn.REGEXTEST(C122, "SRM Driver Monitoring"), "SRMドライバーの稼働状態監視", _xlfn.REGEXTEST(C122, "Loggin"), "ログ出力状態・設定監視", _xlfn.REGEXTEST(C122, "Server Monitoring"), "サーバーの稼働状態監視", _xlfn.REGEXTEST(C122, "Server Connection Count"), "サーバーの接続数（コネクション数）", _xlfn.REGEXTEST(C122, "Server Outstanding Requests"), "サーバーの未処理リクエスト数（滞留要求数）", _xlfn.REGEXTEST(C122, "Repository Status"), "リポジトリのステータス状態", _xlfn.REGEXTEST(C122, "Monitor Long Running Task"), "長時間実行タスク（ジョブ）の監視", _xlfn.REGEXTEST(C122, "Token requests per second"), "1秒あたりのトークンリクエスト数（要求レート）", _xlfn.REGEXTEST(C122, "Connection Model Score"), "接続モデルスコア（コネクション品質）", _xlfn.REGEXTEST(C122, "Queue swap"), "キューのスワップ発生状態", _xlfn.REGEXTEST(C122, "NiFi Node Monitoring"), "NiFiノードの稼働状態監視", _xlfn.REGEXTEST(C122, "Host Clock Offset"), "ホストのクロックオフセット（時刻同期のズレ）", _xlfn.REGEXTEST(C122, "Memory Overcommit Validation"), "メモリオーバーコミット設定の検証", _xlfn.REGEXTEST(C122, "Gateway Logging"), "ゲートウェイのログ出力設定", _xlfn.REGEXTEST(C122, "CPU Balance"), "CPU使用率の分散バランス状態", _xlfn.REGEXTEST(C122, "Disk Balance"), "ディスク使用量の分散バランス状態", _xlfn.REGEXTEST(C122, "Network Inbound Balance"), "ネットワークインバウンド（受信）の分散バランス状態", _xlfn.REGEXTEST(C122, "Network Outbound Balance"), "ネットワークアウトバウンド（送信）の分散バランス状態", _xlfn.REGEXTEST(C122, "Replica Count Balance"), "レプリカ数の分散バランス状態", _xlfn.REGEXTEST(C122, "Disk Capacity"), "ディスク総容量の限界・使用容量", _xlfn.REGEXTEST(C122, "CPU Capacity"), "CPU総処理能力の限界・使用量", _xlfn.REGEXTEST(C122, "Network Inbound Capacity"), "ネットワークインバウンド（受信）帯域の限界・使用量", _xlfn.REGEXTEST(C122, "Network Outbound Capacity"), "ネットワークアウトバウンド（送信）帯域の限界・使用量", _xlfn.REGEXTEST(C122, "Leader Replica Count Balance"), "リーダーレプリカ数の分散バランス状態", _xlfn.REGEXTEST(C122, "Host DNS Resolution Duration"), "ホストのDNS名前解決の所要時間", _xlfn.REGEXTEST(C122, "TLS Certificate Expiry"), "TLS証明書の有効期限切れ", _xlfn.REGEXTEST(C122, "Host Entropy"), "ホストのエントロピー（乱数生成能力）の不足", _xlfn.REGEXTEST(C122, "File Descriptor"), "プロセスのファイルディスクリプタ使用率", _xlfn.REGEXTEST(C122, "Unexpected Exits"), "プロセスの異常終了（予期せぬ停止）", _xlfn.REGEXTEST(C122, "Swap Memory Thresholds"), "プロセスのスワップメモリ使用量", _xlfn.REGEXTEST(C122, "Swap Memory Usage Rate"), "スワップメモリ使用量の変化率（増加速度）", _xlfn.REGEXTEST(C122, "Log Directory Free Space.*Absolute"), "ログディレクトリの空き容量（絶対値）", _xlfn.REGEXTEST(C122, "Log Directory Free Space.*Percentage"), "ログディレクトリの空き容量割合（%）", _xlfn.REGEXTEST(C122, "Heap Dump Directory Free Space.*Absolute"), "ヒープダンプディレクトリの空き容量（絶対値）", _xlfn.REGEXTEST(C122, "Heap Dump Directory Free Space.*Percentage"), "ヒープダンプディレクトリの空き容量割合（%）", _xlfn.REGEXTEST(C122, "Data Directory Free Space.*Absolute"), "データディレクトリの空き容量（絶対値）", _xlfn.REGEXTEST(C122, "Data Directory Free Space.*Percentage"), "データディレクトリの空き容量割合（%）", _xlfn.REGEXTEST(C122, "Transaction Log Directory Free Space.*Absolute"), "トランザクションログディレクトリの空き容量（絶対値）", _xlfn.REGEXTEST(C122, "Logging Threshold|Logger Threshold"), "ログ出力レベルの閾値設定", _xlfn.REGEXTEST(C122, "Enable.*Alerts"), "ヘルスアラートの有効化状態", _xlfn.REGEXTEST(C122, "Triggers"), "カスタムアラート条件（トリガー設定）", _xlfn.REGEXTEST(C122, "Healthy Kafka Broker"), "Kafka Brokerの健全ノード割合（稼働率）", _xlfn.REGEXTEST(C122, "Healthy Kafka Connect"), "Kafka Connectの健全ノード割合（稼働率）", _xlfn.REGEXTEST(C122, "Healthy KRaft Controller"), "KRaft Controllerの健全ノード割合（稼働率）", _xlfn.REGEXTEST(C122, "Healthy Knox IDBroker"), "Knox IDBrokerの健全ノード割合（稼働率）", _xlfn.REGEXTEST(C122, "Healthy Knox Gateway"), "Knox Gatewayの健全ノード割合（稼働率）", _xlfn.REGEXTEST(C122, "Healthy ZooKeeper Server"), "ZooKeeper Serverの健全ノード割合（稼働率）", _xlfn.REGEXTEST(C122, "Healthy NodeManager"), "NodeManagerの健全ノード割合（稼働率）", _xlfn.REGEXTEST(C122, "Maximum Latency"), "リクエストの最大レイテンシ（処理遅延）", _xlfn.REGEXTEST(C122, "Garbage Collection Duration"), "Javaのガベージコレクション（GC）の所要時間", _xlfn.REGEXTEST(C122, "Spool Directory Usage"), "Rangerプラグインのスプールディレクトリ使用量", _xlfn.REGEXTEST(C122, "Process Directory Free Space Monitoring Absolute"), "プロセスディレクトリの空き容量（絶対値)", _xlfn.REGEXTEST(C122, "Process Directory Free Space.*Percentage"), "プロセスディレクトリの空き容量割合（%）", _xlfn.REGEXTEST(C122, "Parcel Directory Free Space.*Absolute"), "パーセルディレクトリの空き容量（絶対値）", _xlfn.REGEXTEST(C122, "Parcel Directory Free Space.*Percentage"), "パーセルディレクトリの空き容量割合（%）", _xlfn.REGEXTEST(C122, "Host Network Frame Error Percentage"), "ホストのネットワークフレームエラー割合（%）", _xlfn.REGEXTEST(C122, "Network Interfaces Slow Link Modes"), "ホストのネットワークインターフェースの低速リンクモード検出", _xlfn.REGEXTEST(C122, "Host Memory Swapping"), "ホストのメモリのスワップ発生状態", TRUE, "要手動確認")</f>
        <v>空き容量（絶対値）</v>
      </c>
      <c r="H122" s="481" t="s">
        <v>894</v>
      </c>
    </row>
    <row r="123" spans="1:8" ht="33.6">
      <c r="A123" s="514"/>
      <c r="B123" s="473"/>
      <c r="C123" s="471" t="s">
        <v>681</v>
      </c>
      <c r="D123" s="471" t="s">
        <v>682</v>
      </c>
      <c r="E123" s="471"/>
      <c r="F123" s="471" t="s">
        <v>895</v>
      </c>
      <c r="G123" s="471" t="str" cm="1">
        <f t="array" ref="G123">_xlfn.IFS(C123 = "", "", _xlfn.REGEXTEST(C123, "Service Metric Migrator Minimum Consecutive Successful Checks"), "サービスメトリック移行ツールの連続正常チェック最小回数", _xlfn.REGEXTEST(C123, "Rebalancing"), "リバランシング（データ再配置）状態", _xlfn.REGEXTEST(C123, "Temporary Dump Directory"), "一時ダンプディレクトリの監視", _xlfn.REGEXTEST(C123, "Safemode Extension"), "セーフモード延長状態", _xlfn.REGEXTEST(C123, "Client Idle"), "クライアントのアイドル（待機）状態", _xlfn.REGEXTEST(C123, "Available Space Policy Balanced"), "空き容量ポリシーの分散バランス状態", _xlfn.REGEXTEST(C123, "Filesystem Checkpoint Transaction"), "ファイルシステムのチェックポイントトランザクション", _xlfn.REGEXTEST(C123, "Blocks With Corrupt Replicas Monitoring"), "破損レプリカを持つブロックの監視", _xlfn.REGEXTEST(C123, "Missing Block Monitoring"), "消失（ミッシング）ブロックの監視", _xlfn.REGEXTEST(C123, "Under-replicated Block Monitoring"), "レプリカ数不足ブロックの監視", _xlfn.REGEXTEST(C123, "HDFS Free Space Monitoring"), "HDFSの空き容量監視", _xlfn.REGEXTEST(C123, "DataNode Monitoring"), "DataNodeの稼働状態監視", _xlfn.REGEXTEST(C123, "Rules to Extract Events from Log Files"), "ログファイルからのイベント抽出ルール設定", _xlfn.REGEXTEST(C123, "Free Space Monitoring$"), "空き容量監視（一般設定）", _xlfn.REGEXTEST(C123, "Transceivers Usage"), "トランシーバー使用量（データ転送スレッド数）", _xlfn.REGEXTEST(C123, "Volume Failures"), "ボリューム障害（ディスクエラー）数", _xlfn.REGEXTEST(C123, "Block Count"), "ブロック総数", _xlfn.REGEXTEST(C123, "Audit Failure"), "監査（オーディット）ログの失敗イベント", _xlfn.REGEXTEST(C123, "Web Metric Collection Duration"), "Webメトリック収集の所要時間", _xlfn.REGEXTEST(C123, "Pause Duration"), "一時停止（ポーズ）の所要時間", _xlfn.REGEXTEST(C123, "Fsync Latency"), "Fsync（ディスク同期）のレイテンシ", _xlfn.REGEXTEST(C123, "Free Space Monitoring Absolute"), "空き容量（絶対値）", _xlfn.REGEXTEST(C123, "Free Space Monitoring Percentage"), "空き容量割合（%）", _xlfn.REGEXTEST(C123, "Age Monitoring"), "経過時間の監視", _xlfn.REGEXTEST(C123, "Transactions Monitoring"), "トランザクション数の監視", _xlfn.REGEXTEST(C123, "RPC Latency"), "RPC（遠隔手続き呼出し）のレイテンシ", _xlfn.REGEXTEST(C123, "Directory Failures"), "ディレクトリ障害数", _xlfn.REGEXTEST(C123, "Out-Of-Sync JournalNodes"), "同期ズレが発生しているJournalNode数", _xlfn.REGEXTEST(C123, "Safemode Threshold Percentage"), "セーフモード解除閾値の割合（%）", _xlfn.REGEXTEST(C123, "Kerberos Ticket Renewer Monitoring"), "Kerberosチケット更新プロセスの稼働状態監視", _xlfn.REGEXTEST(C123, "Load Balancer Monitoring"), "ロードバランサーの稼働状態監視", _xlfn.REGEXTEST(C123, "Navigator Audit Failure"), "Cloudera Navigator監査ログの失敗イベント", _xlfn.REGEXTEST(C123, "Schema Registry Server Monitoring"), "Schema Registry Serverの稼働状態監視", _xlfn.REGEXTEST(C123, "SRM Service Monitoring"), "SRMサービスの稼働状態監視", _xlfn.REGEXTEST(C123, "SRM Driver Monitoring"), "SRMドライバーの稼働状態監視", _xlfn.REGEXTEST(C123, "Loggin"), "ログ出力状態・設定監視", _xlfn.REGEXTEST(C123, "Server Monitoring"), "サーバーの稼働状態監視", _xlfn.REGEXTEST(C123, "Server Connection Count"), "サーバーの接続数（コネクション数）", _xlfn.REGEXTEST(C123, "Server Outstanding Requests"), "サーバーの未処理リクエスト数（滞留要求数）", _xlfn.REGEXTEST(C123, "Repository Status"), "リポジトリのステータス状態", _xlfn.REGEXTEST(C123, "Monitor Long Running Task"), "長時間実行タスク（ジョブ）の監視", _xlfn.REGEXTEST(C123, "Token requests per second"), "1秒あたりのトークンリクエスト数（要求レート）", _xlfn.REGEXTEST(C123, "Connection Model Score"), "接続モデルスコア（コネクション品質）", _xlfn.REGEXTEST(C123, "Queue swap"), "キューのスワップ発生状態", _xlfn.REGEXTEST(C123, "NiFi Node Monitoring"), "NiFiノードの稼働状態監視", _xlfn.REGEXTEST(C123, "Host Clock Offset"), "ホストのクロックオフセット（時刻同期のズレ）", _xlfn.REGEXTEST(C123, "Memory Overcommit Validation"), "メモリオーバーコミット設定の検証", _xlfn.REGEXTEST(C123, "Gateway Logging"), "ゲートウェイのログ出力設定", _xlfn.REGEXTEST(C123, "CPU Balance"), "CPU使用率の分散バランス状態", _xlfn.REGEXTEST(C123, "Disk Balance"), "ディスク使用量の分散バランス状態", _xlfn.REGEXTEST(C123, "Network Inbound Balance"), "ネットワークインバウンド（受信）の分散バランス状態", _xlfn.REGEXTEST(C123, "Network Outbound Balance"), "ネットワークアウトバウンド（送信）の分散バランス状態", _xlfn.REGEXTEST(C123, "Replica Count Balance"), "レプリカ数の分散バランス状態", _xlfn.REGEXTEST(C123, "Disk Capacity"), "ディスク総容量の限界・使用容量", _xlfn.REGEXTEST(C123, "CPU Capacity"), "CPU総処理能力の限界・使用量", _xlfn.REGEXTEST(C123, "Network Inbound Capacity"), "ネットワークインバウンド（受信）帯域の限界・使用量", _xlfn.REGEXTEST(C123, "Network Outbound Capacity"), "ネットワークアウトバウンド（送信）帯域の限界・使用量", _xlfn.REGEXTEST(C123, "Leader Replica Count Balance"), "リーダーレプリカ数の分散バランス状態", _xlfn.REGEXTEST(C123, "Host DNS Resolution Duration"), "ホストのDNS名前解決の所要時間", _xlfn.REGEXTEST(C123, "TLS Certificate Expiry"), "TLS証明書の有効期限切れ", _xlfn.REGEXTEST(C123, "Host Entropy"), "ホストのエントロピー（乱数生成能力）の不足", _xlfn.REGEXTEST(C123, "File Descriptor"), "プロセスのファイルディスクリプタ使用率", _xlfn.REGEXTEST(C123, "Unexpected Exits"), "プロセスの異常終了（予期せぬ停止）", _xlfn.REGEXTEST(C123, "Swap Memory Thresholds"), "プロセスのスワップメモリ使用量", _xlfn.REGEXTEST(C123, "Swap Memory Usage Rate"), "スワップメモリ使用量の変化率（増加速度）", _xlfn.REGEXTEST(C123, "Log Directory Free Space.*Absolute"), "ログディレクトリの空き容量（絶対値）", _xlfn.REGEXTEST(C123, "Log Directory Free Space.*Percentage"), "ログディレクトリの空き容量割合（%）", _xlfn.REGEXTEST(C123, "Heap Dump Directory Free Space.*Absolute"), "ヒープダンプディレクトリの空き容量（絶対値）", _xlfn.REGEXTEST(C123, "Heap Dump Directory Free Space.*Percentage"), "ヒープダンプディレクトリの空き容量割合（%）", _xlfn.REGEXTEST(C123, "Data Directory Free Space.*Absolute"), "データディレクトリの空き容量（絶対値）", _xlfn.REGEXTEST(C123, "Data Directory Free Space.*Percentage"), "データディレクトリの空き容量割合（%）", _xlfn.REGEXTEST(C123, "Transaction Log Directory Free Space.*Absolute"), "トランザクションログディレクトリの空き容量（絶対値）", _xlfn.REGEXTEST(C123, "Logging Threshold|Logger Threshold"), "ログ出力レベルの閾値設定", _xlfn.REGEXTEST(C123, "Enable.*Alerts"), "ヘルスアラートの有効化状態", _xlfn.REGEXTEST(C123, "Triggers"), "カスタムアラート条件（トリガー設定）", _xlfn.REGEXTEST(C123, "Healthy Kafka Broker"), "Kafka Brokerの健全ノード割合（稼働率）", _xlfn.REGEXTEST(C123, "Healthy Kafka Connect"), "Kafka Connectの健全ノード割合（稼働率）", _xlfn.REGEXTEST(C123, "Healthy KRaft Controller"), "KRaft Controllerの健全ノード割合（稼働率）", _xlfn.REGEXTEST(C123, "Healthy Knox IDBroker"), "Knox IDBrokerの健全ノード割合（稼働率）", _xlfn.REGEXTEST(C123, "Healthy Knox Gateway"), "Knox Gatewayの健全ノード割合（稼働率）", _xlfn.REGEXTEST(C123, "Healthy ZooKeeper Server"), "ZooKeeper Serverの健全ノード割合（稼働率）", _xlfn.REGEXTEST(C123, "Healthy NodeManager"), "NodeManagerの健全ノード割合（稼働率）", _xlfn.REGEXTEST(C123, "Maximum Latency"), "リクエストの最大レイテンシ（処理遅延）", _xlfn.REGEXTEST(C123, "Garbage Collection Duration"), "Javaのガベージコレクション（GC）の所要時間", _xlfn.REGEXTEST(C123, "Spool Directory Usage"), "Rangerプラグインのスプールディレクトリ使用量", _xlfn.REGEXTEST(C123, "Process Directory Free Space Monitoring Absolute"), "プロセスディレクトリの空き容量（絶対値)", _xlfn.REGEXTEST(C123, "Process Directory Free Space.*Percentage"), "プロセスディレクトリの空き容量割合（%）", _xlfn.REGEXTEST(C123, "Parcel Directory Free Space.*Absolute"), "パーセルディレクトリの空き容量（絶対値）", _xlfn.REGEXTEST(C123, "Parcel Directory Free Space.*Percentage"), "パーセルディレクトリの空き容量割合（%）", _xlfn.REGEXTEST(C123, "Host Network Frame Error Percentage"), "ホストのネットワークフレームエラー割合（%）", _xlfn.REGEXTEST(C123, "Network Interfaces Slow Link Modes"), "ホストのネットワークインターフェースの低速リンクモード検出", _xlfn.REGEXTEST(C123, "Host Memory Swapping"), "ホストのメモリのスワップ発生状態", TRUE, "要手動確認")</f>
        <v>空き容量割合（%）</v>
      </c>
      <c r="H123" s="479" t="s">
        <v>896</v>
      </c>
    </row>
    <row r="124" spans="1:8" ht="33.6">
      <c r="A124" s="514"/>
      <c r="B124" s="473"/>
      <c r="C124" s="471" t="s">
        <v>684</v>
      </c>
      <c r="D124" s="471" t="s">
        <v>685</v>
      </c>
      <c r="E124" s="471"/>
      <c r="F124" s="471" t="s">
        <v>897</v>
      </c>
      <c r="G124" s="471" t="str" cm="1">
        <f t="array" ref="G124">_xlfn.IFS(C124 = "", "", _xlfn.REGEXTEST(C124, "Service Metric Migrator Minimum Consecutive Successful Checks"), "サービスメトリック移行ツールの連続正常チェック最小回数", _xlfn.REGEXTEST(C124, "Rebalancing"), "リバランシング（データ再配置）状態", _xlfn.REGEXTEST(C124, "Temporary Dump Directory"), "一時ダンプディレクトリの監視", _xlfn.REGEXTEST(C124, "Safemode Extension"), "セーフモード延長状態", _xlfn.REGEXTEST(C124, "Client Idle"), "クライアントのアイドル（待機）状態", _xlfn.REGEXTEST(C124, "Available Space Policy Balanced"), "空き容量ポリシーの分散バランス状態", _xlfn.REGEXTEST(C124, "Filesystem Checkpoint Transaction"), "ファイルシステムのチェックポイントトランザクション", _xlfn.REGEXTEST(C124, "Blocks With Corrupt Replicas Monitoring"), "破損レプリカを持つブロックの監視", _xlfn.REGEXTEST(C124, "Missing Block Monitoring"), "消失（ミッシング）ブロックの監視", _xlfn.REGEXTEST(C124, "Under-replicated Block Monitoring"), "レプリカ数不足ブロックの監視", _xlfn.REGEXTEST(C124, "HDFS Free Space Monitoring"), "HDFSの空き容量監視", _xlfn.REGEXTEST(C124, "DataNode Monitoring"), "DataNodeの稼働状態監視", _xlfn.REGEXTEST(C124, "Rules to Extract Events from Log Files"), "ログファイルからのイベント抽出ルール設定", _xlfn.REGEXTEST(C124, "Free Space Monitoring$"), "空き容量監視（一般設定）", _xlfn.REGEXTEST(C124, "Transceivers Usage"), "トランシーバー使用量（データ転送スレッド数）", _xlfn.REGEXTEST(C124, "Volume Failures"), "ボリューム障害（ディスクエラー）数", _xlfn.REGEXTEST(C124, "Block Count"), "ブロック総数", _xlfn.REGEXTEST(C124, "Audit Failure"), "監査（オーディット）ログの失敗イベント", _xlfn.REGEXTEST(C124, "Web Metric Collection Duration"), "Webメトリック収集の所要時間", _xlfn.REGEXTEST(C124, "Pause Duration"), "一時停止（ポーズ）の所要時間", _xlfn.REGEXTEST(C124, "Fsync Latency"), "Fsync（ディスク同期）のレイテンシ", _xlfn.REGEXTEST(C124, "Free Space Monitoring Absolute"), "空き容量（絶対値）", _xlfn.REGEXTEST(C124, "Free Space Monitoring Percentage"), "空き容量割合（%）", _xlfn.REGEXTEST(C124, "Age Monitoring"), "経過時間の監視", _xlfn.REGEXTEST(C124, "Transactions Monitoring"), "トランザクション数の監視", _xlfn.REGEXTEST(C124, "RPC Latency"), "RPC（遠隔手続き呼出し）のレイテンシ", _xlfn.REGEXTEST(C124, "Directory Failures"), "ディレクトリ障害数", _xlfn.REGEXTEST(C124, "Out-Of-Sync JournalNodes"), "同期ズレが発生しているJournalNode数", _xlfn.REGEXTEST(C124, "Safemode Threshold Percentage"), "セーフモード解除閾値の割合（%）", _xlfn.REGEXTEST(C124, "Kerberos Ticket Renewer Monitoring"), "Kerberosチケット更新プロセスの稼働状態監視", _xlfn.REGEXTEST(C124, "Load Balancer Monitoring"), "ロードバランサーの稼働状態監視", _xlfn.REGEXTEST(C124, "Navigator Audit Failure"), "Cloudera Navigator監査ログの失敗イベント", _xlfn.REGEXTEST(C124, "Schema Registry Server Monitoring"), "Schema Registry Serverの稼働状態監視", _xlfn.REGEXTEST(C124, "SRM Service Monitoring"), "SRMサービスの稼働状態監視", _xlfn.REGEXTEST(C124, "SRM Driver Monitoring"), "SRMドライバーの稼働状態監視", _xlfn.REGEXTEST(C124, "Loggin"), "ログ出力状態・設定監視", _xlfn.REGEXTEST(C124, "Server Monitoring"), "サーバーの稼働状態監視", _xlfn.REGEXTEST(C124, "Server Connection Count"), "サーバーの接続数（コネクション数）", _xlfn.REGEXTEST(C124, "Server Outstanding Requests"), "サーバーの未処理リクエスト数（滞留要求数）", _xlfn.REGEXTEST(C124, "Repository Status"), "リポジトリのステータス状態", _xlfn.REGEXTEST(C124, "Monitor Long Running Task"), "長時間実行タスク（ジョブ）の監視", _xlfn.REGEXTEST(C124, "Token requests per second"), "1秒あたりのトークンリクエスト数（要求レート）", _xlfn.REGEXTEST(C124, "Connection Model Score"), "接続モデルスコア（コネクション品質）", _xlfn.REGEXTEST(C124, "Queue swap"), "キューのスワップ発生状態", _xlfn.REGEXTEST(C124, "NiFi Node Monitoring"), "NiFiノードの稼働状態監視", _xlfn.REGEXTEST(C124, "Host Clock Offset"), "ホストのクロックオフセット（時刻同期のズレ）", _xlfn.REGEXTEST(C124, "Memory Overcommit Validation"), "メモリオーバーコミット設定の検証", _xlfn.REGEXTEST(C124, "Gateway Logging"), "ゲートウェイのログ出力設定", _xlfn.REGEXTEST(C124, "CPU Balance"), "CPU使用率の分散バランス状態", _xlfn.REGEXTEST(C124, "Disk Balance"), "ディスク使用量の分散バランス状態", _xlfn.REGEXTEST(C124, "Network Inbound Balance"), "ネットワークインバウンド（受信）の分散バランス状態", _xlfn.REGEXTEST(C124, "Network Outbound Balance"), "ネットワークアウトバウンド（送信）の分散バランス状態", _xlfn.REGEXTEST(C124, "Replica Count Balance"), "レプリカ数の分散バランス状態", _xlfn.REGEXTEST(C124, "Disk Capacity"), "ディスク総容量の限界・使用容量", _xlfn.REGEXTEST(C124, "CPU Capacity"), "CPU総処理能力の限界・使用量", _xlfn.REGEXTEST(C124, "Network Inbound Capacity"), "ネットワークインバウンド（受信）帯域の限界・使用量", _xlfn.REGEXTEST(C124, "Network Outbound Capacity"), "ネットワークアウトバウンド（送信）帯域の限界・使用量", _xlfn.REGEXTEST(C124, "Leader Replica Count Balance"), "リーダーレプリカ数の分散バランス状態", _xlfn.REGEXTEST(C124, "Host DNS Resolution Duration"), "ホストのDNS名前解決の所要時間", _xlfn.REGEXTEST(C124, "TLS Certificate Expiry"), "TLS証明書の有効期限切れ", _xlfn.REGEXTEST(C124, "Host Entropy"), "ホストのエントロピー（乱数生成能力）の不足", _xlfn.REGEXTEST(C124, "File Descriptor"), "プロセスのファイルディスクリプタ使用率", _xlfn.REGEXTEST(C124, "Unexpected Exits"), "プロセスの異常終了（予期せぬ停止）", _xlfn.REGEXTEST(C124, "Swap Memory Thresholds"), "プロセスのスワップメモリ使用量", _xlfn.REGEXTEST(C124, "Swap Memory Usage Rate"), "スワップメモリ使用量の変化率（増加速度）", _xlfn.REGEXTEST(C124, "Log Directory Free Space.*Absolute"), "ログディレクトリの空き容量（絶対値）", _xlfn.REGEXTEST(C124, "Log Directory Free Space.*Percentage"), "ログディレクトリの空き容量割合（%）", _xlfn.REGEXTEST(C124, "Heap Dump Directory Free Space.*Absolute"), "ヒープダンプディレクトリの空き容量（絶対値）", _xlfn.REGEXTEST(C124, "Heap Dump Directory Free Space.*Percentage"), "ヒープダンプディレクトリの空き容量割合（%）", _xlfn.REGEXTEST(C124, "Data Directory Free Space.*Absolute"), "データディレクトリの空き容量（絶対値）", _xlfn.REGEXTEST(C124, "Data Directory Free Space.*Percentage"), "データディレクトリの空き容量割合（%）", _xlfn.REGEXTEST(C124, "Transaction Log Directory Free Space.*Absolute"), "トランザクションログディレクトリの空き容量（絶対値）", _xlfn.REGEXTEST(C124, "Logging Threshold|Logger Threshold"), "ログ出力レベルの閾値設定", _xlfn.REGEXTEST(C124, "Enable.*Alerts"), "ヘルスアラートの有効化状態", _xlfn.REGEXTEST(C124, "Triggers"), "カスタムアラート条件（トリガー設定）", _xlfn.REGEXTEST(C124, "Healthy Kafka Broker"), "Kafka Brokerの健全ノード割合（稼働率）", _xlfn.REGEXTEST(C124, "Healthy Kafka Connect"), "Kafka Connectの健全ノード割合（稼働率）", _xlfn.REGEXTEST(C124, "Healthy KRaft Controller"), "KRaft Controllerの健全ノード割合（稼働率）", _xlfn.REGEXTEST(C124, "Healthy Knox IDBroker"), "Knox IDBrokerの健全ノード割合（稼働率）", _xlfn.REGEXTEST(C124, "Healthy Knox Gateway"), "Knox Gatewayの健全ノード割合（稼働率）", _xlfn.REGEXTEST(C124, "Healthy ZooKeeper Server"), "ZooKeeper Serverの健全ノード割合（稼働率）", _xlfn.REGEXTEST(C124, "Healthy NodeManager"), "NodeManagerの健全ノード割合（稼働率）", _xlfn.REGEXTEST(C124, "Maximum Latency"), "リクエストの最大レイテンシ（処理遅延）", _xlfn.REGEXTEST(C124, "Garbage Collection Duration"), "Javaのガベージコレクション（GC）の所要時間", _xlfn.REGEXTEST(C124, "Spool Directory Usage"), "Rangerプラグインのスプールディレクトリ使用量", _xlfn.REGEXTEST(C124, "Process Directory Free Space Monitoring Absolute"), "プロセスディレクトリの空き容量（絶対値)", _xlfn.REGEXTEST(C124, "Process Directory Free Space.*Percentage"), "プロセスディレクトリの空き容量割合（%）", _xlfn.REGEXTEST(C124, "Parcel Directory Free Space.*Absolute"), "パーセルディレクトリの空き容量（絶対値）", _xlfn.REGEXTEST(C124, "Parcel Directory Free Space.*Percentage"), "パーセルディレクトリの空き容量割合（%）", _xlfn.REGEXTEST(C124, "Host Network Frame Error Percentage"), "ホストのネットワークフレームエラー割合（%）", _xlfn.REGEXTEST(C124, "Network Interfaces Slow Link Modes"), "ホストのネットワークインターフェースの低速リンクモード検出", _xlfn.REGEXTEST(C124, "Host Memory Swapping"), "ホストのメモリのスワップ発生状態", TRUE, "要手動確認")</f>
        <v>空き容量（絶対値）</v>
      </c>
      <c r="H124" s="479" t="s">
        <v>898</v>
      </c>
    </row>
    <row r="125" spans="1:8" ht="33.6">
      <c r="A125" s="514"/>
      <c r="B125" s="473"/>
      <c r="C125" s="471" t="s">
        <v>687</v>
      </c>
      <c r="D125" s="471" t="s">
        <v>688</v>
      </c>
      <c r="E125" s="471"/>
      <c r="F125" s="471" t="s">
        <v>899</v>
      </c>
      <c r="G125" s="471" t="str" cm="1">
        <f t="array" ref="G125">_xlfn.IFS(C125 = "", "", _xlfn.REGEXTEST(C125, "Service Metric Migrator Minimum Consecutive Successful Checks"), "サービスメトリック移行ツールの連続正常チェック最小回数", _xlfn.REGEXTEST(C125, "Rebalancing"), "リバランシング（データ再配置）状態", _xlfn.REGEXTEST(C125, "Temporary Dump Directory"), "一時ダンプディレクトリの監視", _xlfn.REGEXTEST(C125, "Safemode Extension"), "セーフモード延長状態", _xlfn.REGEXTEST(C125, "Client Idle"), "クライアントのアイドル（待機）状態", _xlfn.REGEXTEST(C125, "Available Space Policy Balanced"), "空き容量ポリシーの分散バランス状態", _xlfn.REGEXTEST(C125, "Filesystem Checkpoint Transaction"), "ファイルシステムのチェックポイントトランザクション", _xlfn.REGEXTEST(C125, "Blocks With Corrupt Replicas Monitoring"), "破損レプリカを持つブロックの監視", _xlfn.REGEXTEST(C125, "Missing Block Monitoring"), "消失（ミッシング）ブロックの監視", _xlfn.REGEXTEST(C125, "Under-replicated Block Monitoring"), "レプリカ数不足ブロックの監視", _xlfn.REGEXTEST(C125, "HDFS Free Space Monitoring"), "HDFSの空き容量監視", _xlfn.REGEXTEST(C125, "DataNode Monitoring"), "DataNodeの稼働状態監視", _xlfn.REGEXTEST(C125, "Rules to Extract Events from Log Files"), "ログファイルからのイベント抽出ルール設定", _xlfn.REGEXTEST(C125, "Free Space Monitoring$"), "空き容量監視（一般設定）", _xlfn.REGEXTEST(C125, "Transceivers Usage"), "トランシーバー使用量（データ転送スレッド数）", _xlfn.REGEXTEST(C125, "Volume Failures"), "ボリューム障害（ディスクエラー）数", _xlfn.REGEXTEST(C125, "Block Count"), "ブロック総数", _xlfn.REGEXTEST(C125, "Audit Failure"), "監査（オーディット）ログの失敗イベント", _xlfn.REGEXTEST(C125, "Web Metric Collection Duration"), "Webメトリック収集の所要時間", _xlfn.REGEXTEST(C125, "Pause Duration"), "一時停止（ポーズ）の所要時間", _xlfn.REGEXTEST(C125, "Fsync Latency"), "Fsync（ディスク同期）のレイテンシ", _xlfn.REGEXTEST(C125, "Free Space Monitoring Absolute"), "空き容量（絶対値）", _xlfn.REGEXTEST(C125, "Free Space Monitoring Percentage"), "空き容量割合（%）", _xlfn.REGEXTEST(C125, "Age Monitoring"), "経過時間の監視", _xlfn.REGEXTEST(C125, "Transactions Monitoring"), "トランザクション数の監視", _xlfn.REGEXTEST(C125, "RPC Latency"), "RPC（遠隔手続き呼出し）のレイテンシ", _xlfn.REGEXTEST(C125, "Directory Failures"), "ディレクトリ障害数", _xlfn.REGEXTEST(C125, "Out-Of-Sync JournalNodes"), "同期ズレが発生しているJournalNode数", _xlfn.REGEXTEST(C125, "Safemode Threshold Percentage"), "セーフモード解除閾値の割合（%）", _xlfn.REGEXTEST(C125, "Kerberos Ticket Renewer Monitoring"), "Kerberosチケット更新プロセスの稼働状態監視", _xlfn.REGEXTEST(C125, "Load Balancer Monitoring"), "ロードバランサーの稼働状態監視", _xlfn.REGEXTEST(C125, "Navigator Audit Failure"), "Cloudera Navigator監査ログの失敗イベント", _xlfn.REGEXTEST(C125, "Schema Registry Server Monitoring"), "Schema Registry Serverの稼働状態監視", _xlfn.REGEXTEST(C125, "SRM Service Monitoring"), "SRMサービスの稼働状態監視", _xlfn.REGEXTEST(C125, "SRM Driver Monitoring"), "SRMドライバーの稼働状態監視", _xlfn.REGEXTEST(C125, "Loggin"), "ログ出力状態・設定監視", _xlfn.REGEXTEST(C125, "Server Monitoring"), "サーバーの稼働状態監視", _xlfn.REGEXTEST(C125, "Server Connection Count"), "サーバーの接続数（コネクション数）", _xlfn.REGEXTEST(C125, "Server Outstanding Requests"), "サーバーの未処理リクエスト数（滞留要求数）", _xlfn.REGEXTEST(C125, "Repository Status"), "リポジトリのステータス状態", _xlfn.REGEXTEST(C125, "Monitor Long Running Task"), "長時間実行タスク（ジョブ）の監視", _xlfn.REGEXTEST(C125, "Token requests per second"), "1秒あたりのトークンリクエスト数（要求レート）", _xlfn.REGEXTEST(C125, "Connection Model Score"), "接続モデルスコア（コネクション品質）", _xlfn.REGEXTEST(C125, "Queue swap"), "キューのスワップ発生状態", _xlfn.REGEXTEST(C125, "NiFi Node Monitoring"), "NiFiノードの稼働状態監視", _xlfn.REGEXTEST(C125, "Host Clock Offset"), "ホストのクロックオフセット（時刻同期のズレ）", _xlfn.REGEXTEST(C125, "Memory Overcommit Validation"), "メモリオーバーコミット設定の検証", _xlfn.REGEXTEST(C125, "Gateway Logging"), "ゲートウェイのログ出力設定", _xlfn.REGEXTEST(C125, "CPU Balance"), "CPU使用率の分散バランス状態", _xlfn.REGEXTEST(C125, "Disk Balance"), "ディスク使用量の分散バランス状態", _xlfn.REGEXTEST(C125, "Network Inbound Balance"), "ネットワークインバウンド（受信）の分散バランス状態", _xlfn.REGEXTEST(C125, "Network Outbound Balance"), "ネットワークアウトバウンド（送信）の分散バランス状態", _xlfn.REGEXTEST(C125, "Replica Count Balance"), "レプリカ数の分散バランス状態", _xlfn.REGEXTEST(C125, "Disk Capacity"), "ディスク総容量の限界・使用容量", _xlfn.REGEXTEST(C125, "CPU Capacity"), "CPU総処理能力の限界・使用量", _xlfn.REGEXTEST(C125, "Network Inbound Capacity"), "ネットワークインバウンド（受信）帯域の限界・使用量", _xlfn.REGEXTEST(C125, "Network Outbound Capacity"), "ネットワークアウトバウンド（送信）帯域の限界・使用量", _xlfn.REGEXTEST(C125, "Leader Replica Count Balance"), "リーダーレプリカ数の分散バランス状態", _xlfn.REGEXTEST(C125, "Host DNS Resolution Duration"), "ホストのDNS名前解決の所要時間", _xlfn.REGEXTEST(C125, "TLS Certificate Expiry"), "TLS証明書の有効期限切れ", _xlfn.REGEXTEST(C125, "Host Entropy"), "ホストのエントロピー（乱数生成能力）の不足", _xlfn.REGEXTEST(C125, "File Descriptor"), "プロセスのファイルディスクリプタ使用率", _xlfn.REGEXTEST(C125, "Unexpected Exits"), "プロセスの異常終了（予期せぬ停止）", _xlfn.REGEXTEST(C125, "Swap Memory Thresholds"), "プロセスのスワップメモリ使用量", _xlfn.REGEXTEST(C125, "Swap Memory Usage Rate"), "スワップメモリ使用量の変化率（増加速度）", _xlfn.REGEXTEST(C125, "Log Directory Free Space.*Absolute"), "ログディレクトリの空き容量（絶対値）", _xlfn.REGEXTEST(C125, "Log Directory Free Space.*Percentage"), "ログディレクトリの空き容量割合（%）", _xlfn.REGEXTEST(C125, "Heap Dump Directory Free Space.*Absolute"), "ヒープダンプディレクトリの空き容量（絶対値）", _xlfn.REGEXTEST(C125, "Heap Dump Directory Free Space.*Percentage"), "ヒープダンプディレクトリの空き容量割合（%）", _xlfn.REGEXTEST(C125, "Data Directory Free Space.*Absolute"), "データディレクトリの空き容量（絶対値）", _xlfn.REGEXTEST(C125, "Data Directory Free Space.*Percentage"), "データディレクトリの空き容量割合（%）", _xlfn.REGEXTEST(C125, "Transaction Log Directory Free Space.*Absolute"), "トランザクションログディレクトリの空き容量（絶対値）", _xlfn.REGEXTEST(C125, "Logging Threshold|Logger Threshold"), "ログ出力レベルの閾値設定", _xlfn.REGEXTEST(C125, "Enable.*Alerts"), "ヘルスアラートの有効化状態", _xlfn.REGEXTEST(C125, "Triggers"), "カスタムアラート条件（トリガー設定）", _xlfn.REGEXTEST(C125, "Healthy Kafka Broker"), "Kafka Brokerの健全ノード割合（稼働率）", _xlfn.REGEXTEST(C125, "Healthy Kafka Connect"), "Kafka Connectの健全ノード割合（稼働率）", _xlfn.REGEXTEST(C125, "Healthy KRaft Controller"), "KRaft Controllerの健全ノード割合（稼働率）", _xlfn.REGEXTEST(C125, "Healthy Knox IDBroker"), "Knox IDBrokerの健全ノード割合（稼働率）", _xlfn.REGEXTEST(C125, "Healthy Knox Gateway"), "Knox Gatewayの健全ノード割合（稼働率）", _xlfn.REGEXTEST(C125, "Healthy ZooKeeper Server"), "ZooKeeper Serverの健全ノード割合（稼働率）", _xlfn.REGEXTEST(C125, "Healthy NodeManager"), "NodeManagerの健全ノード割合（稼働率）", _xlfn.REGEXTEST(C125, "Maximum Latency"), "リクエストの最大レイテンシ（処理遅延）", _xlfn.REGEXTEST(C125, "Garbage Collection Duration"), "Javaのガベージコレクション（GC）の所要時間", _xlfn.REGEXTEST(C125, "Spool Directory Usage"), "Rangerプラグインのスプールディレクトリ使用量", _xlfn.REGEXTEST(C125, "Process Directory Free Space Monitoring Absolute"), "プロセスディレクトリの空き容量（絶対値)", _xlfn.REGEXTEST(C125, "Process Directory Free Space.*Percentage"), "プロセスディレクトリの空き容量割合（%）", _xlfn.REGEXTEST(C125, "Parcel Directory Free Space.*Absolute"), "パーセルディレクトリの空き容量（絶対値）", _xlfn.REGEXTEST(C125, "Parcel Directory Free Space.*Percentage"), "パーセルディレクトリの空き容量割合（%）", _xlfn.REGEXTEST(C125, "Host Network Frame Error Percentage"), "ホストのネットワークフレームエラー割合（%）", _xlfn.REGEXTEST(C125, "Network Interfaces Slow Link Modes"), "ホストのネットワークインターフェースの低速リンクモード検出", _xlfn.REGEXTEST(C125, "Host Memory Swapping"), "ホストのメモリのスワップ発生状態", TRUE, "要手動確認")</f>
        <v>空き容量割合（%）</v>
      </c>
      <c r="H125" s="479" t="s">
        <v>896</v>
      </c>
    </row>
    <row r="126" spans="1:8" ht="33.6">
      <c r="A126" s="514"/>
      <c r="B126" s="473"/>
      <c r="C126" s="471" t="s">
        <v>690</v>
      </c>
      <c r="D126" s="471" t="s">
        <v>691</v>
      </c>
      <c r="E126" s="471"/>
      <c r="F126" s="471" t="s">
        <v>900</v>
      </c>
      <c r="G126" s="471" t="str" cm="1">
        <f t="array" ref="G126">_xlfn.IFS(C126 = "", "", _xlfn.REGEXTEST(C126, "Service Metric Migrator Minimum Consecutive Successful Checks"), "サービスメトリック移行ツールの連続正常チェック最小回数", _xlfn.REGEXTEST(C126, "Rebalancing"), "リバランシング（データ再配置）状態", _xlfn.REGEXTEST(C126, "Temporary Dump Directory"), "一時ダンプディレクトリの監視", _xlfn.REGEXTEST(C126, "Safemode Extension"), "セーフモード延長状態", _xlfn.REGEXTEST(C126, "Client Idle"), "クライアントのアイドル（待機）状態", _xlfn.REGEXTEST(C126, "Available Space Policy Balanced"), "空き容量ポリシーの分散バランス状態", _xlfn.REGEXTEST(C126, "Filesystem Checkpoint Transaction"), "ファイルシステムのチェックポイントトランザクション", _xlfn.REGEXTEST(C126, "Blocks With Corrupt Replicas Monitoring"), "破損レプリカを持つブロックの監視", _xlfn.REGEXTEST(C126, "Missing Block Monitoring"), "消失（ミッシング）ブロックの監視", _xlfn.REGEXTEST(C126, "Under-replicated Block Monitoring"), "レプリカ数不足ブロックの監視", _xlfn.REGEXTEST(C126, "HDFS Free Space Monitoring"), "HDFSの空き容量監視", _xlfn.REGEXTEST(C126, "DataNode Monitoring"), "DataNodeの稼働状態監視", _xlfn.REGEXTEST(C126, "Rules to Extract Events from Log Files"), "ログファイルからのイベント抽出ルール設定", _xlfn.REGEXTEST(C126, "Free Space Monitoring$"), "空き容量監視（一般設定）", _xlfn.REGEXTEST(C126, "Transceivers Usage"), "トランシーバー使用量（データ転送スレッド数）", _xlfn.REGEXTEST(C126, "Volume Failures"), "ボリューム障害（ディスクエラー）数", _xlfn.REGEXTEST(C126, "Block Count"), "ブロック総数", _xlfn.REGEXTEST(C126, "Audit Failure"), "監査（オーディット）ログの失敗イベント", _xlfn.REGEXTEST(C126, "Web Metric Collection Duration"), "Webメトリック収集の所要時間", _xlfn.REGEXTEST(C126, "Pause Duration"), "一時停止（ポーズ）の所要時間", _xlfn.REGEXTEST(C126, "Fsync Latency"), "Fsync（ディスク同期）のレイテンシ", _xlfn.REGEXTEST(C126, "Free Space Monitoring Absolute"), "空き容量（絶対値）", _xlfn.REGEXTEST(C126, "Free Space Monitoring Percentage"), "空き容量割合（%）", _xlfn.REGEXTEST(C126, "Age Monitoring"), "経過時間の監視", _xlfn.REGEXTEST(C126, "Transactions Monitoring"), "トランザクション数の監視", _xlfn.REGEXTEST(C126, "RPC Latency"), "RPC（遠隔手続き呼出し）のレイテンシ", _xlfn.REGEXTEST(C126, "Directory Failures"), "ディレクトリ障害数", _xlfn.REGEXTEST(C126, "Out-Of-Sync JournalNodes"), "同期ズレが発生しているJournalNode数", _xlfn.REGEXTEST(C126, "Safemode Threshold Percentage"), "セーフモード解除閾値の割合（%）", _xlfn.REGEXTEST(C126, "Kerberos Ticket Renewer Monitoring"), "Kerberosチケット更新プロセスの稼働状態監視", _xlfn.REGEXTEST(C126, "Load Balancer Monitoring"), "ロードバランサーの稼働状態監視", _xlfn.REGEXTEST(C126, "Navigator Audit Failure"), "Cloudera Navigator監査ログの失敗イベント", _xlfn.REGEXTEST(C126, "Schema Registry Server Monitoring"), "Schema Registry Serverの稼働状態監視", _xlfn.REGEXTEST(C126, "SRM Service Monitoring"), "SRMサービスの稼働状態監視", _xlfn.REGEXTEST(C126, "SRM Driver Monitoring"), "SRMドライバーの稼働状態監視", _xlfn.REGEXTEST(C126, "Loggin"), "ログ出力状態・設定監視", _xlfn.REGEXTEST(C126, "Server Monitoring"), "サーバーの稼働状態監視", _xlfn.REGEXTEST(C126, "Server Connection Count"), "サーバーの接続数（コネクション数）", _xlfn.REGEXTEST(C126, "Server Outstanding Requests"), "サーバーの未処理リクエスト数（滞留要求数）", _xlfn.REGEXTEST(C126, "Repository Status"), "リポジトリのステータス状態", _xlfn.REGEXTEST(C126, "Monitor Long Running Task"), "長時間実行タスク（ジョブ）の監視", _xlfn.REGEXTEST(C126, "Token requests per second"), "1秒あたりのトークンリクエスト数（要求レート）", _xlfn.REGEXTEST(C126, "Connection Model Score"), "接続モデルスコア（コネクション品質）", _xlfn.REGEXTEST(C126, "Queue swap"), "キューのスワップ発生状態", _xlfn.REGEXTEST(C126, "NiFi Node Monitoring"), "NiFiノードの稼働状態監視", _xlfn.REGEXTEST(C126, "Host Clock Offset"), "ホストのクロックオフセット（時刻同期のズレ）", _xlfn.REGEXTEST(C126, "Memory Overcommit Validation"), "メモリオーバーコミット設定の検証", _xlfn.REGEXTEST(C126, "Gateway Logging"), "ゲートウェイのログ出力設定", _xlfn.REGEXTEST(C126, "CPU Balance"), "CPU使用率の分散バランス状態", _xlfn.REGEXTEST(C126, "Disk Balance"), "ディスク使用量の分散バランス状態", _xlfn.REGEXTEST(C126, "Network Inbound Balance"), "ネットワークインバウンド（受信）の分散バランス状態", _xlfn.REGEXTEST(C126, "Network Outbound Balance"), "ネットワークアウトバウンド（送信）の分散バランス状態", _xlfn.REGEXTEST(C126, "Replica Count Balance"), "レプリカ数の分散バランス状態", _xlfn.REGEXTEST(C126, "Disk Capacity"), "ディスク総容量の限界・使用容量", _xlfn.REGEXTEST(C126, "CPU Capacity"), "CPU総処理能力の限界・使用量", _xlfn.REGEXTEST(C126, "Network Inbound Capacity"), "ネットワークインバウンド（受信）帯域の限界・使用量", _xlfn.REGEXTEST(C126, "Network Outbound Capacity"), "ネットワークアウトバウンド（送信）帯域の限界・使用量", _xlfn.REGEXTEST(C126, "Leader Replica Count Balance"), "リーダーレプリカ数の分散バランス状態", _xlfn.REGEXTEST(C126, "Host DNS Resolution Duration"), "ホストのDNS名前解決の所要時間", _xlfn.REGEXTEST(C126, "TLS Certificate Expiry"), "TLS証明書の有効期限切れ", _xlfn.REGEXTEST(C126, "Host Entropy"), "ホストのエントロピー（乱数生成能力）の不足", _xlfn.REGEXTEST(C126, "File Descriptor"), "プロセスのファイルディスクリプタ使用率", _xlfn.REGEXTEST(C126, "Unexpected Exits"), "プロセスの異常終了（予期せぬ停止）", _xlfn.REGEXTEST(C126, "Swap Memory Thresholds"), "プロセスのスワップメモリ使用量", _xlfn.REGEXTEST(C126, "Swap Memory Usage Rate"), "スワップメモリ使用量の変化率（増加速度）", _xlfn.REGEXTEST(C126, "Log Directory Free Space.*Absolute"), "ログディレクトリの空き容量（絶対値）", _xlfn.REGEXTEST(C126, "Log Directory Free Space.*Percentage"), "ログディレクトリの空き容量割合（%）", _xlfn.REGEXTEST(C126, "Heap Dump Directory Free Space.*Absolute"), "ヒープダンプディレクトリの空き容量（絶対値）", _xlfn.REGEXTEST(C126, "Heap Dump Directory Free Space.*Percentage"), "ヒープダンプディレクトリの空き容量割合（%）", _xlfn.REGEXTEST(C126, "Data Directory Free Space.*Absolute"), "データディレクトリの空き容量（絶対値）", _xlfn.REGEXTEST(C126, "Data Directory Free Space.*Percentage"), "データディレクトリの空き容量割合（%）", _xlfn.REGEXTEST(C126, "Transaction Log Directory Free Space.*Absolute"), "トランザクションログディレクトリの空き容量（絶対値）", _xlfn.REGEXTEST(C126, "Logging Threshold|Logger Threshold"), "ログ出力レベルの閾値設定", _xlfn.REGEXTEST(C126, "Enable.*Alerts"), "ヘルスアラートの有効化状態", _xlfn.REGEXTEST(C126, "Triggers"), "カスタムアラート条件（トリガー設定）", _xlfn.REGEXTEST(C126, "Healthy Kafka Broker"), "Kafka Brokerの健全ノード割合（稼働率）", _xlfn.REGEXTEST(C126, "Healthy Kafka Connect"), "Kafka Connectの健全ノード割合（稼働率）", _xlfn.REGEXTEST(C126, "Healthy KRaft Controller"), "KRaft Controllerの健全ノード割合（稼働率）", _xlfn.REGEXTEST(C126, "Healthy Knox IDBroker"), "Knox IDBrokerの健全ノード割合（稼働率）", _xlfn.REGEXTEST(C126, "Healthy Knox Gateway"), "Knox Gatewayの健全ノード割合（稼働率）", _xlfn.REGEXTEST(C126, "Healthy ZooKeeper Server"), "ZooKeeper Serverの健全ノード割合（稼働率）", _xlfn.REGEXTEST(C126, "Healthy NodeManager"), "NodeManagerの健全ノード割合（稼働率）", _xlfn.REGEXTEST(C126, "Maximum Latency"), "リクエストの最大レイテンシ（処理遅延）", _xlfn.REGEXTEST(C126, "Garbage Collection Duration"), "Javaのガベージコレクション（GC）の所要時間", _xlfn.REGEXTEST(C126, "Spool Directory Usage"), "Rangerプラグインのスプールディレクトリ使用量", _xlfn.REGEXTEST(C126, "Process Directory Free Space Monitoring Absolute"), "プロセスディレクトリの空き容量（絶対値)", _xlfn.REGEXTEST(C126, "Process Directory Free Space.*Percentage"), "プロセスディレクトリの空き容量割合（%）", _xlfn.REGEXTEST(C126, "Parcel Directory Free Space.*Absolute"), "パーセルディレクトリの空き容量（絶対値）", _xlfn.REGEXTEST(C126, "Parcel Directory Free Space.*Percentage"), "パーセルディレクトリの空き容量割合（%）", _xlfn.REGEXTEST(C126, "Host Network Frame Error Percentage"), "ホストのネットワークフレームエラー割合（%）", _xlfn.REGEXTEST(C126, "Network Interfaces Slow Link Modes"), "ホストのネットワークインターフェースの低速リンクモード検出", _xlfn.REGEXTEST(C126, "Host Memory Swapping"), "ホストのメモリのスワップ発生状態", TRUE, "要手動確認")</f>
        <v>空き容量（絶対値）</v>
      </c>
      <c r="H126" s="479" t="s">
        <v>901</v>
      </c>
    </row>
    <row r="127" spans="1:8" ht="33.6">
      <c r="A127" s="514"/>
      <c r="B127" s="473"/>
      <c r="C127" s="471" t="s">
        <v>693</v>
      </c>
      <c r="D127" s="471" t="s">
        <v>694</v>
      </c>
      <c r="E127" s="471"/>
      <c r="F127" s="471" t="s">
        <v>902</v>
      </c>
      <c r="G127" s="471" t="str" cm="1">
        <f t="array" ref="G127">_xlfn.IFS(C127 = "", "", _xlfn.REGEXTEST(C127, "Service Metric Migrator Minimum Consecutive Successful Checks"), "サービスメトリック移行ツールの連続正常チェック最小回数", _xlfn.REGEXTEST(C127, "Rebalancing"), "リバランシング（データ再配置）状態", _xlfn.REGEXTEST(C127, "Temporary Dump Directory"), "一時ダンプディレクトリの監視", _xlfn.REGEXTEST(C127, "Safemode Extension"), "セーフモード延長状態", _xlfn.REGEXTEST(C127, "Client Idle"), "クライアントのアイドル（待機）状態", _xlfn.REGEXTEST(C127, "Available Space Policy Balanced"), "空き容量ポリシーの分散バランス状態", _xlfn.REGEXTEST(C127, "Filesystem Checkpoint Transaction"), "ファイルシステムのチェックポイントトランザクション", _xlfn.REGEXTEST(C127, "Blocks With Corrupt Replicas Monitoring"), "破損レプリカを持つブロックの監視", _xlfn.REGEXTEST(C127, "Missing Block Monitoring"), "消失（ミッシング）ブロックの監視", _xlfn.REGEXTEST(C127, "Under-replicated Block Monitoring"), "レプリカ数不足ブロックの監視", _xlfn.REGEXTEST(C127, "HDFS Free Space Monitoring"), "HDFSの空き容量監視", _xlfn.REGEXTEST(C127, "DataNode Monitoring"), "DataNodeの稼働状態監視", _xlfn.REGEXTEST(C127, "Rules to Extract Events from Log Files"), "ログファイルからのイベント抽出ルール設定", _xlfn.REGEXTEST(C127, "Free Space Monitoring$"), "空き容量監視（一般設定）", _xlfn.REGEXTEST(C127, "Transceivers Usage"), "トランシーバー使用量（データ転送スレッド数）", _xlfn.REGEXTEST(C127, "Volume Failures"), "ボリューム障害（ディスクエラー）数", _xlfn.REGEXTEST(C127, "Block Count"), "ブロック総数", _xlfn.REGEXTEST(C127, "Audit Failure"), "監査（オーディット）ログの失敗イベント", _xlfn.REGEXTEST(C127, "Web Metric Collection Duration"), "Webメトリック収集の所要時間", _xlfn.REGEXTEST(C127, "Pause Duration"), "一時停止（ポーズ）の所要時間", _xlfn.REGEXTEST(C127, "Fsync Latency"), "Fsync（ディスク同期）のレイテンシ", _xlfn.REGEXTEST(C127, "Free Space Monitoring Absolute"), "空き容量（絶対値）", _xlfn.REGEXTEST(C127, "Free Space Monitoring Percentage"), "空き容量割合（%）", _xlfn.REGEXTEST(C127, "Age Monitoring"), "経過時間の監視", _xlfn.REGEXTEST(C127, "Transactions Monitoring"), "トランザクション数の監視", _xlfn.REGEXTEST(C127, "RPC Latency"), "RPC（遠隔手続き呼出し）のレイテンシ", _xlfn.REGEXTEST(C127, "Directory Failures"), "ディレクトリ障害数", _xlfn.REGEXTEST(C127, "Out-Of-Sync JournalNodes"), "同期ズレが発生しているJournalNode数", _xlfn.REGEXTEST(C127, "Safemode Threshold Percentage"), "セーフモード解除閾値の割合（%）", _xlfn.REGEXTEST(C127, "Kerberos Ticket Renewer Monitoring"), "Kerberosチケット更新プロセスの稼働状態監視", _xlfn.REGEXTEST(C127, "Load Balancer Monitoring"), "ロードバランサーの稼働状態監視", _xlfn.REGEXTEST(C127, "Navigator Audit Failure"), "Cloudera Navigator監査ログの失敗イベント", _xlfn.REGEXTEST(C127, "Schema Registry Server Monitoring"), "Schema Registry Serverの稼働状態監視", _xlfn.REGEXTEST(C127, "SRM Service Monitoring"), "SRMサービスの稼働状態監視", _xlfn.REGEXTEST(C127, "SRM Driver Monitoring"), "SRMドライバーの稼働状態監視", _xlfn.REGEXTEST(C127, "Loggin"), "ログ出力状態・設定監視", _xlfn.REGEXTEST(C127, "Server Monitoring"), "サーバーの稼働状態監視", _xlfn.REGEXTEST(C127, "Server Connection Count"), "サーバーの接続数（コネクション数）", _xlfn.REGEXTEST(C127, "Server Outstanding Requests"), "サーバーの未処理リクエスト数（滞留要求数）", _xlfn.REGEXTEST(C127, "Repository Status"), "リポジトリのステータス状態", _xlfn.REGEXTEST(C127, "Monitor Long Running Task"), "長時間実行タスク（ジョブ）の監視", _xlfn.REGEXTEST(C127, "Token requests per second"), "1秒あたりのトークンリクエスト数（要求レート）", _xlfn.REGEXTEST(C127, "Connection Model Score"), "接続モデルスコア（コネクション品質）", _xlfn.REGEXTEST(C127, "Queue swap"), "キューのスワップ発生状態", _xlfn.REGEXTEST(C127, "NiFi Node Monitoring"), "NiFiノードの稼働状態監視", _xlfn.REGEXTEST(C127, "Host Clock Offset"), "ホストのクロックオフセット（時刻同期のズレ）", _xlfn.REGEXTEST(C127, "Memory Overcommit Validation"), "メモリオーバーコミット設定の検証", _xlfn.REGEXTEST(C127, "Gateway Logging"), "ゲートウェイのログ出力設定", _xlfn.REGEXTEST(C127, "CPU Balance"), "CPU使用率の分散バランス状態", _xlfn.REGEXTEST(C127, "Disk Balance"), "ディスク使用量の分散バランス状態", _xlfn.REGEXTEST(C127, "Network Inbound Balance"), "ネットワークインバウンド（受信）の分散バランス状態", _xlfn.REGEXTEST(C127, "Network Outbound Balance"), "ネットワークアウトバウンド（送信）の分散バランス状態", _xlfn.REGEXTEST(C127, "Replica Count Balance"), "レプリカ数の分散バランス状態", _xlfn.REGEXTEST(C127, "Disk Capacity"), "ディスク総容量の限界・使用容量", _xlfn.REGEXTEST(C127, "CPU Capacity"), "CPU総処理能力の限界・使用量", _xlfn.REGEXTEST(C127, "Network Inbound Capacity"), "ネットワークインバウンド（受信）帯域の限界・使用量", _xlfn.REGEXTEST(C127, "Network Outbound Capacity"), "ネットワークアウトバウンド（送信）帯域の限界・使用量", _xlfn.REGEXTEST(C127, "Leader Replica Count Balance"), "リーダーレプリカ数の分散バランス状態", _xlfn.REGEXTEST(C127, "Host DNS Resolution Duration"), "ホストのDNS名前解決の所要時間", _xlfn.REGEXTEST(C127, "TLS Certificate Expiry"), "TLS証明書の有効期限切れ", _xlfn.REGEXTEST(C127, "Host Entropy"), "ホストのエントロピー（乱数生成能力）の不足", _xlfn.REGEXTEST(C127, "File Descriptor"), "プロセスのファイルディスクリプタ使用率", _xlfn.REGEXTEST(C127, "Unexpected Exits"), "プロセスの異常終了（予期せぬ停止）", _xlfn.REGEXTEST(C127, "Swap Memory Thresholds"), "プロセスのスワップメモリ使用量", _xlfn.REGEXTEST(C127, "Swap Memory Usage Rate"), "スワップメモリ使用量の変化率（増加速度）", _xlfn.REGEXTEST(C127, "Log Directory Free Space.*Absolute"), "ログディレクトリの空き容量（絶対値）", _xlfn.REGEXTEST(C127, "Log Directory Free Space.*Percentage"), "ログディレクトリの空き容量割合（%）", _xlfn.REGEXTEST(C127, "Heap Dump Directory Free Space.*Absolute"), "ヒープダンプディレクトリの空き容量（絶対値）", _xlfn.REGEXTEST(C127, "Heap Dump Directory Free Space.*Percentage"), "ヒープダンプディレクトリの空き容量割合（%）", _xlfn.REGEXTEST(C127, "Data Directory Free Space.*Absolute"), "データディレクトリの空き容量（絶対値）", _xlfn.REGEXTEST(C127, "Data Directory Free Space.*Percentage"), "データディレクトリの空き容量割合（%）", _xlfn.REGEXTEST(C127, "Transaction Log Directory Free Space.*Absolute"), "トランザクションログディレクトリの空き容量（絶対値）", _xlfn.REGEXTEST(C127, "Logging Threshold|Logger Threshold"), "ログ出力レベルの閾値設定", _xlfn.REGEXTEST(C127, "Enable.*Alerts"), "ヘルスアラートの有効化状態", _xlfn.REGEXTEST(C127, "Triggers"), "カスタムアラート条件（トリガー設定）", _xlfn.REGEXTEST(C127, "Healthy Kafka Broker"), "Kafka Brokerの健全ノード割合（稼働率）", _xlfn.REGEXTEST(C127, "Healthy Kafka Connect"), "Kafka Connectの健全ノード割合（稼働率）", _xlfn.REGEXTEST(C127, "Healthy KRaft Controller"), "KRaft Controllerの健全ノード割合（稼働率）", _xlfn.REGEXTEST(C127, "Healthy Knox IDBroker"), "Knox IDBrokerの健全ノード割合（稼働率）", _xlfn.REGEXTEST(C127, "Healthy Knox Gateway"), "Knox Gatewayの健全ノード割合（稼働率）", _xlfn.REGEXTEST(C127, "Healthy ZooKeeper Server"), "ZooKeeper Serverの健全ノード割合（稼働率）", _xlfn.REGEXTEST(C127, "Healthy NodeManager"), "NodeManagerの健全ノード割合（稼働率）", _xlfn.REGEXTEST(C127, "Maximum Latency"), "リクエストの最大レイテンシ（処理遅延）", _xlfn.REGEXTEST(C127, "Garbage Collection Duration"), "Javaのガベージコレクション（GC）の所要時間", _xlfn.REGEXTEST(C127, "Spool Directory Usage"), "Rangerプラグインのスプールディレクトリ使用量", _xlfn.REGEXTEST(C127, "Process Directory Free Space Monitoring Absolute"), "プロセスディレクトリの空き容量（絶対値)", _xlfn.REGEXTEST(C127, "Process Directory Free Space.*Percentage"), "プロセスディレクトリの空き容量割合（%）", _xlfn.REGEXTEST(C127, "Parcel Directory Free Space.*Absolute"), "パーセルディレクトリの空き容量（絶対値）", _xlfn.REGEXTEST(C127, "Parcel Directory Free Space.*Percentage"), "パーセルディレクトリの空き容量割合（%）", _xlfn.REGEXTEST(C127, "Host Network Frame Error Percentage"), "ホストのネットワークフレームエラー割合（%）", _xlfn.REGEXTEST(C127, "Network Interfaces Slow Link Modes"), "ホストのネットワークインターフェースの低速リンクモード検出", _xlfn.REGEXTEST(C127, "Host Memory Swapping"), "ホストのメモリのスワップ発生状態", TRUE, "要手動確認")</f>
        <v>空き容量割合（%）</v>
      </c>
      <c r="H127" s="479" t="s">
        <v>896</v>
      </c>
    </row>
    <row r="128" spans="1:8" ht="33.6">
      <c r="A128" s="514"/>
      <c r="B128" s="473"/>
      <c r="C128" s="471" t="s">
        <v>695</v>
      </c>
      <c r="D128" s="471" t="s">
        <v>696</v>
      </c>
      <c r="E128" s="471"/>
      <c r="F128" s="471" t="s">
        <v>903</v>
      </c>
      <c r="G128" s="471" t="str" cm="1">
        <f t="array" ref="G128">_xlfn.IFS(C128 = "", "", _xlfn.REGEXTEST(C128, "Service Metric Migrator Minimum Consecutive Successful Checks"), "サービスメトリック移行ツールの連続正常チェック最小回数", _xlfn.REGEXTEST(C128, "Rebalancing"), "リバランシング（データ再配置）状態", _xlfn.REGEXTEST(C128, "Temporary Dump Directory"), "一時ダンプディレクトリの監視", _xlfn.REGEXTEST(C128, "Safemode Extension"), "セーフモード延長状態", _xlfn.REGEXTEST(C128, "Client Idle"), "クライアントのアイドル（待機）状態", _xlfn.REGEXTEST(C128, "Available Space Policy Balanced"), "空き容量ポリシーの分散バランス状態", _xlfn.REGEXTEST(C128, "Filesystem Checkpoint Transaction"), "ファイルシステムのチェックポイントトランザクション", _xlfn.REGEXTEST(C128, "Blocks With Corrupt Replicas Monitoring"), "破損レプリカを持つブロックの監視", _xlfn.REGEXTEST(C128, "Missing Block Monitoring"), "消失（ミッシング）ブロックの監視", _xlfn.REGEXTEST(C128, "Under-replicated Block Monitoring"), "レプリカ数不足ブロックの監視", _xlfn.REGEXTEST(C128, "HDFS Free Space Monitoring"), "HDFSの空き容量監視", _xlfn.REGEXTEST(C128, "DataNode Monitoring"), "DataNodeの稼働状態監視", _xlfn.REGEXTEST(C128, "Rules to Extract Events from Log Files"), "ログファイルからのイベント抽出ルール設定", _xlfn.REGEXTEST(C128, "Free Space Monitoring$"), "空き容量監視（一般設定）", _xlfn.REGEXTEST(C128, "Transceivers Usage"), "トランシーバー使用量（データ転送スレッド数）", _xlfn.REGEXTEST(C128, "Volume Failures"), "ボリューム障害（ディスクエラー）数", _xlfn.REGEXTEST(C128, "Block Count"), "ブロック総数", _xlfn.REGEXTEST(C128, "Audit Failure"), "監査（オーディット）ログの失敗イベント", _xlfn.REGEXTEST(C128, "Web Metric Collection Duration"), "Webメトリック収集の所要時間", _xlfn.REGEXTEST(C128, "Pause Duration"), "一時停止（ポーズ）の所要時間", _xlfn.REGEXTEST(C128, "Fsync Latency"), "Fsync（ディスク同期）のレイテンシ", _xlfn.REGEXTEST(C128, "Free Space Monitoring Absolute"), "空き容量（絶対値）", _xlfn.REGEXTEST(C128, "Free Space Monitoring Percentage"), "空き容量割合（%）", _xlfn.REGEXTEST(C128, "Age Monitoring"), "経過時間の監視", _xlfn.REGEXTEST(C128, "Transactions Monitoring"), "トランザクション数の監視", _xlfn.REGEXTEST(C128, "RPC Latency"), "RPC（遠隔手続き呼出し）のレイテンシ", _xlfn.REGEXTEST(C128, "Directory Failures"), "ディレクトリ障害数", _xlfn.REGEXTEST(C128, "Out-Of-Sync JournalNodes"), "同期ズレが発生しているJournalNode数", _xlfn.REGEXTEST(C128, "Safemode Threshold Percentage"), "セーフモード解除閾値の割合（%）", _xlfn.REGEXTEST(C128, "Kerberos Ticket Renewer Monitoring"), "Kerberosチケット更新プロセスの稼働状態監視", _xlfn.REGEXTEST(C128, "Load Balancer Monitoring"), "ロードバランサーの稼働状態監視", _xlfn.REGEXTEST(C128, "Navigator Audit Failure"), "Cloudera Navigator監査ログの失敗イベント", _xlfn.REGEXTEST(C128, "Schema Registry Server Monitoring"), "Schema Registry Serverの稼働状態監視", _xlfn.REGEXTEST(C128, "SRM Service Monitoring"), "SRMサービスの稼働状態監視", _xlfn.REGEXTEST(C128, "SRM Driver Monitoring"), "SRMドライバーの稼働状態監視", _xlfn.REGEXTEST(C128, "Loggin"), "ログ出力状態・設定監視", _xlfn.REGEXTEST(C128, "Server Monitoring"), "サーバーの稼働状態監視", _xlfn.REGEXTEST(C128, "Server Connection Count"), "サーバーの接続数（コネクション数）", _xlfn.REGEXTEST(C128, "Server Outstanding Requests"), "サーバーの未処理リクエスト数（滞留要求数）", _xlfn.REGEXTEST(C128, "Repository Status"), "リポジトリのステータス状態", _xlfn.REGEXTEST(C128, "Monitor Long Running Task"), "長時間実行タスク（ジョブ）の監視", _xlfn.REGEXTEST(C128, "Token requests per second"), "1秒あたりのトークンリクエスト数（要求レート）", _xlfn.REGEXTEST(C128, "Connection Model Score"), "接続モデルスコア（コネクション品質）", _xlfn.REGEXTEST(C128, "Queue swap"), "キューのスワップ発生状態", _xlfn.REGEXTEST(C128, "NiFi Node Monitoring"), "NiFiノードの稼働状態監視", _xlfn.REGEXTEST(C128, "Host Clock Offset"), "ホストのクロックオフセット（時刻同期のズレ）", _xlfn.REGEXTEST(C128, "Memory Overcommit Validation"), "メモリオーバーコミット設定の検証", _xlfn.REGEXTEST(C128, "Gateway Logging"), "ゲートウェイのログ出力設定", _xlfn.REGEXTEST(C128, "CPU Balance"), "CPU使用率の分散バランス状態", _xlfn.REGEXTEST(C128, "Disk Balance"), "ディスク使用量の分散バランス状態", _xlfn.REGEXTEST(C128, "Network Inbound Balance"), "ネットワークインバウンド（受信）の分散バランス状態", _xlfn.REGEXTEST(C128, "Network Outbound Balance"), "ネットワークアウトバウンド（送信）の分散バランス状態", _xlfn.REGEXTEST(C128, "Replica Count Balance"), "レプリカ数の分散バランス状態", _xlfn.REGEXTEST(C128, "Disk Capacity"), "ディスク総容量の限界・使用容量", _xlfn.REGEXTEST(C128, "CPU Capacity"), "CPU総処理能力の限界・使用量", _xlfn.REGEXTEST(C128, "Network Inbound Capacity"), "ネットワークインバウンド（受信）帯域の限界・使用量", _xlfn.REGEXTEST(C128, "Network Outbound Capacity"), "ネットワークアウトバウンド（送信）帯域の限界・使用量", _xlfn.REGEXTEST(C128, "Leader Replica Count Balance"), "リーダーレプリカ数の分散バランス状態", _xlfn.REGEXTEST(C128, "Host DNS Resolution Duration"), "ホストのDNS名前解決の所要時間", _xlfn.REGEXTEST(C128, "TLS Certificate Expiry"), "TLS証明書の有効期限切れ", _xlfn.REGEXTEST(C128, "Host Entropy"), "ホストのエントロピー（乱数生成能力）の不足", _xlfn.REGEXTEST(C128, "File Descriptor"), "プロセスのファイルディスクリプタ使用率", _xlfn.REGEXTEST(C128, "Unexpected Exits"), "プロセスの異常終了（予期せぬ停止）", _xlfn.REGEXTEST(C128, "Swap Memory Thresholds"), "プロセスのスワップメモリ使用量", _xlfn.REGEXTEST(C128, "Swap Memory Usage Rate"), "スワップメモリ使用量の変化率（増加速度）", _xlfn.REGEXTEST(C128, "Log Directory Free Space.*Absolute"), "ログディレクトリの空き容量（絶対値）", _xlfn.REGEXTEST(C128, "Log Directory Free Space.*Percentage"), "ログディレクトリの空き容量割合（%）", _xlfn.REGEXTEST(C128, "Heap Dump Directory Free Space.*Absolute"), "ヒープダンプディレクトリの空き容量（絶対値）", _xlfn.REGEXTEST(C128, "Heap Dump Directory Free Space.*Percentage"), "ヒープダンプディレクトリの空き容量割合（%）", _xlfn.REGEXTEST(C128, "Data Directory Free Space.*Absolute"), "データディレクトリの空き容量（絶対値）", _xlfn.REGEXTEST(C128, "Data Directory Free Space.*Percentage"), "データディレクトリの空き容量割合（%）", _xlfn.REGEXTEST(C128, "Transaction Log Directory Free Space.*Absolute"), "トランザクションログディレクトリの空き容量（絶対値）", _xlfn.REGEXTEST(C128, "Logging Threshold|Logger Threshold"), "ログ出力レベルの閾値設定", _xlfn.REGEXTEST(C128, "Enable.*Alerts"), "ヘルスアラートの有効化状態", _xlfn.REGEXTEST(C128, "Triggers"), "カスタムアラート条件（トリガー設定）", _xlfn.REGEXTEST(C128, "Healthy Kafka Broker"), "Kafka Brokerの健全ノード割合（稼働率）", _xlfn.REGEXTEST(C128, "Healthy Kafka Connect"), "Kafka Connectの健全ノード割合（稼働率）", _xlfn.REGEXTEST(C128, "Healthy KRaft Controller"), "KRaft Controllerの健全ノード割合（稼働率）", _xlfn.REGEXTEST(C128, "Healthy Knox IDBroker"), "Knox IDBrokerの健全ノード割合（稼働率）", _xlfn.REGEXTEST(C128, "Healthy Knox Gateway"), "Knox Gatewayの健全ノード割合（稼働率）", _xlfn.REGEXTEST(C128, "Healthy ZooKeeper Server"), "ZooKeeper Serverの健全ノード割合（稼働率）", _xlfn.REGEXTEST(C128, "Healthy NodeManager"), "NodeManagerの健全ノード割合（稼働率）", _xlfn.REGEXTEST(C128, "Maximum Latency"), "リクエストの最大レイテンシ（処理遅延）", _xlfn.REGEXTEST(C128, "Garbage Collection Duration"), "Javaのガベージコレクション（GC）の所要時間", _xlfn.REGEXTEST(C128, "Spool Directory Usage"), "Rangerプラグインのスプールディレクトリ使用量", _xlfn.REGEXTEST(C128, "Process Directory Free Space Monitoring Absolute"), "プロセスディレクトリの空き容量（絶対値)", _xlfn.REGEXTEST(C128, "Process Directory Free Space.*Percentage"), "プロセスディレクトリの空き容量割合（%）", _xlfn.REGEXTEST(C128, "Parcel Directory Free Space.*Absolute"), "パーセルディレクトリの空き容量（絶対値）", _xlfn.REGEXTEST(C128, "Parcel Directory Free Space.*Percentage"), "パーセルディレクトリの空き容量割合（%）", _xlfn.REGEXTEST(C128, "Host Network Frame Error Percentage"), "ホストのネットワークフレームエラー割合（%）", _xlfn.REGEXTEST(C128, "Network Interfaces Slow Link Modes"), "ホストのネットワークインターフェースの低速リンクモード検出", _xlfn.REGEXTEST(C128, "Host Memory Swapping"), "ホストのメモリのスワップ発生状態", TRUE, "要手動確認")</f>
        <v>ホストのネットワークフレームエラー割合（%）</v>
      </c>
      <c r="H128" s="479" t="s">
        <v>904</v>
      </c>
    </row>
    <row r="129" spans="1:8" ht="33.6">
      <c r="A129" s="514"/>
      <c r="B129" s="473"/>
      <c r="C129" s="471" t="s">
        <v>698</v>
      </c>
      <c r="D129" s="471" t="s">
        <v>699</v>
      </c>
      <c r="E129" s="471"/>
      <c r="F129" s="471" t="s">
        <v>905</v>
      </c>
      <c r="G129" s="471" t="str" cm="1">
        <f t="array" ref="G129">_xlfn.IFS(C129 = "", "", _xlfn.REGEXTEST(C129, "Service Metric Migrator Minimum Consecutive Successful Checks"), "サービスメトリック移行ツールの連続正常チェック最小回数", _xlfn.REGEXTEST(C129, "Rebalancing"), "リバランシング（データ再配置）状態", _xlfn.REGEXTEST(C129, "Temporary Dump Directory"), "一時ダンプディレクトリの監視", _xlfn.REGEXTEST(C129, "Safemode Extension"), "セーフモード延長状態", _xlfn.REGEXTEST(C129, "Client Idle"), "クライアントのアイドル（待機）状態", _xlfn.REGEXTEST(C129, "Available Space Policy Balanced"), "空き容量ポリシーの分散バランス状態", _xlfn.REGEXTEST(C129, "Filesystem Checkpoint Transaction"), "ファイルシステムのチェックポイントトランザクション", _xlfn.REGEXTEST(C129, "Blocks With Corrupt Replicas Monitoring"), "破損レプリカを持つブロックの監視", _xlfn.REGEXTEST(C129, "Missing Block Monitoring"), "消失（ミッシング）ブロックの監視", _xlfn.REGEXTEST(C129, "Under-replicated Block Monitoring"), "レプリカ数不足ブロックの監視", _xlfn.REGEXTEST(C129, "HDFS Free Space Monitoring"), "HDFSの空き容量監視", _xlfn.REGEXTEST(C129, "DataNode Monitoring"), "DataNodeの稼働状態監視", _xlfn.REGEXTEST(C129, "Rules to Extract Events from Log Files"), "ログファイルからのイベント抽出ルール設定", _xlfn.REGEXTEST(C129, "Free Space Monitoring$"), "空き容量監視（一般設定）", _xlfn.REGEXTEST(C129, "Transceivers Usage"), "トランシーバー使用量（データ転送スレッド数）", _xlfn.REGEXTEST(C129, "Volume Failures"), "ボリューム障害（ディスクエラー）数", _xlfn.REGEXTEST(C129, "Block Count"), "ブロック総数", _xlfn.REGEXTEST(C129, "Audit Failure"), "監査（オーディット）ログの失敗イベント", _xlfn.REGEXTEST(C129, "Web Metric Collection Duration"), "Webメトリック収集の所要時間", _xlfn.REGEXTEST(C129, "Pause Duration"), "一時停止（ポーズ）の所要時間", _xlfn.REGEXTEST(C129, "Fsync Latency"), "Fsync（ディスク同期）のレイテンシ", _xlfn.REGEXTEST(C129, "Free Space Monitoring Absolute"), "空き容量（絶対値）", _xlfn.REGEXTEST(C129, "Free Space Monitoring Percentage"), "空き容量割合（%）", _xlfn.REGEXTEST(C129, "Age Monitoring"), "経過時間の監視", _xlfn.REGEXTEST(C129, "Transactions Monitoring"), "トランザクション数の監視", _xlfn.REGEXTEST(C129, "RPC Latency"), "RPC（遠隔手続き呼出し）のレイテンシ", _xlfn.REGEXTEST(C129, "Directory Failures"), "ディレクトリ障害数", _xlfn.REGEXTEST(C129, "Out-Of-Sync JournalNodes"), "同期ズレが発生しているJournalNode数", _xlfn.REGEXTEST(C129, "Safemode Threshold Percentage"), "セーフモード解除閾値の割合（%）", _xlfn.REGEXTEST(C129, "Kerberos Ticket Renewer Monitoring"), "Kerberosチケット更新プロセスの稼働状態監視", _xlfn.REGEXTEST(C129, "Load Balancer Monitoring"), "ロードバランサーの稼働状態監視", _xlfn.REGEXTEST(C129, "Navigator Audit Failure"), "Cloudera Navigator監査ログの失敗イベント", _xlfn.REGEXTEST(C129, "Schema Registry Server Monitoring"), "Schema Registry Serverの稼働状態監視", _xlfn.REGEXTEST(C129, "SRM Service Monitoring"), "SRMサービスの稼働状態監視", _xlfn.REGEXTEST(C129, "SRM Driver Monitoring"), "SRMドライバーの稼働状態監視", _xlfn.REGEXTEST(C129, "Loggin"), "ログ出力状態・設定監視", _xlfn.REGEXTEST(C129, "Server Monitoring"), "サーバーの稼働状態監視", _xlfn.REGEXTEST(C129, "Server Connection Count"), "サーバーの接続数（コネクション数）", _xlfn.REGEXTEST(C129, "Server Outstanding Requests"), "サーバーの未処理リクエスト数（滞留要求数）", _xlfn.REGEXTEST(C129, "Repository Status"), "リポジトリのステータス状態", _xlfn.REGEXTEST(C129, "Monitor Long Running Task"), "長時間実行タスク（ジョブ）の監視", _xlfn.REGEXTEST(C129, "Token requests per second"), "1秒あたりのトークンリクエスト数（要求レート）", _xlfn.REGEXTEST(C129, "Connection Model Score"), "接続モデルスコア（コネクション品質）", _xlfn.REGEXTEST(C129, "Queue swap"), "キューのスワップ発生状態", _xlfn.REGEXTEST(C129, "NiFi Node Monitoring"), "NiFiノードの稼働状態監視", _xlfn.REGEXTEST(C129, "Host Clock Offset"), "ホストのクロックオフセット（時刻同期のズレ）", _xlfn.REGEXTEST(C129, "Memory Overcommit Validation"), "メモリオーバーコミット設定の検証", _xlfn.REGEXTEST(C129, "Gateway Logging"), "ゲートウェイのログ出力設定", _xlfn.REGEXTEST(C129, "CPU Balance"), "CPU使用率の分散バランス状態", _xlfn.REGEXTEST(C129, "Disk Balance"), "ディスク使用量の分散バランス状態", _xlfn.REGEXTEST(C129, "Network Inbound Balance"), "ネットワークインバウンド（受信）の分散バランス状態", _xlfn.REGEXTEST(C129, "Network Outbound Balance"), "ネットワークアウトバウンド（送信）の分散バランス状態", _xlfn.REGEXTEST(C129, "Replica Count Balance"), "レプリカ数の分散バランス状態", _xlfn.REGEXTEST(C129, "Disk Capacity"), "ディスク総容量の限界・使用容量", _xlfn.REGEXTEST(C129, "CPU Capacity"), "CPU総処理能力の限界・使用量", _xlfn.REGEXTEST(C129, "Network Inbound Capacity"), "ネットワークインバウンド（受信）帯域の限界・使用量", _xlfn.REGEXTEST(C129, "Network Outbound Capacity"), "ネットワークアウトバウンド（送信）帯域の限界・使用量", _xlfn.REGEXTEST(C129, "Leader Replica Count Balance"), "リーダーレプリカ数の分散バランス状態", _xlfn.REGEXTEST(C129, "Host DNS Resolution Duration"), "ホストのDNS名前解決の所要時間", _xlfn.REGEXTEST(C129, "TLS Certificate Expiry"), "TLS証明書の有効期限切れ", _xlfn.REGEXTEST(C129, "Host Entropy"), "ホストのエントロピー（乱数生成能力）の不足", _xlfn.REGEXTEST(C129, "File Descriptor"), "プロセスのファイルディスクリプタ使用率", _xlfn.REGEXTEST(C129, "Unexpected Exits"), "プロセスの異常終了（予期せぬ停止）", _xlfn.REGEXTEST(C129, "Swap Memory Thresholds"), "プロセスのスワップメモリ使用量", _xlfn.REGEXTEST(C129, "Swap Memory Usage Rate"), "スワップメモリ使用量の変化率（増加速度）", _xlfn.REGEXTEST(C129, "Log Directory Free Space.*Absolute"), "ログディレクトリの空き容量（絶対値）", _xlfn.REGEXTEST(C129, "Log Directory Free Space.*Percentage"), "ログディレクトリの空き容量割合（%）", _xlfn.REGEXTEST(C129, "Heap Dump Directory Free Space.*Absolute"), "ヒープダンプディレクトリの空き容量（絶対値）", _xlfn.REGEXTEST(C129, "Heap Dump Directory Free Space.*Percentage"), "ヒープダンプディレクトリの空き容量割合（%）", _xlfn.REGEXTEST(C129, "Data Directory Free Space.*Absolute"), "データディレクトリの空き容量（絶対値）", _xlfn.REGEXTEST(C129, "Data Directory Free Space.*Percentage"), "データディレクトリの空き容量割合（%）", _xlfn.REGEXTEST(C129, "Transaction Log Directory Free Space.*Absolute"), "トランザクションログディレクトリの空き容量（絶対値）", _xlfn.REGEXTEST(C129, "Logging Threshold|Logger Threshold"), "ログ出力レベルの閾値設定", _xlfn.REGEXTEST(C129, "Enable.*Alerts"), "ヘルスアラートの有効化状態", _xlfn.REGEXTEST(C129, "Triggers"), "カスタムアラート条件（トリガー設定）", _xlfn.REGEXTEST(C129, "Healthy Kafka Broker"), "Kafka Brokerの健全ノード割合（稼働率）", _xlfn.REGEXTEST(C129, "Healthy Kafka Connect"), "Kafka Connectの健全ノード割合（稼働率）", _xlfn.REGEXTEST(C129, "Healthy KRaft Controller"), "KRaft Controllerの健全ノード割合（稼働率）", _xlfn.REGEXTEST(C129, "Healthy Knox IDBroker"), "Knox IDBrokerの健全ノード割合（稼働率）", _xlfn.REGEXTEST(C129, "Healthy Knox Gateway"), "Knox Gatewayの健全ノード割合（稼働率）", _xlfn.REGEXTEST(C129, "Healthy ZooKeeper Server"), "ZooKeeper Serverの健全ノード割合（稼働率）", _xlfn.REGEXTEST(C129, "Healthy NodeManager"), "NodeManagerの健全ノード割合（稼働率）", _xlfn.REGEXTEST(C129, "Maximum Latency"), "リクエストの最大レイテンシ（処理遅延）", _xlfn.REGEXTEST(C129, "Garbage Collection Duration"), "Javaのガベージコレクション（GC）の所要時間", _xlfn.REGEXTEST(C129, "Spool Directory Usage"), "Rangerプラグインのスプールディレクトリ使用量", _xlfn.REGEXTEST(C129, "Process Directory Free Space Monitoring Absolute"), "プロセスディレクトリの空き容量（絶対値)", _xlfn.REGEXTEST(C129, "Process Directory Free Space.*Percentage"), "プロセスディレクトリの空き容量割合（%）", _xlfn.REGEXTEST(C129, "Parcel Directory Free Space.*Absolute"), "パーセルディレクトリの空き容量（絶対値）", _xlfn.REGEXTEST(C129, "Parcel Directory Free Space.*Percentage"), "パーセルディレクトリの空き容量割合（%）", _xlfn.REGEXTEST(C129, "Host Network Frame Error Percentage"), "ホストのネットワークフレームエラー割合（%）", _xlfn.REGEXTEST(C129, "Network Interfaces Slow Link Modes"), "ホストのネットワークインターフェースの低速リンクモード検出", _xlfn.REGEXTEST(C129, "Host Memory Swapping"), "ホストのメモリのスワップ発生状態", TRUE, "要手動確認")</f>
        <v>ホストのネットワークインターフェースの低速リンクモード検出</v>
      </c>
      <c r="H129" s="479" t="s">
        <v>906</v>
      </c>
    </row>
    <row r="130" spans="1:8" ht="33.6">
      <c r="A130" s="514"/>
      <c r="B130" s="473"/>
      <c r="C130" s="471" t="s">
        <v>701</v>
      </c>
      <c r="D130" s="471" t="s">
        <v>702</v>
      </c>
      <c r="E130" s="471"/>
      <c r="F130" s="471" t="s">
        <v>907</v>
      </c>
      <c r="G130" s="471" t="str" cm="1">
        <f t="array" ref="G130">_xlfn.IFS(C130 = "", "", _xlfn.REGEXTEST(C130, "Service Metric Migrator Minimum Consecutive Successful Checks"), "サービスメトリック移行ツールの連続正常チェック最小回数", _xlfn.REGEXTEST(C130, "Rebalancing"), "リバランシング（データ再配置）状態", _xlfn.REGEXTEST(C130, "Temporary Dump Directory"), "一時ダンプディレクトリの監視", _xlfn.REGEXTEST(C130, "Safemode Extension"), "セーフモード延長状態", _xlfn.REGEXTEST(C130, "Client Idle"), "クライアントのアイドル（待機）状態", _xlfn.REGEXTEST(C130, "Available Space Policy Balanced"), "空き容量ポリシーの分散バランス状態", _xlfn.REGEXTEST(C130, "Filesystem Checkpoint Transaction"), "ファイルシステムのチェックポイントトランザクション", _xlfn.REGEXTEST(C130, "Blocks With Corrupt Replicas Monitoring"), "破損レプリカを持つブロックの監視", _xlfn.REGEXTEST(C130, "Missing Block Monitoring"), "消失（ミッシング）ブロックの監視", _xlfn.REGEXTEST(C130, "Under-replicated Block Monitoring"), "レプリカ数不足ブロックの監視", _xlfn.REGEXTEST(C130, "HDFS Free Space Monitoring"), "HDFSの空き容量監視", _xlfn.REGEXTEST(C130, "DataNode Monitoring"), "DataNodeの稼働状態監視", _xlfn.REGEXTEST(C130, "Rules to Extract Events from Log Files"), "ログファイルからのイベント抽出ルール設定", _xlfn.REGEXTEST(C130, "Free Space Monitoring$"), "空き容量監視（一般設定）", _xlfn.REGEXTEST(C130, "Transceivers Usage"), "トランシーバー使用量（データ転送スレッド数）", _xlfn.REGEXTEST(C130, "Volume Failures"), "ボリューム障害（ディスクエラー）数", _xlfn.REGEXTEST(C130, "Block Count"), "ブロック総数", _xlfn.REGEXTEST(C130, "Audit Failure"), "監査（オーディット）ログの失敗イベント", _xlfn.REGEXTEST(C130, "Web Metric Collection Duration"), "Webメトリック収集の所要時間", _xlfn.REGEXTEST(C130, "Pause Duration"), "一時停止（ポーズ）の所要時間", _xlfn.REGEXTEST(C130, "Fsync Latency"), "Fsync（ディスク同期）のレイテンシ", _xlfn.REGEXTEST(C130, "Free Space Monitoring Absolute"), "空き容量（絶対値）", _xlfn.REGEXTEST(C130, "Free Space Monitoring Percentage"), "空き容量割合（%）", _xlfn.REGEXTEST(C130, "Age Monitoring"), "経過時間の監視", _xlfn.REGEXTEST(C130, "Transactions Monitoring"), "トランザクション数の監視", _xlfn.REGEXTEST(C130, "RPC Latency"), "RPC（遠隔手続き呼出し）のレイテンシ", _xlfn.REGEXTEST(C130, "Directory Failures"), "ディレクトリ障害数", _xlfn.REGEXTEST(C130, "Out-Of-Sync JournalNodes"), "同期ズレが発生しているJournalNode数", _xlfn.REGEXTEST(C130, "Safemode Threshold Percentage"), "セーフモード解除閾値の割合（%）", _xlfn.REGEXTEST(C130, "Kerberos Ticket Renewer Monitoring"), "Kerberosチケット更新プロセスの稼働状態監視", _xlfn.REGEXTEST(C130, "Load Balancer Monitoring"), "ロードバランサーの稼働状態監視", _xlfn.REGEXTEST(C130, "Navigator Audit Failure"), "Cloudera Navigator監査ログの失敗イベント", _xlfn.REGEXTEST(C130, "Schema Registry Server Monitoring"), "Schema Registry Serverの稼働状態監視", _xlfn.REGEXTEST(C130, "SRM Service Monitoring"), "SRMサービスの稼働状態監視", _xlfn.REGEXTEST(C130, "SRM Driver Monitoring"), "SRMドライバーの稼働状態監視", _xlfn.REGEXTEST(C130, "Loggin"), "ログ出力状態・設定監視", _xlfn.REGEXTEST(C130, "Server Monitoring"), "サーバーの稼働状態監視", _xlfn.REGEXTEST(C130, "Server Connection Count"), "サーバーの接続数（コネクション数）", _xlfn.REGEXTEST(C130, "Server Outstanding Requests"), "サーバーの未処理リクエスト数（滞留要求数）", _xlfn.REGEXTEST(C130, "Repository Status"), "リポジトリのステータス状態", _xlfn.REGEXTEST(C130, "Monitor Long Running Task"), "長時間実行タスク（ジョブ）の監視", _xlfn.REGEXTEST(C130, "Token requests per second"), "1秒あたりのトークンリクエスト数（要求レート）", _xlfn.REGEXTEST(C130, "Connection Model Score"), "接続モデルスコア（コネクション品質）", _xlfn.REGEXTEST(C130, "Queue swap"), "キューのスワップ発生状態", _xlfn.REGEXTEST(C130, "NiFi Node Monitoring"), "NiFiノードの稼働状態監視", _xlfn.REGEXTEST(C130, "Host Clock Offset"), "ホストのクロックオフセット（時刻同期のズレ）", _xlfn.REGEXTEST(C130, "Memory Overcommit Validation"), "メモリオーバーコミット設定の検証", _xlfn.REGEXTEST(C130, "Gateway Logging"), "ゲートウェイのログ出力設定", _xlfn.REGEXTEST(C130, "CPU Balance"), "CPU使用率の分散バランス状態", _xlfn.REGEXTEST(C130, "Disk Balance"), "ディスク使用量の分散バランス状態", _xlfn.REGEXTEST(C130, "Network Inbound Balance"), "ネットワークインバウンド（受信）の分散バランス状態", _xlfn.REGEXTEST(C130, "Network Outbound Balance"), "ネットワークアウトバウンド（送信）の分散バランス状態", _xlfn.REGEXTEST(C130, "Replica Count Balance"), "レプリカ数の分散バランス状態", _xlfn.REGEXTEST(C130, "Disk Capacity"), "ディスク総容量の限界・使用容量", _xlfn.REGEXTEST(C130, "CPU Capacity"), "CPU総処理能力の限界・使用量", _xlfn.REGEXTEST(C130, "Network Inbound Capacity"), "ネットワークインバウンド（受信）帯域の限界・使用量", _xlfn.REGEXTEST(C130, "Network Outbound Capacity"), "ネットワークアウトバウンド（送信）帯域の限界・使用量", _xlfn.REGEXTEST(C130, "Leader Replica Count Balance"), "リーダーレプリカ数の分散バランス状態", _xlfn.REGEXTEST(C130, "Host DNS Resolution Duration"), "ホストのDNS名前解決の所要時間", _xlfn.REGEXTEST(C130, "TLS Certificate Expiry"), "TLS証明書の有効期限切れ", _xlfn.REGEXTEST(C130, "Host Entropy"), "ホストのエントロピー（乱数生成能力）の不足", _xlfn.REGEXTEST(C130, "File Descriptor"), "プロセスのファイルディスクリプタ使用率", _xlfn.REGEXTEST(C130, "Unexpected Exits"), "プロセスの異常終了（予期せぬ停止）", _xlfn.REGEXTEST(C130, "Swap Memory Thresholds"), "プロセスのスワップメモリ使用量", _xlfn.REGEXTEST(C130, "Swap Memory Usage Rate"), "スワップメモリ使用量の変化率（増加速度）", _xlfn.REGEXTEST(C130, "Log Directory Free Space.*Absolute"), "ログディレクトリの空き容量（絶対値）", _xlfn.REGEXTEST(C130, "Log Directory Free Space.*Percentage"), "ログディレクトリの空き容量割合（%）", _xlfn.REGEXTEST(C130, "Heap Dump Directory Free Space.*Absolute"), "ヒープダンプディレクトリの空き容量（絶対値）", _xlfn.REGEXTEST(C130, "Heap Dump Directory Free Space.*Percentage"), "ヒープダンプディレクトリの空き容量割合（%）", _xlfn.REGEXTEST(C130, "Data Directory Free Space.*Absolute"), "データディレクトリの空き容量（絶対値）", _xlfn.REGEXTEST(C130, "Data Directory Free Space.*Percentage"), "データディレクトリの空き容量割合（%）", _xlfn.REGEXTEST(C130, "Transaction Log Directory Free Space.*Absolute"), "トランザクションログディレクトリの空き容量（絶対値）", _xlfn.REGEXTEST(C130, "Logging Threshold|Logger Threshold"), "ログ出力レベルの閾値設定", _xlfn.REGEXTEST(C130, "Enable.*Alerts"), "ヘルスアラートの有効化状態", _xlfn.REGEXTEST(C130, "Triggers"), "カスタムアラート条件（トリガー設定）", _xlfn.REGEXTEST(C130, "Healthy Kafka Broker"), "Kafka Brokerの健全ノード割合（稼働率）", _xlfn.REGEXTEST(C130, "Healthy Kafka Connect"), "Kafka Connectの健全ノード割合（稼働率）", _xlfn.REGEXTEST(C130, "Healthy KRaft Controller"), "KRaft Controllerの健全ノード割合（稼働率）", _xlfn.REGEXTEST(C130, "Healthy Knox IDBroker"), "Knox IDBrokerの健全ノード割合（稼働率）", _xlfn.REGEXTEST(C130, "Healthy Knox Gateway"), "Knox Gatewayの健全ノード割合（稼働率）", _xlfn.REGEXTEST(C130, "Healthy ZooKeeper Server"), "ZooKeeper Serverの健全ノード割合（稼働率）", _xlfn.REGEXTEST(C130, "Healthy NodeManager"), "NodeManagerの健全ノード割合（稼働率）", _xlfn.REGEXTEST(C130, "Maximum Latency"), "リクエストの最大レイテンシ（処理遅延）", _xlfn.REGEXTEST(C130, "Garbage Collection Duration"), "Javaのガベージコレクション（GC）の所要時間", _xlfn.REGEXTEST(C130, "Spool Directory Usage"), "Rangerプラグインのスプールディレクトリ使用量", _xlfn.REGEXTEST(C130, "Process Directory Free Space Monitoring Absolute"), "プロセスディレクトリの空き容量（絶対値)", _xlfn.REGEXTEST(C130, "Process Directory Free Space.*Percentage"), "プロセスディレクトリの空き容量割合（%）", _xlfn.REGEXTEST(C130, "Parcel Directory Free Space.*Absolute"), "パーセルディレクトリの空き容量（絶対値）", _xlfn.REGEXTEST(C130, "Parcel Directory Free Space.*Percentage"), "パーセルディレクトリの空き容量割合（%）", _xlfn.REGEXTEST(C130, "Host Network Frame Error Percentage"), "ホストのネットワークフレームエラー割合（%）", _xlfn.REGEXTEST(C130, "Network Interfaces Slow Link Modes"), "ホストのネットワークインターフェースの低速リンクモード検出", _xlfn.REGEXTEST(C130, "Host Memory Swapping"), "ホストのメモリのスワップ発生状態", TRUE, "要手動確認")</f>
        <v>ホストのメモリのスワップ発生状態</v>
      </c>
      <c r="H130" s="479" t="s">
        <v>908</v>
      </c>
    </row>
    <row r="131" spans="1:8" ht="33.6">
      <c r="A131" s="514"/>
      <c r="B131" s="473"/>
      <c r="C131" s="471" t="s">
        <v>704</v>
      </c>
      <c r="D131" s="471" t="s">
        <v>705</v>
      </c>
      <c r="E131" s="471"/>
      <c r="F131" s="471" t="s">
        <v>909</v>
      </c>
      <c r="G131" s="471" t="str" cm="1">
        <f t="array" ref="G131">_xlfn.IFS(C131 = "", "", _xlfn.REGEXTEST(C131, "Service Metric Migrator Minimum Consecutive Successful Checks"), "サービスメトリック移行ツールの連続正常チェック最小回数", _xlfn.REGEXTEST(C131, "Rebalancing"), "リバランシング（データ再配置）状態", _xlfn.REGEXTEST(C131, "Temporary Dump Directory"), "一時ダンプディレクトリの監視", _xlfn.REGEXTEST(C131, "Safemode Extension"), "セーフモード延長状態", _xlfn.REGEXTEST(C131, "Client Idle"), "クライアントのアイドル（待機）状態", _xlfn.REGEXTEST(C131, "Available Space Policy Balanced"), "空き容量ポリシーの分散バランス状態", _xlfn.REGEXTEST(C131, "Filesystem Checkpoint Transaction"), "ファイルシステムのチェックポイントトランザクション", _xlfn.REGEXTEST(C131, "Blocks With Corrupt Replicas Monitoring"), "破損レプリカを持つブロックの監視", _xlfn.REGEXTEST(C131, "Missing Block Monitoring"), "消失（ミッシング）ブロックの監視", _xlfn.REGEXTEST(C131, "Under-replicated Block Monitoring"), "レプリカ数不足ブロックの監視", _xlfn.REGEXTEST(C131, "HDFS Free Space Monitoring"), "HDFSの空き容量監視", _xlfn.REGEXTEST(C131, "DataNode Monitoring"), "DataNodeの稼働状態監視", _xlfn.REGEXTEST(C131, "Rules to Extract Events from Log Files"), "ログファイルからのイベント抽出ルール設定", _xlfn.REGEXTEST(C131, "Free Space Monitoring$"), "空き容量監視（一般設定）", _xlfn.REGEXTEST(C131, "Transceivers Usage"), "トランシーバー使用量（データ転送スレッド数）", _xlfn.REGEXTEST(C131, "Volume Failures"), "ボリューム障害（ディスクエラー）数", _xlfn.REGEXTEST(C131, "Block Count"), "ブロック総数", _xlfn.REGEXTEST(C131, "Audit Failure"), "監査（オーディット）ログの失敗イベント", _xlfn.REGEXTEST(C131, "Web Metric Collection Duration"), "Webメトリック収集の所要時間", _xlfn.REGEXTEST(C131, "Pause Duration"), "一時停止（ポーズ）の所要時間", _xlfn.REGEXTEST(C131, "Fsync Latency"), "Fsync（ディスク同期）のレイテンシ", _xlfn.REGEXTEST(C131, "Free Space Monitoring Absolute"), "空き容量（絶対値）", _xlfn.REGEXTEST(C131, "Free Space Monitoring Percentage"), "空き容量割合（%）", _xlfn.REGEXTEST(C131, "Age Monitoring"), "経過時間の監視", _xlfn.REGEXTEST(C131, "Transactions Monitoring"), "トランザクション数の監視", _xlfn.REGEXTEST(C131, "RPC Latency"), "RPC（遠隔手続き呼出し）のレイテンシ", _xlfn.REGEXTEST(C131, "Directory Failures"), "ディレクトリ障害数", _xlfn.REGEXTEST(C131, "Out-Of-Sync JournalNodes"), "同期ズレが発生しているJournalNode数", _xlfn.REGEXTEST(C131, "Safemode Threshold Percentage"), "セーフモード解除閾値の割合（%）", _xlfn.REGEXTEST(C131, "Kerberos Ticket Renewer Monitoring"), "Kerberosチケット更新プロセスの稼働状態監視", _xlfn.REGEXTEST(C131, "Load Balancer Monitoring"), "ロードバランサーの稼働状態監視", _xlfn.REGEXTEST(C131, "Navigator Audit Failure"), "Cloudera Navigator監査ログの失敗イベント", _xlfn.REGEXTEST(C131, "Schema Registry Server Monitoring"), "Schema Registry Serverの稼働状態監視", _xlfn.REGEXTEST(C131, "SRM Service Monitoring"), "SRMサービスの稼働状態監視", _xlfn.REGEXTEST(C131, "SRM Driver Monitoring"), "SRMドライバーの稼働状態監視", _xlfn.REGEXTEST(C131, "Loggin"), "ログ出力状態・設定監視", _xlfn.REGEXTEST(C131, "Server Monitoring"), "サーバーの稼働状態監視", _xlfn.REGEXTEST(C131, "Server Connection Count"), "サーバーの接続数（コネクション数）", _xlfn.REGEXTEST(C131, "Server Outstanding Requests"), "サーバーの未処理リクエスト数（滞留要求数）", _xlfn.REGEXTEST(C131, "Repository Status"), "リポジトリのステータス状態", _xlfn.REGEXTEST(C131, "Monitor Long Running Task"), "長時間実行タスク（ジョブ）の監視", _xlfn.REGEXTEST(C131, "Token requests per second"), "1秒あたりのトークンリクエスト数（要求レート）", _xlfn.REGEXTEST(C131, "Connection Model Score"), "接続モデルスコア（コネクション品質）", _xlfn.REGEXTEST(C131, "Queue swap"), "キューのスワップ発生状態", _xlfn.REGEXTEST(C131, "NiFi Node Monitoring"), "NiFiノードの稼働状態監視", _xlfn.REGEXTEST(C131, "Host Clock Offset"), "ホストのクロックオフセット（時刻同期のズレ）", _xlfn.REGEXTEST(C131, "Memory Overcommit Validation"), "メモリオーバーコミット設定の検証", _xlfn.REGEXTEST(C131, "Gateway Logging"), "ゲートウェイのログ出力設定", _xlfn.REGEXTEST(C131, "CPU Balance"), "CPU使用率の分散バランス状態", _xlfn.REGEXTEST(C131, "Disk Balance"), "ディスク使用量の分散バランス状態", _xlfn.REGEXTEST(C131, "Network Inbound Balance"), "ネットワークインバウンド（受信）の分散バランス状態", _xlfn.REGEXTEST(C131, "Network Outbound Balance"), "ネットワークアウトバウンド（送信）の分散バランス状態", _xlfn.REGEXTEST(C131, "Replica Count Balance"), "レプリカ数の分散バランス状態", _xlfn.REGEXTEST(C131, "Disk Capacity"), "ディスク総容量の限界・使用容量", _xlfn.REGEXTEST(C131, "CPU Capacity"), "CPU総処理能力の限界・使用量", _xlfn.REGEXTEST(C131, "Network Inbound Capacity"), "ネットワークインバウンド（受信）帯域の限界・使用量", _xlfn.REGEXTEST(C131, "Network Outbound Capacity"), "ネットワークアウトバウンド（送信）帯域の限界・使用量", _xlfn.REGEXTEST(C131, "Leader Replica Count Balance"), "リーダーレプリカ数の分散バランス状態", _xlfn.REGEXTEST(C131, "Host DNS Resolution Duration"), "ホストのDNS名前解決の所要時間", _xlfn.REGEXTEST(C131, "TLS Certificate Expiry"), "TLS証明書の有効期限切れ", _xlfn.REGEXTEST(C131, "Host Entropy"), "ホストのエントロピー（乱数生成能力）の不足", _xlfn.REGEXTEST(C131, "File Descriptor"), "プロセスのファイルディスクリプタ使用率", _xlfn.REGEXTEST(C131, "Unexpected Exits"), "プロセスの異常終了（予期せぬ停止）", _xlfn.REGEXTEST(C131, "Swap Memory Thresholds"), "プロセスのスワップメモリ使用量", _xlfn.REGEXTEST(C131, "Swap Memory Usage Rate"), "スワップメモリ使用量の変化率（増加速度）", _xlfn.REGEXTEST(C131, "Log Directory Free Space.*Absolute"), "ログディレクトリの空き容量（絶対値）", _xlfn.REGEXTEST(C131, "Log Directory Free Space.*Percentage"), "ログディレクトリの空き容量割合（%）", _xlfn.REGEXTEST(C131, "Heap Dump Directory Free Space.*Absolute"), "ヒープダンプディレクトリの空き容量（絶対値）", _xlfn.REGEXTEST(C131, "Heap Dump Directory Free Space.*Percentage"), "ヒープダンプディレクトリの空き容量割合（%）", _xlfn.REGEXTEST(C131, "Data Directory Free Space.*Absolute"), "データディレクトリの空き容量（絶対値）", _xlfn.REGEXTEST(C131, "Data Directory Free Space.*Percentage"), "データディレクトリの空き容量割合（%）", _xlfn.REGEXTEST(C131, "Transaction Log Directory Free Space.*Absolute"), "トランザクションログディレクトリの空き容量（絶対値）", _xlfn.REGEXTEST(C131, "Logging Threshold|Logger Threshold"), "ログ出力レベルの閾値設定", _xlfn.REGEXTEST(C131, "Enable.*Alerts"), "ヘルスアラートの有効化状態", _xlfn.REGEXTEST(C131, "Triggers"), "カスタムアラート条件（トリガー設定）", _xlfn.REGEXTEST(C131, "Healthy Kafka Broker"), "Kafka Brokerの健全ノード割合（稼働率）", _xlfn.REGEXTEST(C131, "Healthy Kafka Connect"), "Kafka Connectの健全ノード割合（稼働率）", _xlfn.REGEXTEST(C131, "Healthy KRaft Controller"), "KRaft Controllerの健全ノード割合（稼働率）", _xlfn.REGEXTEST(C131, "Healthy Knox IDBroker"), "Knox IDBrokerの健全ノード割合（稼働率）", _xlfn.REGEXTEST(C131, "Healthy Knox Gateway"), "Knox Gatewayの健全ノード割合（稼働率）", _xlfn.REGEXTEST(C131, "Healthy ZooKeeper Server"), "ZooKeeper Serverの健全ノード割合（稼働率）", _xlfn.REGEXTEST(C131, "Healthy NodeManager"), "NodeManagerの健全ノード割合（稼働率）", _xlfn.REGEXTEST(C131, "Maximum Latency"), "リクエストの最大レイテンシ（処理遅延）", _xlfn.REGEXTEST(C131, "Garbage Collection Duration"), "Javaのガベージコレクション（GC）の所要時間", _xlfn.REGEXTEST(C131, "Spool Directory Usage"), "Rangerプラグインのスプールディレクトリ使用量", _xlfn.REGEXTEST(C131, "Process Directory Free Space Monitoring Absolute"), "プロセスディレクトリの空き容量（絶対値)", _xlfn.REGEXTEST(C131, "Process Directory Free Space.*Percentage"), "プロセスディレクトリの空き容量割合（%）", _xlfn.REGEXTEST(C131, "Parcel Directory Free Space.*Absolute"), "パーセルディレクトリの空き容量（絶対値）", _xlfn.REGEXTEST(C131, "Parcel Directory Free Space.*Percentage"), "パーセルディレクトリの空き容量割合（%）", _xlfn.REGEXTEST(C131, "Host Network Frame Error Percentage"), "ホストのネットワークフレームエラー割合（%）", _xlfn.REGEXTEST(C131, "Network Interfaces Slow Link Modes"), "ホストのネットワークインターフェースの低速リンクモード検出", _xlfn.REGEXTEST(C131, "Host Memory Swapping"), "ホストのメモリのスワップ発生状態", TRUE, "要手動確認")</f>
        <v>プロセスのスワップメモリ使用量</v>
      </c>
      <c r="H131" s="479" t="s">
        <v>908</v>
      </c>
    </row>
    <row r="132" spans="1:8" ht="33.6">
      <c r="A132" s="514"/>
      <c r="B132" s="473"/>
      <c r="C132" s="471" t="s">
        <v>706</v>
      </c>
      <c r="D132" s="471" t="s">
        <v>707</v>
      </c>
      <c r="E132" s="471"/>
      <c r="F132" s="471" t="s">
        <v>910</v>
      </c>
      <c r="G132" s="471" t="str" cm="1">
        <f t="array" ref="G132">_xlfn.IFS(C132 = "", "", _xlfn.REGEXTEST(C132, "Service Metric Migrator Minimum Consecutive Successful Checks"), "サービスメトリック移行ツールの連続正常チェック最小回数", _xlfn.REGEXTEST(C132, "Rebalancing"), "リバランシング（データ再配置）状態", _xlfn.REGEXTEST(C132, "Temporary Dump Directory"), "一時ダンプディレクトリの監視", _xlfn.REGEXTEST(C132, "Safemode Extension"), "セーフモード延長状態", _xlfn.REGEXTEST(C132, "Client Idle"), "クライアントのアイドル（待機）状態", _xlfn.REGEXTEST(C132, "Available Space Policy Balanced"), "空き容量ポリシーの分散バランス状態", _xlfn.REGEXTEST(C132, "Filesystem Checkpoint Transaction"), "ファイルシステムのチェックポイントトランザクション", _xlfn.REGEXTEST(C132, "Blocks With Corrupt Replicas Monitoring"), "破損レプリカを持つブロックの監視", _xlfn.REGEXTEST(C132, "Missing Block Monitoring"), "消失（ミッシング）ブロックの監視", _xlfn.REGEXTEST(C132, "Under-replicated Block Monitoring"), "レプリカ数不足ブロックの監視", _xlfn.REGEXTEST(C132, "HDFS Free Space Monitoring"), "HDFSの空き容量監視", _xlfn.REGEXTEST(C132, "DataNode Monitoring"), "DataNodeの稼働状態監視", _xlfn.REGEXTEST(C132, "Rules to Extract Events from Log Files"), "ログファイルからのイベント抽出ルール設定", _xlfn.REGEXTEST(C132, "Free Space Monitoring$"), "空き容量監視（一般設定）", _xlfn.REGEXTEST(C132, "Transceivers Usage"), "トランシーバー使用量（データ転送スレッド数）", _xlfn.REGEXTEST(C132, "Volume Failures"), "ボリューム障害（ディスクエラー）数", _xlfn.REGEXTEST(C132, "Block Count"), "ブロック総数", _xlfn.REGEXTEST(C132, "Audit Failure"), "監査（オーディット）ログの失敗イベント", _xlfn.REGEXTEST(C132, "Web Metric Collection Duration"), "Webメトリック収集の所要時間", _xlfn.REGEXTEST(C132, "Pause Duration"), "一時停止（ポーズ）の所要時間", _xlfn.REGEXTEST(C132, "Fsync Latency"), "Fsync（ディスク同期）のレイテンシ", _xlfn.REGEXTEST(C132, "Free Space Monitoring Absolute"), "空き容量（絶対値）", _xlfn.REGEXTEST(C132, "Free Space Monitoring Percentage"), "空き容量割合（%）", _xlfn.REGEXTEST(C132, "Age Monitoring"), "経過時間の監視", _xlfn.REGEXTEST(C132, "Transactions Monitoring"), "トランザクション数の監視", _xlfn.REGEXTEST(C132, "RPC Latency"), "RPC（遠隔手続き呼出し）のレイテンシ", _xlfn.REGEXTEST(C132, "Directory Failures"), "ディレクトリ障害数", _xlfn.REGEXTEST(C132, "Out-Of-Sync JournalNodes"), "同期ズレが発生しているJournalNode数", _xlfn.REGEXTEST(C132, "Safemode Threshold Percentage"), "セーフモード解除閾値の割合（%）", _xlfn.REGEXTEST(C132, "Kerberos Ticket Renewer Monitoring"), "Kerberosチケット更新プロセスの稼働状態監視", _xlfn.REGEXTEST(C132, "Load Balancer Monitoring"), "ロードバランサーの稼働状態監視", _xlfn.REGEXTEST(C132, "Navigator Audit Failure"), "Cloudera Navigator監査ログの失敗イベント", _xlfn.REGEXTEST(C132, "Schema Registry Server Monitoring"), "Schema Registry Serverの稼働状態監視", _xlfn.REGEXTEST(C132, "SRM Service Monitoring"), "SRMサービスの稼働状態監視", _xlfn.REGEXTEST(C132, "SRM Driver Monitoring"), "SRMドライバーの稼働状態監視", _xlfn.REGEXTEST(C132, "Loggin"), "ログ出力状態・設定監視", _xlfn.REGEXTEST(C132, "Server Monitoring"), "サーバーの稼働状態監視", _xlfn.REGEXTEST(C132, "Server Connection Count"), "サーバーの接続数（コネクション数）", _xlfn.REGEXTEST(C132, "Server Outstanding Requests"), "サーバーの未処理リクエスト数（滞留要求数）", _xlfn.REGEXTEST(C132, "Repository Status"), "リポジトリのステータス状態", _xlfn.REGEXTEST(C132, "Monitor Long Running Task"), "長時間実行タスク（ジョブ）の監視", _xlfn.REGEXTEST(C132, "Token requests per second"), "1秒あたりのトークンリクエスト数（要求レート）", _xlfn.REGEXTEST(C132, "Connection Model Score"), "接続モデルスコア（コネクション品質）", _xlfn.REGEXTEST(C132, "Queue swap"), "キューのスワップ発生状態", _xlfn.REGEXTEST(C132, "NiFi Node Monitoring"), "NiFiノードの稼働状態監視", _xlfn.REGEXTEST(C132, "Host Clock Offset"), "ホストのクロックオフセット（時刻同期のズレ）", _xlfn.REGEXTEST(C132, "Memory Overcommit Validation"), "メモリオーバーコミット設定の検証", _xlfn.REGEXTEST(C132, "Gateway Logging"), "ゲートウェイのログ出力設定", _xlfn.REGEXTEST(C132, "CPU Balance"), "CPU使用率の分散バランス状態", _xlfn.REGEXTEST(C132, "Disk Balance"), "ディスク使用量の分散バランス状態", _xlfn.REGEXTEST(C132, "Network Inbound Balance"), "ネットワークインバウンド（受信）の分散バランス状態", _xlfn.REGEXTEST(C132, "Network Outbound Balance"), "ネットワークアウトバウンド（送信）の分散バランス状態", _xlfn.REGEXTEST(C132, "Replica Count Balance"), "レプリカ数の分散バランス状態", _xlfn.REGEXTEST(C132, "Disk Capacity"), "ディスク総容量の限界・使用容量", _xlfn.REGEXTEST(C132, "CPU Capacity"), "CPU総処理能力の限界・使用量", _xlfn.REGEXTEST(C132, "Network Inbound Capacity"), "ネットワークインバウンド（受信）帯域の限界・使用量", _xlfn.REGEXTEST(C132, "Network Outbound Capacity"), "ネットワークアウトバウンド（送信）帯域の限界・使用量", _xlfn.REGEXTEST(C132, "Leader Replica Count Balance"), "リーダーレプリカ数の分散バランス状態", _xlfn.REGEXTEST(C132, "Host DNS Resolution Duration"), "ホストのDNS名前解決の所要時間", _xlfn.REGEXTEST(C132, "TLS Certificate Expiry"), "TLS証明書の有効期限切れ", _xlfn.REGEXTEST(C132, "Host Entropy"), "ホストのエントロピー（乱数生成能力）の不足", _xlfn.REGEXTEST(C132, "File Descriptor"), "プロセスのファイルディスクリプタ使用率", _xlfn.REGEXTEST(C132, "Unexpected Exits"), "プロセスの異常終了（予期せぬ停止）", _xlfn.REGEXTEST(C132, "Swap Memory Thresholds"), "プロセスのスワップメモリ使用量", _xlfn.REGEXTEST(C132, "Swap Memory Usage Rate"), "スワップメモリ使用量の変化率（増加速度）", _xlfn.REGEXTEST(C132, "Log Directory Free Space.*Absolute"), "ログディレクトリの空き容量（絶対値）", _xlfn.REGEXTEST(C132, "Log Directory Free Space.*Percentage"), "ログディレクトリの空き容量割合（%）", _xlfn.REGEXTEST(C132, "Heap Dump Directory Free Space.*Absolute"), "ヒープダンプディレクトリの空き容量（絶対値）", _xlfn.REGEXTEST(C132, "Heap Dump Directory Free Space.*Percentage"), "ヒープダンプディレクトリの空き容量割合（%）", _xlfn.REGEXTEST(C132, "Data Directory Free Space.*Absolute"), "データディレクトリの空き容量（絶対値）", _xlfn.REGEXTEST(C132, "Data Directory Free Space.*Percentage"), "データディレクトリの空き容量割合（%）", _xlfn.REGEXTEST(C132, "Transaction Log Directory Free Space.*Absolute"), "トランザクションログディレクトリの空き容量（絶対値）", _xlfn.REGEXTEST(C132, "Logging Threshold|Logger Threshold"), "ログ出力レベルの閾値設定", _xlfn.REGEXTEST(C132, "Enable.*Alerts"), "ヘルスアラートの有効化状態", _xlfn.REGEXTEST(C132, "Triggers"), "カスタムアラート条件（トリガー設定）", _xlfn.REGEXTEST(C132, "Healthy Kafka Broker"), "Kafka Brokerの健全ノード割合（稼働率）", _xlfn.REGEXTEST(C132, "Healthy Kafka Connect"), "Kafka Connectの健全ノード割合（稼働率）", _xlfn.REGEXTEST(C132, "Healthy KRaft Controller"), "KRaft Controllerの健全ノード割合（稼働率）", _xlfn.REGEXTEST(C132, "Healthy Knox IDBroker"), "Knox IDBrokerの健全ノード割合（稼働率）", _xlfn.REGEXTEST(C132, "Healthy Knox Gateway"), "Knox Gatewayの健全ノード割合（稼働率）", _xlfn.REGEXTEST(C132, "Healthy ZooKeeper Server"), "ZooKeeper Serverの健全ノード割合（稼働率）", _xlfn.REGEXTEST(C132, "Healthy NodeManager"), "NodeManagerの健全ノード割合（稼働率）", _xlfn.REGEXTEST(C132, "Maximum Latency"), "リクエストの最大レイテンシ（処理遅延）", _xlfn.REGEXTEST(C132, "Garbage Collection Duration"), "Javaのガベージコレクション（GC）の所要時間", _xlfn.REGEXTEST(C132, "Spool Directory Usage"), "Rangerプラグインのスプールディレクトリ使用量", _xlfn.REGEXTEST(C132, "Process Directory Free Space Monitoring Absolute"), "プロセスディレクトリの空き容量（絶対値)", _xlfn.REGEXTEST(C132, "Process Directory Free Space.*Percentage"), "プロセスディレクトリの空き容量割合（%）", _xlfn.REGEXTEST(C132, "Parcel Directory Free Space.*Absolute"), "パーセルディレクトリの空き容量（絶対値）", _xlfn.REGEXTEST(C132, "Parcel Directory Free Space.*Percentage"), "パーセルディレクトリの空き容量割合（%）", _xlfn.REGEXTEST(C132, "Host Network Frame Error Percentage"), "ホストのネットワークフレームエラー割合（%）", _xlfn.REGEXTEST(C132, "Network Interfaces Slow Link Modes"), "ホストのネットワークインターフェースの低速リンクモード検出", _xlfn.REGEXTEST(C132, "Host Memory Swapping"), "ホストのメモリのスワップ発生状態", TRUE, "要手動確認")</f>
        <v>ホストのエントロピー（乱数生成能力）の不足</v>
      </c>
      <c r="H132" s="479" t="s">
        <v>911</v>
      </c>
    </row>
    <row r="133" spans="1:8" ht="33.6">
      <c r="A133" s="514"/>
      <c r="B133" s="473"/>
      <c r="C133" s="471" t="s">
        <v>709</v>
      </c>
      <c r="D133" s="471" t="s">
        <v>710</v>
      </c>
      <c r="E133" s="471"/>
      <c r="F133" s="471" t="s">
        <v>912</v>
      </c>
      <c r="G133" s="471" t="str" cm="1">
        <f t="array" ref="G133">_xlfn.IFS(C133 = "", "", _xlfn.REGEXTEST(C133, "Service Metric Migrator Minimum Consecutive Successful Checks"), "サービスメトリック移行ツールの連続正常チェック最小回数", _xlfn.REGEXTEST(C133, "Rebalancing"), "リバランシング（データ再配置）状態", _xlfn.REGEXTEST(C133, "Temporary Dump Directory"), "一時ダンプディレクトリの監視", _xlfn.REGEXTEST(C133, "Safemode Extension"), "セーフモード延長状態", _xlfn.REGEXTEST(C133, "Client Idle"), "クライアントのアイドル（待機）状態", _xlfn.REGEXTEST(C133, "Available Space Policy Balanced"), "空き容量ポリシーの分散バランス状態", _xlfn.REGEXTEST(C133, "Filesystem Checkpoint Transaction"), "ファイルシステムのチェックポイントトランザクション", _xlfn.REGEXTEST(C133, "Blocks With Corrupt Replicas Monitoring"), "破損レプリカを持つブロックの監視", _xlfn.REGEXTEST(C133, "Missing Block Monitoring"), "消失（ミッシング）ブロックの監視", _xlfn.REGEXTEST(C133, "Under-replicated Block Monitoring"), "レプリカ数不足ブロックの監視", _xlfn.REGEXTEST(C133, "HDFS Free Space Monitoring"), "HDFSの空き容量監視", _xlfn.REGEXTEST(C133, "DataNode Monitoring"), "DataNodeの稼働状態監視", _xlfn.REGEXTEST(C133, "Rules to Extract Events from Log Files"), "ログファイルからのイベント抽出ルール設定", _xlfn.REGEXTEST(C133, "Free Space Monitoring$"), "空き容量監視（一般設定）", _xlfn.REGEXTEST(C133, "Transceivers Usage"), "トランシーバー使用量（データ転送スレッド数）", _xlfn.REGEXTEST(C133, "Volume Failures"), "ボリューム障害（ディスクエラー）数", _xlfn.REGEXTEST(C133, "Block Count"), "ブロック総数", _xlfn.REGEXTEST(C133, "Audit Failure"), "監査（オーディット）ログの失敗イベント", _xlfn.REGEXTEST(C133, "Web Metric Collection Duration"), "Webメトリック収集の所要時間", _xlfn.REGEXTEST(C133, "Pause Duration"), "一時停止（ポーズ）の所要時間", _xlfn.REGEXTEST(C133, "Fsync Latency"), "Fsync（ディスク同期）のレイテンシ", _xlfn.REGEXTEST(C133, "Free Space Monitoring Absolute"), "空き容量（絶対値）", _xlfn.REGEXTEST(C133, "Free Space Monitoring Percentage"), "空き容量割合（%）", _xlfn.REGEXTEST(C133, "Age Monitoring"), "経過時間の監視", _xlfn.REGEXTEST(C133, "Transactions Monitoring"), "トランザクション数の監視", _xlfn.REGEXTEST(C133, "RPC Latency"), "RPC（遠隔手続き呼出し）のレイテンシ", _xlfn.REGEXTEST(C133, "Directory Failures"), "ディレクトリ障害数", _xlfn.REGEXTEST(C133, "Out-Of-Sync JournalNodes"), "同期ズレが発生しているJournalNode数", _xlfn.REGEXTEST(C133, "Safemode Threshold Percentage"), "セーフモード解除閾値の割合（%）", _xlfn.REGEXTEST(C133, "Kerberos Ticket Renewer Monitoring"), "Kerberosチケット更新プロセスの稼働状態監視", _xlfn.REGEXTEST(C133, "Load Balancer Monitoring"), "ロードバランサーの稼働状態監視", _xlfn.REGEXTEST(C133, "Navigator Audit Failure"), "Cloudera Navigator監査ログの失敗イベント", _xlfn.REGEXTEST(C133, "Schema Registry Server Monitoring"), "Schema Registry Serverの稼働状態監視", _xlfn.REGEXTEST(C133, "SRM Service Monitoring"), "SRMサービスの稼働状態監視", _xlfn.REGEXTEST(C133, "SRM Driver Monitoring"), "SRMドライバーの稼働状態監視", _xlfn.REGEXTEST(C133, "Loggin"), "ログ出力状態・設定監視", _xlfn.REGEXTEST(C133, "Server Monitoring"), "サーバーの稼働状態監視", _xlfn.REGEXTEST(C133, "Server Connection Count"), "サーバーの接続数（コネクション数）", _xlfn.REGEXTEST(C133, "Server Outstanding Requests"), "サーバーの未処理リクエスト数（滞留要求数）", _xlfn.REGEXTEST(C133, "Repository Status"), "リポジトリのステータス状態", _xlfn.REGEXTEST(C133, "Monitor Long Running Task"), "長時間実行タスク（ジョブ）の監視", _xlfn.REGEXTEST(C133, "Token requests per second"), "1秒あたりのトークンリクエスト数（要求レート）", _xlfn.REGEXTEST(C133, "Connection Model Score"), "接続モデルスコア（コネクション品質）", _xlfn.REGEXTEST(C133, "Queue swap"), "キューのスワップ発生状態", _xlfn.REGEXTEST(C133, "NiFi Node Monitoring"), "NiFiノードの稼働状態監視", _xlfn.REGEXTEST(C133, "Host Clock Offset"), "ホストのクロックオフセット（時刻同期のズレ）", _xlfn.REGEXTEST(C133, "Memory Overcommit Validation"), "メモリオーバーコミット設定の検証", _xlfn.REGEXTEST(C133, "Gateway Logging"), "ゲートウェイのログ出力設定", _xlfn.REGEXTEST(C133, "CPU Balance"), "CPU使用率の分散バランス状態", _xlfn.REGEXTEST(C133, "Disk Balance"), "ディスク使用量の分散バランス状態", _xlfn.REGEXTEST(C133, "Network Inbound Balance"), "ネットワークインバウンド（受信）の分散バランス状態", _xlfn.REGEXTEST(C133, "Network Outbound Balance"), "ネットワークアウトバウンド（送信）の分散バランス状態", _xlfn.REGEXTEST(C133, "Replica Count Balance"), "レプリカ数の分散バランス状態", _xlfn.REGEXTEST(C133, "Disk Capacity"), "ディスク総容量の限界・使用容量", _xlfn.REGEXTEST(C133, "CPU Capacity"), "CPU総処理能力の限界・使用量", _xlfn.REGEXTEST(C133, "Network Inbound Capacity"), "ネットワークインバウンド（受信）帯域の限界・使用量", _xlfn.REGEXTEST(C133, "Network Outbound Capacity"), "ネットワークアウトバウンド（送信）帯域の限界・使用量", _xlfn.REGEXTEST(C133, "Leader Replica Count Balance"), "リーダーレプリカ数の分散バランス状態", _xlfn.REGEXTEST(C133, "Host DNS Resolution Duration"), "ホストのDNS名前解決の所要時間", _xlfn.REGEXTEST(C133, "TLS Certificate Expiry"), "TLS証明書の有効期限切れ", _xlfn.REGEXTEST(C133, "Host Entropy"), "ホストのエントロピー（乱数生成能力）の不足", _xlfn.REGEXTEST(C133, "File Descriptor"), "プロセスのファイルディスクリプタ使用率", _xlfn.REGEXTEST(C133, "Unexpected Exits"), "プロセスの異常終了（予期せぬ停止）", _xlfn.REGEXTEST(C133, "Swap Memory Thresholds"), "プロセスのスワップメモリ使用量", _xlfn.REGEXTEST(C133, "Swap Memory Usage Rate"), "スワップメモリ使用量の変化率（増加速度）", _xlfn.REGEXTEST(C133, "Log Directory Free Space.*Absolute"), "ログディレクトリの空き容量（絶対値）", _xlfn.REGEXTEST(C133, "Log Directory Free Space.*Percentage"), "ログディレクトリの空き容量割合（%）", _xlfn.REGEXTEST(C133, "Heap Dump Directory Free Space.*Absolute"), "ヒープダンプディレクトリの空き容量（絶対値）", _xlfn.REGEXTEST(C133, "Heap Dump Directory Free Space.*Percentage"), "ヒープダンプディレクトリの空き容量割合（%）", _xlfn.REGEXTEST(C133, "Data Directory Free Space.*Absolute"), "データディレクトリの空き容量（絶対値）", _xlfn.REGEXTEST(C133, "Data Directory Free Space.*Percentage"), "データディレクトリの空き容量割合（%）", _xlfn.REGEXTEST(C133, "Transaction Log Directory Free Space.*Absolute"), "トランザクションログディレクトリの空き容量（絶対値）", _xlfn.REGEXTEST(C133, "Logging Threshold|Logger Threshold"), "ログ出力レベルの閾値設定", _xlfn.REGEXTEST(C133, "Enable.*Alerts"), "ヘルスアラートの有効化状態", _xlfn.REGEXTEST(C133, "Triggers"), "カスタムアラート条件（トリガー設定）", _xlfn.REGEXTEST(C133, "Healthy Kafka Broker"), "Kafka Brokerの健全ノード割合（稼働率）", _xlfn.REGEXTEST(C133, "Healthy Kafka Connect"), "Kafka Connectの健全ノード割合（稼働率）", _xlfn.REGEXTEST(C133, "Healthy KRaft Controller"), "KRaft Controllerの健全ノード割合（稼働率）", _xlfn.REGEXTEST(C133, "Healthy Knox IDBroker"), "Knox IDBrokerの健全ノード割合（稼働率）", _xlfn.REGEXTEST(C133, "Healthy Knox Gateway"), "Knox Gatewayの健全ノード割合（稼働率）", _xlfn.REGEXTEST(C133, "Healthy ZooKeeper Server"), "ZooKeeper Serverの健全ノード割合（稼働率）", _xlfn.REGEXTEST(C133, "Healthy NodeManager"), "NodeManagerの健全ノード割合（稼働率）", _xlfn.REGEXTEST(C133, "Maximum Latency"), "リクエストの最大レイテンシ（処理遅延）", _xlfn.REGEXTEST(C133, "Garbage Collection Duration"), "Javaのガベージコレクション（GC）の所要時間", _xlfn.REGEXTEST(C133, "Spool Directory Usage"), "Rangerプラグインのスプールディレクトリ使用量", _xlfn.REGEXTEST(C133, "Process Directory Free Space Monitoring Absolute"), "プロセスディレクトリの空き容量（絶対値)", _xlfn.REGEXTEST(C133, "Process Directory Free Space.*Percentage"), "プロセスディレクトリの空き容量割合（%）", _xlfn.REGEXTEST(C133, "Parcel Directory Free Space.*Absolute"), "パーセルディレクトリの空き容量（絶対値）", _xlfn.REGEXTEST(C133, "Parcel Directory Free Space.*Percentage"), "パーセルディレクトリの空き容量割合（%）", _xlfn.REGEXTEST(C133, "Host Network Frame Error Percentage"), "ホストのネットワークフレームエラー割合（%）", _xlfn.REGEXTEST(C133, "Network Interfaces Slow Link Modes"), "ホストのネットワークインターフェースの低速リンクモード検出", _xlfn.REGEXTEST(C133, "Host Memory Swapping"), "ホストのメモリのスワップ発生状態", TRUE, "要手動確認")</f>
        <v>ヘルスアラートの有効化状態</v>
      </c>
      <c r="H133" s="479" t="s">
        <v>711</v>
      </c>
    </row>
    <row r="134" spans="1:8" ht="16.899999999999999">
      <c r="A134" s="514"/>
      <c r="B134" s="473"/>
      <c r="C134" s="471" t="s">
        <v>712</v>
      </c>
      <c r="D134" s="471" t="s">
        <v>713</v>
      </c>
      <c r="E134" s="471"/>
      <c r="F134" s="471" t="s">
        <v>913</v>
      </c>
      <c r="G134" s="471" t="str" cm="1">
        <f t="array" ref="G134">_xlfn.IFS(C134 = "", "", _xlfn.REGEXTEST(C134, "Service Metric Migrator Minimum Consecutive Successful Checks"), "サービスメトリック移行ツールの連続正常チェック最小回数", _xlfn.REGEXTEST(C134, "Rebalancing"), "リバランシング（データ再配置）状態", _xlfn.REGEXTEST(C134, "Temporary Dump Directory"), "一時ダンプディレクトリの監視", _xlfn.REGEXTEST(C134, "Safemode Extension"), "セーフモード延長状態", _xlfn.REGEXTEST(C134, "Client Idle"), "クライアントのアイドル（待機）状態", _xlfn.REGEXTEST(C134, "Available Space Policy Balanced"), "空き容量ポリシーの分散バランス状態", _xlfn.REGEXTEST(C134, "Filesystem Checkpoint Transaction"), "ファイルシステムのチェックポイントトランザクション", _xlfn.REGEXTEST(C134, "Blocks With Corrupt Replicas Monitoring"), "破損レプリカを持つブロックの監視", _xlfn.REGEXTEST(C134, "Missing Block Monitoring"), "消失（ミッシング）ブロックの監視", _xlfn.REGEXTEST(C134, "Under-replicated Block Monitoring"), "レプリカ数不足ブロックの監視", _xlfn.REGEXTEST(C134, "HDFS Free Space Monitoring"), "HDFSの空き容量監視", _xlfn.REGEXTEST(C134, "DataNode Monitoring"), "DataNodeの稼働状態監視", _xlfn.REGEXTEST(C134, "Rules to Extract Events from Log Files"), "ログファイルからのイベント抽出ルール設定", _xlfn.REGEXTEST(C134, "Free Space Monitoring$"), "空き容量監視（一般設定）", _xlfn.REGEXTEST(C134, "Transceivers Usage"), "トランシーバー使用量（データ転送スレッド数）", _xlfn.REGEXTEST(C134, "Volume Failures"), "ボリューム障害（ディスクエラー）数", _xlfn.REGEXTEST(C134, "Block Count"), "ブロック総数", _xlfn.REGEXTEST(C134, "Audit Failure"), "監査（オーディット）ログの失敗イベント", _xlfn.REGEXTEST(C134, "Web Metric Collection Duration"), "Webメトリック収集の所要時間", _xlfn.REGEXTEST(C134, "Pause Duration"), "一時停止（ポーズ）の所要時間", _xlfn.REGEXTEST(C134, "Fsync Latency"), "Fsync（ディスク同期）のレイテンシ", _xlfn.REGEXTEST(C134, "Free Space Monitoring Absolute"), "空き容量（絶対値）", _xlfn.REGEXTEST(C134, "Free Space Monitoring Percentage"), "空き容量割合（%）", _xlfn.REGEXTEST(C134, "Age Monitoring"), "経過時間の監視", _xlfn.REGEXTEST(C134, "Transactions Monitoring"), "トランザクション数の監視", _xlfn.REGEXTEST(C134, "RPC Latency"), "RPC（遠隔手続き呼出し）のレイテンシ", _xlfn.REGEXTEST(C134, "Directory Failures"), "ディレクトリ障害数", _xlfn.REGEXTEST(C134, "Out-Of-Sync JournalNodes"), "同期ズレが発生しているJournalNode数", _xlfn.REGEXTEST(C134, "Safemode Threshold Percentage"), "セーフモード解除閾値の割合（%）", _xlfn.REGEXTEST(C134, "Kerberos Ticket Renewer Monitoring"), "Kerberosチケット更新プロセスの稼働状態監視", _xlfn.REGEXTEST(C134, "Load Balancer Monitoring"), "ロードバランサーの稼働状態監視", _xlfn.REGEXTEST(C134, "Navigator Audit Failure"), "Cloudera Navigator監査ログの失敗イベント", _xlfn.REGEXTEST(C134, "Schema Registry Server Monitoring"), "Schema Registry Serverの稼働状態監視", _xlfn.REGEXTEST(C134, "SRM Service Monitoring"), "SRMサービスの稼働状態監視", _xlfn.REGEXTEST(C134, "SRM Driver Monitoring"), "SRMドライバーの稼働状態監視", _xlfn.REGEXTEST(C134, "Loggin"), "ログ出力状態・設定監視", _xlfn.REGEXTEST(C134, "Server Monitoring"), "サーバーの稼働状態監視", _xlfn.REGEXTEST(C134, "Server Connection Count"), "サーバーの接続数（コネクション数）", _xlfn.REGEXTEST(C134, "Server Outstanding Requests"), "サーバーの未処理リクエスト数（滞留要求数）", _xlfn.REGEXTEST(C134, "Repository Status"), "リポジトリのステータス状態", _xlfn.REGEXTEST(C134, "Monitor Long Running Task"), "長時間実行タスク（ジョブ）の監視", _xlfn.REGEXTEST(C134, "Token requests per second"), "1秒あたりのトークンリクエスト数（要求レート）", _xlfn.REGEXTEST(C134, "Connection Model Score"), "接続モデルスコア（コネクション品質）", _xlfn.REGEXTEST(C134, "Queue swap"), "キューのスワップ発生状態", _xlfn.REGEXTEST(C134, "NiFi Node Monitoring"), "NiFiノードの稼働状態監視", _xlfn.REGEXTEST(C134, "Host Clock Offset"), "ホストのクロックオフセット（時刻同期のズレ）", _xlfn.REGEXTEST(C134, "Memory Overcommit Validation"), "メモリオーバーコミット設定の検証", _xlfn.REGEXTEST(C134, "Gateway Logging"), "ゲートウェイのログ出力設定", _xlfn.REGEXTEST(C134, "CPU Balance"), "CPU使用率の分散バランス状態", _xlfn.REGEXTEST(C134, "Disk Balance"), "ディスク使用量の分散バランス状態", _xlfn.REGEXTEST(C134, "Network Inbound Balance"), "ネットワークインバウンド（受信）の分散バランス状態", _xlfn.REGEXTEST(C134, "Network Outbound Balance"), "ネットワークアウトバウンド（送信）の分散バランス状態", _xlfn.REGEXTEST(C134, "Replica Count Balance"), "レプリカ数の分散バランス状態", _xlfn.REGEXTEST(C134, "Disk Capacity"), "ディスク総容量の限界・使用容量", _xlfn.REGEXTEST(C134, "CPU Capacity"), "CPU総処理能力の限界・使用量", _xlfn.REGEXTEST(C134, "Network Inbound Capacity"), "ネットワークインバウンド（受信）帯域の限界・使用量", _xlfn.REGEXTEST(C134, "Network Outbound Capacity"), "ネットワークアウトバウンド（送信）帯域の限界・使用量", _xlfn.REGEXTEST(C134, "Leader Replica Count Balance"), "リーダーレプリカ数の分散バランス状態", _xlfn.REGEXTEST(C134, "Host DNS Resolution Duration"), "ホストのDNS名前解決の所要時間", _xlfn.REGEXTEST(C134, "TLS Certificate Expiry"), "TLS証明書の有効期限切れ", _xlfn.REGEXTEST(C134, "Host Entropy"), "ホストのエントロピー（乱数生成能力）の不足", _xlfn.REGEXTEST(C134, "File Descriptor"), "プロセスのファイルディスクリプタ使用率", _xlfn.REGEXTEST(C134, "Unexpected Exits"), "プロセスの異常終了（予期せぬ停止）", _xlfn.REGEXTEST(C134, "Swap Memory Thresholds"), "プロセスのスワップメモリ使用量", _xlfn.REGEXTEST(C134, "Swap Memory Usage Rate"), "スワップメモリ使用量の変化率（増加速度）", _xlfn.REGEXTEST(C134, "Log Directory Free Space.*Absolute"), "ログディレクトリの空き容量（絶対値）", _xlfn.REGEXTEST(C134, "Log Directory Free Space.*Percentage"), "ログディレクトリの空き容量割合（%）", _xlfn.REGEXTEST(C134, "Heap Dump Directory Free Space.*Absolute"), "ヒープダンプディレクトリの空き容量（絶対値）", _xlfn.REGEXTEST(C134, "Heap Dump Directory Free Space.*Percentage"), "ヒープダンプディレクトリの空き容量割合（%）", _xlfn.REGEXTEST(C134, "Data Directory Free Space.*Absolute"), "データディレクトリの空き容量（絶対値）", _xlfn.REGEXTEST(C134, "Data Directory Free Space.*Percentage"), "データディレクトリの空き容量割合（%）", _xlfn.REGEXTEST(C134, "Transaction Log Directory Free Space.*Absolute"), "トランザクションログディレクトリの空き容量（絶対値）", _xlfn.REGEXTEST(C134, "Logging Threshold|Logger Threshold"), "ログ出力レベルの閾値設定", _xlfn.REGEXTEST(C134, "Enable.*Alerts"), "ヘルスアラートの有効化状態", _xlfn.REGEXTEST(C134, "Triggers"), "カスタムアラート条件（トリガー設定）", _xlfn.REGEXTEST(C134, "Healthy Kafka Broker"), "Kafka Brokerの健全ノード割合（稼働率）", _xlfn.REGEXTEST(C134, "Healthy Kafka Connect"), "Kafka Connectの健全ノード割合（稼働率）", _xlfn.REGEXTEST(C134, "Healthy KRaft Controller"), "KRaft Controllerの健全ノード割合（稼働率）", _xlfn.REGEXTEST(C134, "Healthy Knox IDBroker"), "Knox IDBrokerの健全ノード割合（稼働率）", _xlfn.REGEXTEST(C134, "Healthy Knox Gateway"), "Knox Gatewayの健全ノード割合（稼働率）", _xlfn.REGEXTEST(C134, "Healthy ZooKeeper Server"), "ZooKeeper Serverの健全ノード割合（稼働率）", _xlfn.REGEXTEST(C134, "Healthy NodeManager"), "NodeManagerの健全ノード割合（稼働率）", _xlfn.REGEXTEST(C134, "Maximum Latency"), "リクエストの最大レイテンシ（処理遅延）", _xlfn.REGEXTEST(C134, "Garbage Collection Duration"), "Javaのガベージコレクション（GC）の所要時間", _xlfn.REGEXTEST(C134, "Spool Directory Usage"), "Rangerプラグインのスプールディレクトリ使用量", _xlfn.REGEXTEST(C134, "Process Directory Free Space Monitoring Absolute"), "プロセスディレクトリの空き容量（絶対値)", _xlfn.REGEXTEST(C134, "Process Directory Free Space.*Percentage"), "プロセスディレクトリの空き容量割合（%）", _xlfn.REGEXTEST(C134, "Parcel Directory Free Space.*Absolute"), "パーセルディレクトリの空き容量（絶対値）", _xlfn.REGEXTEST(C134, "Parcel Directory Free Space.*Percentage"), "パーセルディレクトリの空き容量割合（%）", _xlfn.REGEXTEST(C134, "Host Network Frame Error Percentage"), "ホストのネットワークフレームエラー割合（%）", _xlfn.REGEXTEST(C134, "Network Interfaces Slow Link Modes"), "ホストのネットワークインターフェースの低速リンクモード検出", _xlfn.REGEXTEST(C134, "Host Memory Swapping"), "ホストのメモリのスワップ発生状態", TRUE, "要手動確認")</f>
        <v>カスタムアラート条件（トリガー設定）</v>
      </c>
      <c r="H134" s="479" t="s">
        <v>914</v>
      </c>
    </row>
    <row r="135" spans="1:8" ht="33.6">
      <c r="A135" s="514"/>
      <c r="B135" s="473"/>
      <c r="C135" s="471" t="s">
        <v>715</v>
      </c>
      <c r="D135" s="471" t="s">
        <v>716</v>
      </c>
      <c r="E135" s="471"/>
      <c r="F135" s="471" t="s">
        <v>915</v>
      </c>
      <c r="G135" s="471" t="str" cm="1">
        <f t="array" ref="G135">_xlfn.IFS(C135 = "", "", _xlfn.REGEXTEST(C135, "Service Metric Migrator Minimum Consecutive Successful Checks"), "サービスメトリック移行ツールの連続正常チェック最小回数", _xlfn.REGEXTEST(C135, "Rebalancing"), "リバランシング（データ再配置）状態", _xlfn.REGEXTEST(C135, "Temporary Dump Directory"), "一時ダンプディレクトリの監視", _xlfn.REGEXTEST(C135, "Safemode Extension"), "セーフモード延長状態", _xlfn.REGEXTEST(C135, "Client Idle"), "クライアントのアイドル（待機）状態", _xlfn.REGEXTEST(C135, "Available Space Policy Balanced"), "空き容量ポリシーの分散バランス状態", _xlfn.REGEXTEST(C135, "Filesystem Checkpoint Transaction"), "ファイルシステムのチェックポイントトランザクション", _xlfn.REGEXTEST(C135, "Blocks With Corrupt Replicas Monitoring"), "破損レプリカを持つブロックの監視", _xlfn.REGEXTEST(C135, "Missing Block Monitoring"), "消失（ミッシング）ブロックの監視", _xlfn.REGEXTEST(C135, "Under-replicated Block Monitoring"), "レプリカ数不足ブロックの監視", _xlfn.REGEXTEST(C135, "HDFS Free Space Monitoring"), "HDFSの空き容量監視", _xlfn.REGEXTEST(C135, "DataNode Monitoring"), "DataNodeの稼働状態監視", _xlfn.REGEXTEST(C135, "Rules to Extract Events from Log Files"), "ログファイルからのイベント抽出ルール設定", _xlfn.REGEXTEST(C135, "Free Space Monitoring$"), "空き容量監視（一般設定）", _xlfn.REGEXTEST(C135, "Transceivers Usage"), "トランシーバー使用量（データ転送スレッド数）", _xlfn.REGEXTEST(C135, "Volume Failures"), "ボリューム障害（ディスクエラー）数", _xlfn.REGEXTEST(C135, "Block Count"), "ブロック総数", _xlfn.REGEXTEST(C135, "Audit Failure"), "監査（オーディット）ログの失敗イベント", _xlfn.REGEXTEST(C135, "Web Metric Collection Duration"), "Webメトリック収集の所要時間", _xlfn.REGEXTEST(C135, "Pause Duration"), "一時停止（ポーズ）の所要時間", _xlfn.REGEXTEST(C135, "Fsync Latency"), "Fsync（ディスク同期）のレイテンシ", _xlfn.REGEXTEST(C135, "Free Space Monitoring Absolute"), "空き容量（絶対値）", _xlfn.REGEXTEST(C135, "Free Space Monitoring Percentage"), "空き容量割合（%）", _xlfn.REGEXTEST(C135, "Age Monitoring"), "経過時間の監視", _xlfn.REGEXTEST(C135, "Transactions Monitoring"), "トランザクション数の監視", _xlfn.REGEXTEST(C135, "RPC Latency"), "RPC（遠隔手続き呼出し）のレイテンシ", _xlfn.REGEXTEST(C135, "Directory Failures"), "ディレクトリ障害数", _xlfn.REGEXTEST(C135, "Out-Of-Sync JournalNodes"), "同期ズレが発生しているJournalNode数", _xlfn.REGEXTEST(C135, "Safemode Threshold Percentage"), "セーフモード解除閾値の割合（%）", _xlfn.REGEXTEST(C135, "Kerberos Ticket Renewer Monitoring"), "Kerberosチケット更新プロセスの稼働状態監視", _xlfn.REGEXTEST(C135, "Load Balancer Monitoring"), "ロードバランサーの稼働状態監視", _xlfn.REGEXTEST(C135, "Navigator Audit Failure"), "Cloudera Navigator監査ログの失敗イベント", _xlfn.REGEXTEST(C135, "Schema Registry Server Monitoring"), "Schema Registry Serverの稼働状態監視", _xlfn.REGEXTEST(C135, "SRM Service Monitoring"), "SRMサービスの稼働状態監視", _xlfn.REGEXTEST(C135, "SRM Driver Monitoring"), "SRMドライバーの稼働状態監視", _xlfn.REGEXTEST(C135, "Loggin"), "ログ出力状態・設定監視", _xlfn.REGEXTEST(C135, "Server Monitoring"), "サーバーの稼働状態監視", _xlfn.REGEXTEST(C135, "Server Connection Count"), "サーバーの接続数（コネクション数）", _xlfn.REGEXTEST(C135, "Server Outstanding Requests"), "サーバーの未処理リクエスト数（滞留要求数）", _xlfn.REGEXTEST(C135, "Repository Status"), "リポジトリのステータス状態", _xlfn.REGEXTEST(C135, "Monitor Long Running Task"), "長時間実行タスク（ジョブ）の監視", _xlfn.REGEXTEST(C135, "Token requests per second"), "1秒あたりのトークンリクエスト数（要求レート）", _xlfn.REGEXTEST(C135, "Connection Model Score"), "接続モデルスコア（コネクション品質）", _xlfn.REGEXTEST(C135, "Queue swap"), "キューのスワップ発生状態", _xlfn.REGEXTEST(C135, "NiFi Node Monitoring"), "NiFiノードの稼働状態監視", _xlfn.REGEXTEST(C135, "Host Clock Offset"), "ホストのクロックオフセット（時刻同期のズレ）", _xlfn.REGEXTEST(C135, "Memory Overcommit Validation"), "メモリオーバーコミット設定の検証", _xlfn.REGEXTEST(C135, "Gateway Logging"), "ゲートウェイのログ出力設定", _xlfn.REGEXTEST(C135, "CPU Balance"), "CPU使用率の分散バランス状態", _xlfn.REGEXTEST(C135, "Disk Balance"), "ディスク使用量の分散バランス状態", _xlfn.REGEXTEST(C135, "Network Inbound Balance"), "ネットワークインバウンド（受信）の分散バランス状態", _xlfn.REGEXTEST(C135, "Network Outbound Balance"), "ネットワークアウトバウンド（送信）の分散バランス状態", _xlfn.REGEXTEST(C135, "Replica Count Balance"), "レプリカ数の分散バランス状態", _xlfn.REGEXTEST(C135, "Disk Capacity"), "ディスク総容量の限界・使用容量", _xlfn.REGEXTEST(C135, "CPU Capacity"), "CPU総処理能力の限界・使用量", _xlfn.REGEXTEST(C135, "Network Inbound Capacity"), "ネットワークインバウンド（受信）帯域の限界・使用量", _xlfn.REGEXTEST(C135, "Network Outbound Capacity"), "ネットワークアウトバウンド（送信）帯域の限界・使用量", _xlfn.REGEXTEST(C135, "Leader Replica Count Balance"), "リーダーレプリカ数の分散バランス状態", _xlfn.REGEXTEST(C135, "Host DNS Resolution Duration"), "ホストのDNS名前解決の所要時間", _xlfn.REGEXTEST(C135, "TLS Certificate Expiry"), "TLS証明書の有効期限切れ", _xlfn.REGEXTEST(C135, "Host Entropy"), "ホストのエントロピー（乱数生成能力）の不足", _xlfn.REGEXTEST(C135, "File Descriptor"), "プロセスのファイルディスクリプタ使用率", _xlfn.REGEXTEST(C135, "Unexpected Exits"), "プロセスの異常終了（予期せぬ停止）", _xlfn.REGEXTEST(C135, "Swap Memory Thresholds"), "プロセスのスワップメモリ使用量", _xlfn.REGEXTEST(C135, "Swap Memory Usage Rate"), "スワップメモリ使用量の変化率（増加速度）", _xlfn.REGEXTEST(C135, "Log Directory Free Space.*Absolute"), "ログディレクトリの空き容量（絶対値）", _xlfn.REGEXTEST(C135, "Log Directory Free Space.*Percentage"), "ログディレクトリの空き容量割合（%）", _xlfn.REGEXTEST(C135, "Heap Dump Directory Free Space.*Absolute"), "ヒープダンプディレクトリの空き容量（絶対値）", _xlfn.REGEXTEST(C135, "Heap Dump Directory Free Space.*Percentage"), "ヒープダンプディレクトリの空き容量割合（%）", _xlfn.REGEXTEST(C135, "Data Directory Free Space.*Absolute"), "データディレクトリの空き容量（絶対値）", _xlfn.REGEXTEST(C135, "Data Directory Free Space.*Percentage"), "データディレクトリの空き容量割合（%）", _xlfn.REGEXTEST(C135, "Transaction Log Directory Free Space.*Absolute"), "トランザクションログディレクトリの空き容量（絶対値）", _xlfn.REGEXTEST(C135, "Logging Threshold|Logger Threshold"), "ログ出力レベルの閾値設定", _xlfn.REGEXTEST(C135, "Enable.*Alerts"), "ヘルスアラートの有効化状態", _xlfn.REGEXTEST(C135, "Triggers"), "カスタムアラート条件（トリガー設定）", _xlfn.REGEXTEST(C135, "Healthy Kafka Broker"), "Kafka Brokerの健全ノード割合（稼働率）", _xlfn.REGEXTEST(C135, "Healthy Kafka Connect"), "Kafka Connectの健全ノード割合（稼働率）", _xlfn.REGEXTEST(C135, "Healthy KRaft Controller"), "KRaft Controllerの健全ノード割合（稼働率）", _xlfn.REGEXTEST(C135, "Healthy Knox IDBroker"), "Knox IDBrokerの健全ノード割合（稼働率）", _xlfn.REGEXTEST(C135, "Healthy Knox Gateway"), "Knox Gatewayの健全ノード割合（稼働率）", _xlfn.REGEXTEST(C135, "Healthy ZooKeeper Server"), "ZooKeeper Serverの健全ノード割合（稼働率）", _xlfn.REGEXTEST(C135, "Healthy NodeManager"), "NodeManagerの健全ノード割合（稼働率）", _xlfn.REGEXTEST(C135, "Maximum Latency"), "リクエストの最大レイテンシ（処理遅延）", _xlfn.REGEXTEST(C135, "Garbage Collection Duration"), "Javaのガベージコレクション（GC）の所要時間", _xlfn.REGEXTEST(C135, "Spool Directory Usage"), "Rangerプラグインのスプールディレクトリ使用量", _xlfn.REGEXTEST(C135, "Process Directory Free Space Monitoring Absolute"), "プロセスディレクトリの空き容量（絶対値)", _xlfn.REGEXTEST(C135, "Process Directory Free Space.*Percentage"), "プロセスディレクトリの空き容量割合（%）", _xlfn.REGEXTEST(C135, "Parcel Directory Free Space.*Absolute"), "パーセルディレクトリの空き容量（絶対値）", _xlfn.REGEXTEST(C135, "Parcel Directory Free Space.*Percentage"), "パーセルディレクトリの空き容量割合（%）", _xlfn.REGEXTEST(C135, "Host Network Frame Error Percentage"), "ホストのネットワークフレームエラー割合（%）", _xlfn.REGEXTEST(C135, "Network Interfaces Slow Link Modes"), "ホストのネットワークインターフェースの低速リンクモード検出", _xlfn.REGEXTEST(C135, "Host Memory Swapping"), "ホストのメモリのスワップ発生状態", TRUE, "要手動確認")</f>
        <v>TLS証明書の有効期限切れ</v>
      </c>
      <c r="H135" s="479" t="s">
        <v>916</v>
      </c>
    </row>
    <row r="136" spans="1:8" ht="33.6">
      <c r="A136" s="514"/>
      <c r="B136" s="473"/>
      <c r="C136" s="471" t="s">
        <v>718</v>
      </c>
      <c r="D136" s="471" t="s">
        <v>719</v>
      </c>
      <c r="E136" s="471"/>
      <c r="F136" s="471" t="s">
        <v>917</v>
      </c>
      <c r="G136" s="471" t="str" cm="1">
        <f t="array" ref="G136">_xlfn.IFS(C136 = "", "", _xlfn.REGEXTEST(C136, "Service Metric Migrator Minimum Consecutive Successful Checks"), "サービスメトリック移行ツールの連続正常チェック最小回数", _xlfn.REGEXTEST(C136, "Rebalancing"), "リバランシング（データ再配置）状態", _xlfn.REGEXTEST(C136, "Temporary Dump Directory"), "一時ダンプディレクトリの監視", _xlfn.REGEXTEST(C136, "Safemode Extension"), "セーフモード延長状態", _xlfn.REGEXTEST(C136, "Client Idle"), "クライアントのアイドル（待機）状態", _xlfn.REGEXTEST(C136, "Available Space Policy Balanced"), "空き容量ポリシーの分散バランス状態", _xlfn.REGEXTEST(C136, "Filesystem Checkpoint Transaction"), "ファイルシステムのチェックポイントトランザクション", _xlfn.REGEXTEST(C136, "Blocks With Corrupt Replicas Monitoring"), "破損レプリカを持つブロックの監視", _xlfn.REGEXTEST(C136, "Missing Block Monitoring"), "消失（ミッシング）ブロックの監視", _xlfn.REGEXTEST(C136, "Under-replicated Block Monitoring"), "レプリカ数不足ブロックの監視", _xlfn.REGEXTEST(C136, "HDFS Free Space Monitoring"), "HDFSの空き容量監視", _xlfn.REGEXTEST(C136, "DataNode Monitoring"), "DataNodeの稼働状態監視", _xlfn.REGEXTEST(C136, "Rules to Extract Events from Log Files"), "ログファイルからのイベント抽出ルール設定", _xlfn.REGEXTEST(C136, "Free Space Monitoring$"), "空き容量監視（一般設定）", _xlfn.REGEXTEST(C136, "Transceivers Usage"), "トランシーバー使用量（データ転送スレッド数）", _xlfn.REGEXTEST(C136, "Volume Failures"), "ボリューム障害（ディスクエラー）数", _xlfn.REGEXTEST(C136, "Block Count"), "ブロック総数", _xlfn.REGEXTEST(C136, "Audit Failure"), "監査（オーディット）ログの失敗イベント", _xlfn.REGEXTEST(C136, "Web Metric Collection Duration"), "Webメトリック収集の所要時間", _xlfn.REGEXTEST(C136, "Pause Duration"), "一時停止（ポーズ）の所要時間", _xlfn.REGEXTEST(C136, "Fsync Latency"), "Fsync（ディスク同期）のレイテンシ", _xlfn.REGEXTEST(C136, "Free Space Monitoring Absolute"), "空き容量（絶対値）", _xlfn.REGEXTEST(C136, "Free Space Monitoring Percentage"), "空き容量割合（%）", _xlfn.REGEXTEST(C136, "Age Monitoring"), "経過時間の監視", _xlfn.REGEXTEST(C136, "Transactions Monitoring"), "トランザクション数の監視", _xlfn.REGEXTEST(C136, "RPC Latency"), "RPC（遠隔手続き呼出し）のレイテンシ", _xlfn.REGEXTEST(C136, "Directory Failures"), "ディレクトリ障害数", _xlfn.REGEXTEST(C136, "Out-Of-Sync JournalNodes"), "同期ズレが発生しているJournalNode数", _xlfn.REGEXTEST(C136, "Safemode Threshold Percentage"), "セーフモード解除閾値の割合（%）", _xlfn.REGEXTEST(C136, "Kerberos Ticket Renewer Monitoring"), "Kerberosチケット更新プロセスの稼働状態監視", _xlfn.REGEXTEST(C136, "Load Balancer Monitoring"), "ロードバランサーの稼働状態監視", _xlfn.REGEXTEST(C136, "Navigator Audit Failure"), "Cloudera Navigator監査ログの失敗イベント", _xlfn.REGEXTEST(C136, "Schema Registry Server Monitoring"), "Schema Registry Serverの稼働状態監視", _xlfn.REGEXTEST(C136, "SRM Service Monitoring"), "SRMサービスの稼働状態監視", _xlfn.REGEXTEST(C136, "SRM Driver Monitoring"), "SRMドライバーの稼働状態監視", _xlfn.REGEXTEST(C136, "Loggin"), "ログ出力状態・設定監視", _xlfn.REGEXTEST(C136, "Server Monitoring"), "サーバーの稼働状態監視", _xlfn.REGEXTEST(C136, "Server Connection Count"), "サーバーの接続数（コネクション数）", _xlfn.REGEXTEST(C136, "Server Outstanding Requests"), "サーバーの未処理リクエスト数（滞留要求数）", _xlfn.REGEXTEST(C136, "Repository Status"), "リポジトリのステータス状態", _xlfn.REGEXTEST(C136, "Monitor Long Running Task"), "長時間実行タスク（ジョブ）の監視", _xlfn.REGEXTEST(C136, "Token requests per second"), "1秒あたりのトークンリクエスト数（要求レート）", _xlfn.REGEXTEST(C136, "Connection Model Score"), "接続モデルスコア（コネクション品質）", _xlfn.REGEXTEST(C136, "Queue swap"), "キューのスワップ発生状態", _xlfn.REGEXTEST(C136, "NiFi Node Monitoring"), "NiFiノードの稼働状態監視", _xlfn.REGEXTEST(C136, "Host Clock Offset"), "ホストのクロックオフセット（時刻同期のズレ）", _xlfn.REGEXTEST(C136, "Memory Overcommit Validation"), "メモリオーバーコミット設定の検証", _xlfn.REGEXTEST(C136, "Gateway Logging"), "ゲートウェイのログ出力設定", _xlfn.REGEXTEST(C136, "CPU Balance"), "CPU使用率の分散バランス状態", _xlfn.REGEXTEST(C136, "Disk Balance"), "ディスク使用量の分散バランス状態", _xlfn.REGEXTEST(C136, "Network Inbound Balance"), "ネットワークインバウンド（受信）の分散バランス状態", _xlfn.REGEXTEST(C136, "Network Outbound Balance"), "ネットワークアウトバウンド（送信）の分散バランス状態", _xlfn.REGEXTEST(C136, "Replica Count Balance"), "レプリカ数の分散バランス状態", _xlfn.REGEXTEST(C136, "Disk Capacity"), "ディスク総容量の限界・使用容量", _xlfn.REGEXTEST(C136, "CPU Capacity"), "CPU総処理能力の限界・使用量", _xlfn.REGEXTEST(C136, "Network Inbound Capacity"), "ネットワークインバウンド（受信）帯域の限界・使用量", _xlfn.REGEXTEST(C136, "Network Outbound Capacity"), "ネットワークアウトバウンド（送信）帯域の限界・使用量", _xlfn.REGEXTEST(C136, "Leader Replica Count Balance"), "リーダーレプリカ数の分散バランス状態", _xlfn.REGEXTEST(C136, "Host DNS Resolution Duration"), "ホストのDNS名前解決の所要時間", _xlfn.REGEXTEST(C136, "TLS Certificate Expiry"), "TLS証明書の有効期限切れ", _xlfn.REGEXTEST(C136, "Host Entropy"), "ホストのエントロピー（乱数生成能力）の不足", _xlfn.REGEXTEST(C136, "File Descriptor"), "プロセスのファイルディスクリプタ使用率", _xlfn.REGEXTEST(C136, "Unexpected Exits"), "プロセスの異常終了（予期せぬ停止）", _xlfn.REGEXTEST(C136, "Swap Memory Thresholds"), "プロセスのスワップメモリ使用量", _xlfn.REGEXTEST(C136, "Swap Memory Usage Rate"), "スワップメモリ使用量の変化率（増加速度）", _xlfn.REGEXTEST(C136, "Log Directory Free Space.*Absolute"), "ログディレクトリの空き容量（絶対値）", _xlfn.REGEXTEST(C136, "Log Directory Free Space.*Percentage"), "ログディレクトリの空き容量割合（%）", _xlfn.REGEXTEST(C136, "Heap Dump Directory Free Space.*Absolute"), "ヒープダンプディレクトリの空き容量（絶対値）", _xlfn.REGEXTEST(C136, "Heap Dump Directory Free Space.*Percentage"), "ヒープダンプディレクトリの空き容量割合（%）", _xlfn.REGEXTEST(C136, "Data Directory Free Space.*Absolute"), "データディレクトリの空き容量（絶対値）", _xlfn.REGEXTEST(C136, "Data Directory Free Space.*Percentage"), "データディレクトリの空き容量割合（%）", _xlfn.REGEXTEST(C136, "Transaction Log Directory Free Space.*Absolute"), "トランザクションログディレクトリの空き容量（絶対値）", _xlfn.REGEXTEST(C136, "Logging Threshold|Logger Threshold"), "ログ出力レベルの閾値設定", _xlfn.REGEXTEST(C136, "Enable.*Alerts"), "ヘルスアラートの有効化状態", _xlfn.REGEXTEST(C136, "Triggers"), "カスタムアラート条件（トリガー設定）", _xlfn.REGEXTEST(C136, "Healthy Kafka Broker"), "Kafka Brokerの健全ノード割合（稼働率）", _xlfn.REGEXTEST(C136, "Healthy Kafka Connect"), "Kafka Connectの健全ノード割合（稼働率）", _xlfn.REGEXTEST(C136, "Healthy KRaft Controller"), "KRaft Controllerの健全ノード割合（稼働率）", _xlfn.REGEXTEST(C136, "Healthy Knox IDBroker"), "Knox IDBrokerの健全ノード割合（稼働率）", _xlfn.REGEXTEST(C136, "Healthy Knox Gateway"), "Knox Gatewayの健全ノード割合（稼働率）", _xlfn.REGEXTEST(C136, "Healthy ZooKeeper Server"), "ZooKeeper Serverの健全ノード割合（稼働率）", _xlfn.REGEXTEST(C136, "Healthy NodeManager"), "NodeManagerの健全ノード割合（稼働率）", _xlfn.REGEXTEST(C136, "Maximum Latency"), "リクエストの最大レイテンシ（処理遅延）", _xlfn.REGEXTEST(C136, "Garbage Collection Duration"), "Javaのガベージコレクション（GC）の所要時間", _xlfn.REGEXTEST(C136, "Spool Directory Usage"), "Rangerプラグインのスプールディレクトリ使用量", _xlfn.REGEXTEST(C136, "Process Directory Free Space Monitoring Absolute"), "プロセスディレクトリの空き容量（絶対値)", _xlfn.REGEXTEST(C136, "Process Directory Free Space.*Percentage"), "プロセスディレクトリの空き容量割合（%）", _xlfn.REGEXTEST(C136, "Parcel Directory Free Space.*Absolute"), "パーセルディレクトリの空き容量（絶対値）", _xlfn.REGEXTEST(C136, "Parcel Directory Free Space.*Percentage"), "パーセルディレクトリの空き容量割合（%）", _xlfn.REGEXTEST(C136, "Host Network Frame Error Percentage"), "ホストのネットワークフレームエラー割合（%）", _xlfn.REGEXTEST(C136, "Network Interfaces Slow Link Modes"), "ホストのネットワークインターフェースの低速リンクモード検出", _xlfn.REGEXTEST(C136, "Host Memory Swapping"), "ホストのメモリのスワップ発生状態", TRUE, "要手動確認")</f>
        <v>ホストのDNS名前解決の所要時間</v>
      </c>
      <c r="H136" s="479" t="s">
        <v>918</v>
      </c>
    </row>
    <row r="137" spans="1:8" ht="33.6">
      <c r="A137" s="514"/>
      <c r="B137" s="473"/>
      <c r="C137" s="471" t="s">
        <v>721</v>
      </c>
      <c r="D137" s="471" t="s">
        <v>722</v>
      </c>
      <c r="E137" s="471"/>
      <c r="F137" s="471" t="s">
        <v>919</v>
      </c>
      <c r="G137" s="471" t="str" cm="1">
        <f t="array" ref="G137">_xlfn.IFS(C137 = "", "", _xlfn.REGEXTEST(C137, "Service Metric Migrator Minimum Consecutive Successful Checks"), "サービスメトリック移行ツールの連続正常チェック最小回数", _xlfn.REGEXTEST(C137, "Rebalancing"), "リバランシング（データ再配置）状態", _xlfn.REGEXTEST(C137, "Temporary Dump Directory"), "一時ダンプディレクトリの監視", _xlfn.REGEXTEST(C137, "Safemode Extension"), "セーフモード延長状態", _xlfn.REGEXTEST(C137, "Client Idle"), "クライアントのアイドル（待機）状態", _xlfn.REGEXTEST(C137, "Available Space Policy Balanced"), "空き容量ポリシーの分散バランス状態", _xlfn.REGEXTEST(C137, "Filesystem Checkpoint Transaction"), "ファイルシステムのチェックポイントトランザクション", _xlfn.REGEXTEST(C137, "Blocks With Corrupt Replicas Monitoring"), "破損レプリカを持つブロックの監視", _xlfn.REGEXTEST(C137, "Missing Block Monitoring"), "消失（ミッシング）ブロックの監視", _xlfn.REGEXTEST(C137, "Under-replicated Block Monitoring"), "レプリカ数不足ブロックの監視", _xlfn.REGEXTEST(C137, "HDFS Free Space Monitoring"), "HDFSの空き容量監視", _xlfn.REGEXTEST(C137, "DataNode Monitoring"), "DataNodeの稼働状態監視", _xlfn.REGEXTEST(C137, "Rules to Extract Events from Log Files"), "ログファイルからのイベント抽出ルール設定", _xlfn.REGEXTEST(C137, "Free Space Monitoring$"), "空き容量監視（一般設定）", _xlfn.REGEXTEST(C137, "Transceivers Usage"), "トランシーバー使用量（データ転送スレッド数）", _xlfn.REGEXTEST(C137, "Volume Failures"), "ボリューム障害（ディスクエラー）数", _xlfn.REGEXTEST(C137, "Block Count"), "ブロック総数", _xlfn.REGEXTEST(C137, "Audit Failure"), "監査（オーディット）ログの失敗イベント", _xlfn.REGEXTEST(C137, "Web Metric Collection Duration"), "Webメトリック収集の所要時間", _xlfn.REGEXTEST(C137, "Pause Duration"), "一時停止（ポーズ）の所要時間", _xlfn.REGEXTEST(C137, "Fsync Latency"), "Fsync（ディスク同期）のレイテンシ", _xlfn.REGEXTEST(C137, "Free Space Monitoring Absolute"), "空き容量（絶対値）", _xlfn.REGEXTEST(C137, "Free Space Monitoring Percentage"), "空き容量割合（%）", _xlfn.REGEXTEST(C137, "Age Monitoring"), "経過時間の監視", _xlfn.REGEXTEST(C137, "Transactions Monitoring"), "トランザクション数の監視", _xlfn.REGEXTEST(C137, "RPC Latency"), "RPC（遠隔手続き呼出し）のレイテンシ", _xlfn.REGEXTEST(C137, "Directory Failures"), "ディレクトリ障害数", _xlfn.REGEXTEST(C137, "Out-Of-Sync JournalNodes"), "同期ズレが発生しているJournalNode数", _xlfn.REGEXTEST(C137, "Safemode Threshold Percentage"), "セーフモード解除閾値の割合（%）", _xlfn.REGEXTEST(C137, "Kerberos Ticket Renewer Monitoring"), "Kerberosチケット更新プロセスの稼働状態監視", _xlfn.REGEXTEST(C137, "Load Balancer Monitoring"), "ロードバランサーの稼働状態監視", _xlfn.REGEXTEST(C137, "Navigator Audit Failure"), "Cloudera Navigator監査ログの失敗イベント", _xlfn.REGEXTEST(C137, "Schema Registry Server Monitoring"), "Schema Registry Serverの稼働状態監視", _xlfn.REGEXTEST(C137, "SRM Service Monitoring"), "SRMサービスの稼働状態監視", _xlfn.REGEXTEST(C137, "SRM Driver Monitoring"), "SRMドライバーの稼働状態監視", _xlfn.REGEXTEST(C137, "Loggin"), "ログ出力状態・設定監視", _xlfn.REGEXTEST(C137, "Server Monitoring"), "サーバーの稼働状態監視", _xlfn.REGEXTEST(C137, "Server Connection Count"), "サーバーの接続数（コネクション数）", _xlfn.REGEXTEST(C137, "Server Outstanding Requests"), "サーバーの未処理リクエスト数（滞留要求数）", _xlfn.REGEXTEST(C137, "Repository Status"), "リポジトリのステータス状態", _xlfn.REGEXTEST(C137, "Monitor Long Running Task"), "長時間実行タスク（ジョブ）の監視", _xlfn.REGEXTEST(C137, "Token requests per second"), "1秒あたりのトークンリクエスト数（要求レート）", _xlfn.REGEXTEST(C137, "Connection Model Score"), "接続モデルスコア（コネクション品質）", _xlfn.REGEXTEST(C137, "Queue swap"), "キューのスワップ発生状態", _xlfn.REGEXTEST(C137, "NiFi Node Monitoring"), "NiFiノードの稼働状態監視", _xlfn.REGEXTEST(C137, "Host Clock Offset"), "ホストのクロックオフセット（時刻同期のズレ）", _xlfn.REGEXTEST(C137, "Memory Overcommit Validation"), "メモリオーバーコミット設定の検証", _xlfn.REGEXTEST(C137, "Gateway Logging"), "ゲートウェイのログ出力設定", _xlfn.REGEXTEST(C137, "CPU Balance"), "CPU使用率の分散バランス状態", _xlfn.REGEXTEST(C137, "Disk Balance"), "ディスク使用量の分散バランス状態", _xlfn.REGEXTEST(C137, "Network Inbound Balance"), "ネットワークインバウンド（受信）の分散バランス状態", _xlfn.REGEXTEST(C137, "Network Outbound Balance"), "ネットワークアウトバウンド（送信）の分散バランス状態", _xlfn.REGEXTEST(C137, "Replica Count Balance"), "レプリカ数の分散バランス状態", _xlfn.REGEXTEST(C137, "Disk Capacity"), "ディスク総容量の限界・使用容量", _xlfn.REGEXTEST(C137, "CPU Capacity"), "CPU総処理能力の限界・使用量", _xlfn.REGEXTEST(C137, "Network Inbound Capacity"), "ネットワークインバウンド（受信）帯域の限界・使用量", _xlfn.REGEXTEST(C137, "Network Outbound Capacity"), "ネットワークアウトバウンド（送信）帯域の限界・使用量", _xlfn.REGEXTEST(C137, "Leader Replica Count Balance"), "リーダーレプリカ数の分散バランス状態", _xlfn.REGEXTEST(C137, "Host DNS Resolution Duration"), "ホストのDNS名前解決の所要時間", _xlfn.REGEXTEST(C137, "TLS Certificate Expiry"), "TLS証明書の有効期限切れ", _xlfn.REGEXTEST(C137, "Host Entropy"), "ホストのエントロピー（乱数生成能力）の不足", _xlfn.REGEXTEST(C137, "File Descriptor"), "プロセスのファイルディスクリプタ使用率", _xlfn.REGEXTEST(C137, "Unexpected Exits"), "プロセスの異常終了（予期せぬ停止）", _xlfn.REGEXTEST(C137, "Swap Memory Thresholds"), "プロセスのスワップメモリ使用量", _xlfn.REGEXTEST(C137, "Swap Memory Usage Rate"), "スワップメモリ使用量の変化率（増加速度）", _xlfn.REGEXTEST(C137, "Log Directory Free Space.*Absolute"), "ログディレクトリの空き容量（絶対値）", _xlfn.REGEXTEST(C137, "Log Directory Free Space.*Percentage"), "ログディレクトリの空き容量割合（%）", _xlfn.REGEXTEST(C137, "Heap Dump Directory Free Space.*Absolute"), "ヒープダンプディレクトリの空き容量（絶対値）", _xlfn.REGEXTEST(C137, "Heap Dump Directory Free Space.*Percentage"), "ヒープダンプディレクトリの空き容量割合（%）", _xlfn.REGEXTEST(C137, "Data Directory Free Space.*Absolute"), "データディレクトリの空き容量（絶対値）", _xlfn.REGEXTEST(C137, "Data Directory Free Space.*Percentage"), "データディレクトリの空き容量割合（%）", _xlfn.REGEXTEST(C137, "Transaction Log Directory Free Space.*Absolute"), "トランザクションログディレクトリの空き容量（絶対値）", _xlfn.REGEXTEST(C137, "Logging Threshold|Logger Threshold"), "ログ出力レベルの閾値設定", _xlfn.REGEXTEST(C137, "Enable.*Alerts"), "ヘルスアラートの有効化状態", _xlfn.REGEXTEST(C137, "Triggers"), "カスタムアラート条件（トリガー設定）", _xlfn.REGEXTEST(C137, "Healthy Kafka Broker"), "Kafka Brokerの健全ノード割合（稼働率）", _xlfn.REGEXTEST(C137, "Healthy Kafka Connect"), "Kafka Connectの健全ノード割合（稼働率）", _xlfn.REGEXTEST(C137, "Healthy KRaft Controller"), "KRaft Controllerの健全ノード割合（稼働率）", _xlfn.REGEXTEST(C137, "Healthy Knox IDBroker"), "Knox IDBrokerの健全ノード割合（稼働率）", _xlfn.REGEXTEST(C137, "Healthy Knox Gateway"), "Knox Gatewayの健全ノード割合（稼働率）", _xlfn.REGEXTEST(C137, "Healthy ZooKeeper Server"), "ZooKeeper Serverの健全ノード割合（稼働率）", _xlfn.REGEXTEST(C137, "Healthy NodeManager"), "NodeManagerの健全ノード割合（稼働率）", _xlfn.REGEXTEST(C137, "Maximum Latency"), "リクエストの最大レイテンシ（処理遅延）", _xlfn.REGEXTEST(C137, "Garbage Collection Duration"), "Javaのガベージコレクション（GC）の所要時間", _xlfn.REGEXTEST(C137, "Spool Directory Usage"), "Rangerプラグインのスプールディレクトリ使用量", _xlfn.REGEXTEST(C137, "Process Directory Free Space Monitoring Absolute"), "プロセスディレクトリの空き容量（絶対値)", _xlfn.REGEXTEST(C137, "Process Directory Free Space.*Percentage"), "プロセスディレクトリの空き容量割合（%）", _xlfn.REGEXTEST(C137, "Parcel Directory Free Space.*Absolute"), "パーセルディレクトリの空き容量（絶対値）", _xlfn.REGEXTEST(C137, "Parcel Directory Free Space.*Percentage"), "パーセルディレクトリの空き容量割合（%）", _xlfn.REGEXTEST(C137, "Host Network Frame Error Percentage"), "ホストのネットワークフレームエラー割合（%）", _xlfn.REGEXTEST(C137, "Network Interfaces Slow Link Modes"), "ホストのネットワークインターフェースの低速リンクモード検出", _xlfn.REGEXTEST(C137, "Host Memory Swapping"), "ホストのメモリのスワップ発生状態", TRUE, "要手動確認")</f>
        <v>ホストのクロックオフセット（時刻同期のズレ）</v>
      </c>
      <c r="H137" s="479" t="s">
        <v>920</v>
      </c>
    </row>
    <row r="138" spans="1:8" ht="33.6">
      <c r="A138" s="514"/>
      <c r="B138" s="470"/>
      <c r="C138" s="471" t="s">
        <v>724</v>
      </c>
      <c r="D138" s="471" t="s">
        <v>725</v>
      </c>
      <c r="E138" s="471"/>
      <c r="F138" s="471" t="s">
        <v>921</v>
      </c>
      <c r="G138" s="471" t="str" cm="1">
        <f t="array" ref="G138">_xlfn.IFS(C138 = "", "", _xlfn.REGEXTEST(C138, "Service Metric Migrator Minimum Consecutive Successful Checks"), "サービスメトリック移行ツールの連続正常チェック最小回数", _xlfn.REGEXTEST(C138, "Rebalancing"), "リバランシング（データ再配置）状態", _xlfn.REGEXTEST(C138, "Temporary Dump Directory"), "一時ダンプディレクトリの監視", _xlfn.REGEXTEST(C138, "Safemode Extension"), "セーフモード延長状態", _xlfn.REGEXTEST(C138, "Client Idle"), "クライアントのアイドル（待機）状態", _xlfn.REGEXTEST(C138, "Available Space Policy Balanced"), "空き容量ポリシーの分散バランス状態", _xlfn.REGEXTEST(C138, "Filesystem Checkpoint Transaction"), "ファイルシステムのチェックポイントトランザクション", _xlfn.REGEXTEST(C138, "Blocks With Corrupt Replicas Monitoring"), "破損レプリカを持つブロックの監視", _xlfn.REGEXTEST(C138, "Missing Block Monitoring"), "消失（ミッシング）ブロックの監視", _xlfn.REGEXTEST(C138, "Under-replicated Block Monitoring"), "レプリカ数不足ブロックの監視", _xlfn.REGEXTEST(C138, "HDFS Free Space Monitoring"), "HDFSの空き容量監視", _xlfn.REGEXTEST(C138, "DataNode Monitoring"), "DataNodeの稼働状態監視", _xlfn.REGEXTEST(C138, "Rules to Extract Events from Log Files"), "ログファイルからのイベント抽出ルール設定", _xlfn.REGEXTEST(C138, "Free Space Monitoring$"), "空き容量監視（一般設定）", _xlfn.REGEXTEST(C138, "Transceivers Usage"), "トランシーバー使用量（データ転送スレッド数）", _xlfn.REGEXTEST(C138, "Volume Failures"), "ボリューム障害（ディスクエラー）数", _xlfn.REGEXTEST(C138, "Block Count"), "ブロック総数", _xlfn.REGEXTEST(C138, "Audit Failure"), "監査（オーディット）ログの失敗イベント", _xlfn.REGEXTEST(C138, "Web Metric Collection Duration"), "Webメトリック収集の所要時間", _xlfn.REGEXTEST(C138, "Pause Duration"), "一時停止（ポーズ）の所要時間", _xlfn.REGEXTEST(C138, "Fsync Latency"), "Fsync（ディスク同期）のレイテンシ", _xlfn.REGEXTEST(C138, "Free Space Monitoring Absolute"), "空き容量（絶対値）", _xlfn.REGEXTEST(C138, "Free Space Monitoring Percentage"), "空き容量割合（%）", _xlfn.REGEXTEST(C138, "Age Monitoring"), "経過時間の監視", _xlfn.REGEXTEST(C138, "Transactions Monitoring"), "トランザクション数の監視", _xlfn.REGEXTEST(C138, "RPC Latency"), "RPC（遠隔手続き呼出し）のレイテンシ", _xlfn.REGEXTEST(C138, "Directory Failures"), "ディレクトリ障害数", _xlfn.REGEXTEST(C138, "Out-Of-Sync JournalNodes"), "同期ズレが発生しているJournalNode数", _xlfn.REGEXTEST(C138, "Safemode Threshold Percentage"), "セーフモード解除閾値の割合（%）", _xlfn.REGEXTEST(C138, "Kerberos Ticket Renewer Monitoring"), "Kerberosチケット更新プロセスの稼働状態監視", _xlfn.REGEXTEST(C138, "Load Balancer Monitoring"), "ロードバランサーの稼働状態監視", _xlfn.REGEXTEST(C138, "Navigator Audit Failure"), "Cloudera Navigator監査ログの失敗イベント", _xlfn.REGEXTEST(C138, "Schema Registry Server Monitoring"), "Schema Registry Serverの稼働状態監視", _xlfn.REGEXTEST(C138, "SRM Service Monitoring"), "SRMサービスの稼働状態監視", _xlfn.REGEXTEST(C138, "SRM Driver Monitoring"), "SRMドライバーの稼働状態監視", _xlfn.REGEXTEST(C138, "Loggin"), "ログ出力状態・設定監視", _xlfn.REGEXTEST(C138, "Server Monitoring"), "サーバーの稼働状態監視", _xlfn.REGEXTEST(C138, "Server Connection Count"), "サーバーの接続数（コネクション数）", _xlfn.REGEXTEST(C138, "Server Outstanding Requests"), "サーバーの未処理リクエスト数（滞留要求数）", _xlfn.REGEXTEST(C138, "Repository Status"), "リポジトリのステータス状態", _xlfn.REGEXTEST(C138, "Monitor Long Running Task"), "長時間実行タスク（ジョブ）の監視", _xlfn.REGEXTEST(C138, "Token requests per second"), "1秒あたりのトークンリクエスト数（要求レート）", _xlfn.REGEXTEST(C138, "Connection Model Score"), "接続モデルスコア（コネクション品質）", _xlfn.REGEXTEST(C138, "Queue swap"), "キューのスワップ発生状態", _xlfn.REGEXTEST(C138, "NiFi Node Monitoring"), "NiFiノードの稼働状態監視", _xlfn.REGEXTEST(C138, "Host Clock Offset"), "ホストのクロックオフセット（時刻同期のズレ）", _xlfn.REGEXTEST(C138, "Memory Overcommit Validation"), "メモリオーバーコミット設定の検証", _xlfn.REGEXTEST(C138, "Gateway Logging"), "ゲートウェイのログ出力設定", _xlfn.REGEXTEST(C138, "CPU Balance"), "CPU使用率の分散バランス状態", _xlfn.REGEXTEST(C138, "Disk Balance"), "ディスク使用量の分散バランス状態", _xlfn.REGEXTEST(C138, "Network Inbound Balance"), "ネットワークインバウンド（受信）の分散バランス状態", _xlfn.REGEXTEST(C138, "Network Outbound Balance"), "ネットワークアウトバウンド（送信）の分散バランス状態", _xlfn.REGEXTEST(C138, "Replica Count Balance"), "レプリカ数の分散バランス状態", _xlfn.REGEXTEST(C138, "Disk Capacity"), "ディスク総容量の限界・使用容量", _xlfn.REGEXTEST(C138, "CPU Capacity"), "CPU総処理能力の限界・使用量", _xlfn.REGEXTEST(C138, "Network Inbound Capacity"), "ネットワークインバウンド（受信）帯域の限界・使用量", _xlfn.REGEXTEST(C138, "Network Outbound Capacity"), "ネットワークアウトバウンド（送信）帯域の限界・使用量", _xlfn.REGEXTEST(C138, "Leader Replica Count Balance"), "リーダーレプリカ数の分散バランス状態", _xlfn.REGEXTEST(C138, "Host DNS Resolution Duration"), "ホストのDNS名前解決の所要時間", _xlfn.REGEXTEST(C138, "TLS Certificate Expiry"), "TLS証明書の有効期限切れ", _xlfn.REGEXTEST(C138, "Host Entropy"), "ホストのエントロピー（乱数生成能力）の不足", _xlfn.REGEXTEST(C138, "File Descriptor"), "プロセスのファイルディスクリプタ使用率", _xlfn.REGEXTEST(C138, "Unexpected Exits"), "プロセスの異常終了（予期せぬ停止）", _xlfn.REGEXTEST(C138, "Swap Memory Thresholds"), "プロセスのスワップメモリ使用量", _xlfn.REGEXTEST(C138, "Swap Memory Usage Rate"), "スワップメモリ使用量の変化率（増加速度）", _xlfn.REGEXTEST(C138, "Log Directory Free Space.*Absolute"), "ログディレクトリの空き容量（絶対値）", _xlfn.REGEXTEST(C138, "Log Directory Free Space.*Percentage"), "ログディレクトリの空き容量割合（%）", _xlfn.REGEXTEST(C138, "Heap Dump Directory Free Space.*Absolute"), "ヒープダンプディレクトリの空き容量（絶対値）", _xlfn.REGEXTEST(C138, "Heap Dump Directory Free Space.*Percentage"), "ヒープダンプディレクトリの空き容量割合（%）", _xlfn.REGEXTEST(C138, "Data Directory Free Space.*Absolute"), "データディレクトリの空き容量（絶対値）", _xlfn.REGEXTEST(C138, "Data Directory Free Space.*Percentage"), "データディレクトリの空き容量割合（%）", _xlfn.REGEXTEST(C138, "Transaction Log Directory Free Space.*Absolute"), "トランザクションログディレクトリの空き容量（絶対値）", _xlfn.REGEXTEST(C138, "Logging Threshold|Logger Threshold"), "ログ出力レベルの閾値設定", _xlfn.REGEXTEST(C138, "Enable.*Alerts"), "ヘルスアラートの有効化状態", _xlfn.REGEXTEST(C138, "Triggers"), "カスタムアラート条件（トリガー設定）", _xlfn.REGEXTEST(C138, "Healthy Kafka Broker"), "Kafka Brokerの健全ノード割合（稼働率）", _xlfn.REGEXTEST(C138, "Healthy Kafka Connect"), "Kafka Connectの健全ノード割合（稼働率）", _xlfn.REGEXTEST(C138, "Healthy KRaft Controller"), "KRaft Controllerの健全ノード割合（稼働率）", _xlfn.REGEXTEST(C138, "Healthy Knox IDBroker"), "Knox IDBrokerの健全ノード割合（稼働率）", _xlfn.REGEXTEST(C138, "Healthy Knox Gateway"), "Knox Gatewayの健全ノード割合（稼働率）", _xlfn.REGEXTEST(C138, "Healthy ZooKeeper Server"), "ZooKeeper Serverの健全ノード割合（稼働率）", _xlfn.REGEXTEST(C138, "Healthy NodeManager"), "NodeManagerの健全ノード割合（稼働率）", _xlfn.REGEXTEST(C138, "Maximum Latency"), "リクエストの最大レイテンシ（処理遅延）", _xlfn.REGEXTEST(C138, "Garbage Collection Duration"), "Javaのガベージコレクション（GC）の所要時間", _xlfn.REGEXTEST(C138, "Spool Directory Usage"), "Rangerプラグインのスプールディレクトリ使用量", _xlfn.REGEXTEST(C138, "Process Directory Free Space Monitoring Absolute"), "プロセスディレクトリの空き容量（絶対値)", _xlfn.REGEXTEST(C138, "Process Directory Free Space.*Percentage"), "プロセスディレクトリの空き容量割合（%）", _xlfn.REGEXTEST(C138, "Parcel Directory Free Space.*Absolute"), "パーセルディレクトリの空き容量（絶対値）", _xlfn.REGEXTEST(C138, "Parcel Directory Free Space.*Percentage"), "パーセルディレクトリの空き容量割合（%）", _xlfn.REGEXTEST(C138, "Host Network Frame Error Percentage"), "ホストのネットワークフレームエラー割合（%）", _xlfn.REGEXTEST(C138, "Network Interfaces Slow Link Modes"), "ホストのネットワークインターフェースの低速リンクモード検出", _xlfn.REGEXTEST(C138, "Host Memory Swapping"), "ホストのメモリのスワップ発生状態", TRUE, "要手動確認")</f>
        <v>メモリオーバーコミット設定の検証</v>
      </c>
      <c r="H138" s="479">
        <v>0.8</v>
      </c>
    </row>
    <row r="139" spans="1:8" ht="33.6">
      <c r="A139" s="514"/>
      <c r="B139" s="473" t="s">
        <v>783</v>
      </c>
      <c r="C139" s="471" t="s">
        <v>784</v>
      </c>
      <c r="D139" s="471" t="s">
        <v>772</v>
      </c>
      <c r="E139" s="471" t="s">
        <v>785</v>
      </c>
      <c r="F139" s="471" t="s">
        <v>922</v>
      </c>
      <c r="G139" s="471" t="str" cm="1">
        <f t="array" ref="G139">_xlfn.IFS(C139 = "", "", _xlfn.REGEXTEST(C139, "Service Metric Migrator Minimum Consecutive Successful Checks"), "サービスメトリック移行ツールの連続正常チェック最小回数", _xlfn.REGEXTEST(C139, "Rebalancing"), "リバランシング（データ再配置）状態", _xlfn.REGEXTEST(C139, "Temporary Dump Directory"), "一時ダンプディレクトリの監視", _xlfn.REGEXTEST(C139, "Safemode Extension"), "セーフモード延長状態", _xlfn.REGEXTEST(C139, "Client Idle"), "クライアントのアイドル（待機）状態", _xlfn.REGEXTEST(C139, "Available Space Policy Balanced"), "空き容量ポリシーの分散バランス状態", _xlfn.REGEXTEST(C139, "Filesystem Checkpoint Transaction"), "ファイルシステムのチェックポイントトランザクション", _xlfn.REGEXTEST(C139, "Blocks With Corrupt Replicas Monitoring"), "破損レプリカを持つブロックの監視", _xlfn.REGEXTEST(C139, "Missing Block Monitoring"), "消失（ミッシング）ブロックの監視", _xlfn.REGEXTEST(C139, "Under-replicated Block Monitoring"), "レプリカ数不足ブロックの監視", _xlfn.REGEXTEST(C139, "HDFS Free Space Monitoring"), "HDFSの空き容量監視", _xlfn.REGEXTEST(C139, "DataNode Monitoring"), "DataNodeの稼働状態監視", _xlfn.REGEXTEST(C139, "Rules to Extract Events from Log Files"), "ログファイルからのイベント抽出ルール設定", _xlfn.REGEXTEST(C139, "Free Space Monitoring$"), "空き容量監視（一般設定）", _xlfn.REGEXTEST(C139, "Transceivers Usage"), "トランシーバー使用量（データ転送スレッド数）", _xlfn.REGEXTEST(C139, "Volume Failures"), "ボリューム障害（ディスクエラー）数", _xlfn.REGEXTEST(C139, "Block Count"), "ブロック総数", _xlfn.REGEXTEST(C139, "Audit Failure"), "監査（オーディット）ログの失敗イベント", _xlfn.REGEXTEST(C139, "Web Metric Collection Duration"), "Webメトリック収集の所要時間", _xlfn.REGEXTEST(C139, "Pause Duration"), "一時停止（ポーズ）の所要時間", _xlfn.REGEXTEST(C139, "Fsync Latency"), "Fsync（ディスク同期）のレイテンシ", _xlfn.REGEXTEST(C139, "Free Space Monitoring Absolute"), "空き容量（絶対値）", _xlfn.REGEXTEST(C139, "Free Space Monitoring Percentage"), "空き容量割合（%）", _xlfn.REGEXTEST(C139, "Age Monitoring"), "経過時間の監視", _xlfn.REGEXTEST(C139, "Transactions Monitoring"), "トランザクション数の監視", _xlfn.REGEXTEST(C139, "RPC Latency"), "RPC（遠隔手続き呼出し）のレイテンシ", _xlfn.REGEXTEST(C139, "Directory Failures"), "ディレクトリ障害数", _xlfn.REGEXTEST(C139, "Out-Of-Sync JournalNodes"), "同期ズレが発生しているJournalNode数", _xlfn.REGEXTEST(C139, "Safemode Threshold Percentage"), "セーフモード解除閾値の割合（%）", _xlfn.REGEXTEST(C139, "Kerberos Ticket Renewer Monitoring"), "Kerberosチケット更新プロセスの稼働状態監視", _xlfn.REGEXTEST(C139, "Load Balancer Monitoring"), "ロードバランサーの稼働状態監視", _xlfn.REGEXTEST(C139, "Navigator Audit Failure"), "Cloudera Navigator監査ログの失敗イベント", _xlfn.REGEXTEST(C139, "Schema Registry Server Monitoring"), "Schema Registry Serverの稼働状態監視", _xlfn.REGEXTEST(C139, "SRM Service Monitoring"), "SRMサービスの稼働状態監視", _xlfn.REGEXTEST(C139, "SRM Driver Monitoring"), "SRMドライバーの稼働状態監視", _xlfn.REGEXTEST(C139, "Loggin"), "ログ出力状態・設定監視", _xlfn.REGEXTEST(C139, "Server Monitoring"), "サーバーの稼働状態監視", _xlfn.REGEXTEST(C139, "Server Connection Count"), "サーバーの接続数（コネクション数）", _xlfn.REGEXTEST(C139, "Server Outstanding Requests"), "サーバーの未処理リクエスト数（滞留要求数）", _xlfn.REGEXTEST(C139, "Repository Status"), "リポジトリのステータス状態", _xlfn.REGEXTEST(C139, "Monitor Long Running Task"), "長時間実行タスク（ジョブ）の監視", _xlfn.REGEXTEST(C139, "Token requests per second"), "1秒あたりのトークンリクエスト数（要求レート）", _xlfn.REGEXTEST(C139, "Connection Model Score"), "接続モデルスコア（コネクション品質）", _xlfn.REGEXTEST(C139, "Queue swap"), "キューのスワップ発生状態", _xlfn.REGEXTEST(C139, "NiFi Node Monitoring"), "NiFiノードの稼働状態監視", _xlfn.REGEXTEST(C139, "Host Clock Offset"), "ホストのクロックオフセット（時刻同期のズレ）", _xlfn.REGEXTEST(C139, "Memory Overcommit Validation"), "メモリオーバーコミット設定の検証", _xlfn.REGEXTEST(C139, "Gateway Logging"), "ゲートウェイのログ出力設定", _xlfn.REGEXTEST(C139, "CPU Balance"), "CPU使用率の分散バランス状態", _xlfn.REGEXTEST(C139, "Disk Balance"), "ディスク使用量の分散バランス状態", _xlfn.REGEXTEST(C139, "Network Inbound Balance"), "ネットワークインバウンド（受信）の分散バランス状態", _xlfn.REGEXTEST(C139, "Network Outbound Balance"), "ネットワークアウトバウンド（送信）の分散バランス状態", _xlfn.REGEXTEST(C139, "Replica Count Balance"), "レプリカ数の分散バランス状態", _xlfn.REGEXTEST(C139, "Disk Capacity"), "ディスク総容量の限界・使用容量", _xlfn.REGEXTEST(C139, "CPU Capacity"), "CPU総処理能力の限界・使用量", _xlfn.REGEXTEST(C139, "Network Inbound Capacity"), "ネットワークインバウンド（受信）帯域の限界・使用量", _xlfn.REGEXTEST(C139, "Network Outbound Capacity"), "ネットワークアウトバウンド（送信）帯域の限界・使用量", _xlfn.REGEXTEST(C139, "Leader Replica Count Balance"), "リーダーレプリカ数の分散バランス状態", _xlfn.REGEXTEST(C139, "Host DNS Resolution Duration"), "ホストのDNS名前解決の所要時間", _xlfn.REGEXTEST(C139, "TLS Certificate Expiry"), "TLS証明書の有効期限切れ", _xlfn.REGEXTEST(C139, "Host Entropy"), "ホストのエントロピー（乱数生成能力）の不足", _xlfn.REGEXTEST(C139, "File Descriptor"), "プロセスのファイルディスクリプタ使用率", _xlfn.REGEXTEST(C139, "Unexpected Exits"), "プロセスの異常終了（予期せぬ停止）", _xlfn.REGEXTEST(C139, "Swap Memory Thresholds"), "プロセスのスワップメモリ使用量", _xlfn.REGEXTEST(C139, "Swap Memory Usage Rate"), "スワップメモリ使用量の変化率（増加速度）", _xlfn.REGEXTEST(C139, "Log Directory Free Space.*Absolute"), "ログディレクトリの空き容量（絶対値）", _xlfn.REGEXTEST(C139, "Log Directory Free Space.*Percentage"), "ログディレクトリの空き容量割合（%）", _xlfn.REGEXTEST(C139, "Heap Dump Directory Free Space.*Absolute"), "ヒープダンプディレクトリの空き容量（絶対値）", _xlfn.REGEXTEST(C139, "Heap Dump Directory Free Space.*Percentage"), "ヒープダンプディレクトリの空き容量割合（%）", _xlfn.REGEXTEST(C139, "Data Directory Free Space.*Absolute"), "データディレクトリの空き容量（絶対値）", _xlfn.REGEXTEST(C139, "Data Directory Free Space.*Percentage"), "データディレクトリの空き容量割合（%）", _xlfn.REGEXTEST(C139, "Transaction Log Directory Free Space.*Absolute"), "トランザクションログディレクトリの空き容量（絶対値）", _xlfn.REGEXTEST(C139, "Logging Threshold|Logger Threshold"), "ログ出力レベルの閾値設定", _xlfn.REGEXTEST(C139, "Enable.*Alerts"), "ヘルスアラートの有効化状態", _xlfn.REGEXTEST(C139, "Triggers"), "カスタムアラート条件（トリガー設定）", _xlfn.REGEXTEST(C139, "Healthy Kafka Broker"), "Kafka Brokerの健全ノード割合（稼働率）", _xlfn.REGEXTEST(C139, "Healthy Kafka Connect"), "Kafka Connectの健全ノード割合（稼働率）", _xlfn.REGEXTEST(C139, "Healthy KRaft Controller"), "KRaft Controllerの健全ノード割合（稼働率）", _xlfn.REGEXTEST(C139, "Healthy Knox IDBroker"), "Knox IDBrokerの健全ノード割合（稼働率）", _xlfn.REGEXTEST(C139, "Healthy Knox Gateway"), "Knox Gatewayの健全ノード割合（稼働率）", _xlfn.REGEXTEST(C139, "Healthy ZooKeeper Server"), "ZooKeeper Serverの健全ノード割合（稼働率）", _xlfn.REGEXTEST(C139, "Healthy NodeManager"), "NodeManagerの健全ノード割合（稼働率）", _xlfn.REGEXTEST(C139, "Maximum Latency"), "リクエストの最大レイテンシ（処理遅延）", _xlfn.REGEXTEST(C139, "Garbage Collection Duration"), "Javaのガベージコレクション（GC）の所要時間", _xlfn.REGEXTEST(C139, "Spool Directory Usage"), "Rangerプラグインのスプールディレクトリ使用量", _xlfn.REGEXTEST(C139, "Process Directory Free Space Monitoring Absolute"), "プロセスディレクトリの空き容量（絶対値)", _xlfn.REGEXTEST(C139, "Process Directory Free Space.*Percentage"), "プロセスディレクトリの空き容量割合（%）", _xlfn.REGEXTEST(C139, "Parcel Directory Free Space.*Absolute"), "パーセルディレクトリの空き容量（絶対値）", _xlfn.REGEXTEST(C139, "Parcel Directory Free Space.*Percentage"), "パーセルディレクトリの空き容量割合（%）", _xlfn.REGEXTEST(C139, "Host Network Frame Error Percentage"), "ホストのネットワークフレームエラー割合（%）", _xlfn.REGEXTEST(C139, "Network Interfaces Slow Link Modes"), "ホストのネットワークインターフェースの低速リンクモード検出", _xlfn.REGEXTEST(C139, "Host Memory Swapping"), "ホストのメモリのスワップ発生状態", TRUE, "要手動確認")</f>
        <v>ログ出力レベルの閾値設定</v>
      </c>
      <c r="H139" s="479" t="s">
        <v>775</v>
      </c>
    </row>
    <row r="140" spans="1:8" ht="16.899999999999999">
      <c r="A140" s="514"/>
      <c r="B140" s="473"/>
      <c r="C140" s="471" t="s">
        <v>923</v>
      </c>
      <c r="D140" s="471" t="s">
        <v>772</v>
      </c>
      <c r="E140" s="471" t="s">
        <v>787</v>
      </c>
      <c r="F140" s="471" t="s">
        <v>924</v>
      </c>
      <c r="G140" s="471" t="str" cm="1">
        <f t="array" ref="G140">_xlfn.IFS(C140 = "", "", _xlfn.REGEXTEST(C140, "Service Metric Migrator Minimum Consecutive Successful Checks"), "サービスメトリック移行ツールの連続正常チェック最小回数", _xlfn.REGEXTEST(C140, "Rebalancing"), "リバランシング（データ再配置）状態", _xlfn.REGEXTEST(C140, "Temporary Dump Directory"), "一時ダンプディレクトリの監視", _xlfn.REGEXTEST(C140, "Safemode Extension"), "セーフモード延長状態", _xlfn.REGEXTEST(C140, "Client Idle"), "クライアントのアイドル（待機）状態", _xlfn.REGEXTEST(C140, "Available Space Policy Balanced"), "空き容量ポリシーの分散バランス状態", _xlfn.REGEXTEST(C140, "Filesystem Checkpoint Transaction"), "ファイルシステムのチェックポイントトランザクション", _xlfn.REGEXTEST(C140, "Blocks With Corrupt Replicas Monitoring"), "破損レプリカを持つブロックの監視", _xlfn.REGEXTEST(C140, "Missing Block Monitoring"), "消失（ミッシング）ブロックの監視", _xlfn.REGEXTEST(C140, "Under-replicated Block Monitoring"), "レプリカ数不足ブロックの監視", _xlfn.REGEXTEST(C140, "HDFS Free Space Monitoring"), "HDFSの空き容量監視", _xlfn.REGEXTEST(C140, "DataNode Monitoring"), "DataNodeの稼働状態監視", _xlfn.REGEXTEST(C140, "Rules to Extract Events from Log Files"), "ログファイルからのイベント抽出ルール設定", _xlfn.REGEXTEST(C140, "Free Space Monitoring$"), "空き容量監視（一般設定）", _xlfn.REGEXTEST(C140, "Transceivers Usage"), "トランシーバー使用量（データ転送スレッド数）", _xlfn.REGEXTEST(C140, "Volume Failures"), "ボリューム障害（ディスクエラー）数", _xlfn.REGEXTEST(C140, "Block Count"), "ブロック総数", _xlfn.REGEXTEST(C140, "Audit Failure"), "監査（オーディット）ログの失敗イベント", _xlfn.REGEXTEST(C140, "Web Metric Collection Duration"), "Webメトリック収集の所要時間", _xlfn.REGEXTEST(C140, "Pause Duration"), "一時停止（ポーズ）の所要時間", _xlfn.REGEXTEST(C140, "Fsync Latency"), "Fsync（ディスク同期）のレイテンシ", _xlfn.REGEXTEST(C140, "Free Space Monitoring Absolute"), "空き容量（絶対値）", _xlfn.REGEXTEST(C140, "Free Space Monitoring Percentage"), "空き容量割合（%）", _xlfn.REGEXTEST(C140, "Age Monitoring"), "経過時間の監視", _xlfn.REGEXTEST(C140, "Transactions Monitoring"), "トランザクション数の監視", _xlfn.REGEXTEST(C140, "RPC Latency"), "RPC（遠隔手続き呼出し）のレイテンシ", _xlfn.REGEXTEST(C140, "Directory Failures"), "ディレクトリ障害数", _xlfn.REGEXTEST(C140, "Out-Of-Sync JournalNodes"), "同期ズレが発生しているJournalNode数", _xlfn.REGEXTEST(C140, "Safemode Threshold Percentage"), "セーフモード解除閾値の割合（%）", _xlfn.REGEXTEST(C140, "Kerberos Ticket Renewer Monitoring"), "Kerberosチケット更新プロセスの稼働状態監視", _xlfn.REGEXTEST(C140, "Load Balancer Monitoring"), "ロードバランサーの稼働状態監視", _xlfn.REGEXTEST(C140, "Navigator Audit Failure"), "Cloudera Navigator監査ログの失敗イベント", _xlfn.REGEXTEST(C140, "Schema Registry Server Monitoring"), "Schema Registry Serverの稼働状態監視", _xlfn.REGEXTEST(C140, "SRM Service Monitoring"), "SRMサービスの稼働状態監視", _xlfn.REGEXTEST(C140, "SRM Driver Monitoring"), "SRMドライバーの稼働状態監視", _xlfn.REGEXTEST(C140, "Loggin"), "ログ出力状態・設定監視", _xlfn.REGEXTEST(C140, "Server Monitoring"), "サーバーの稼働状態監視", _xlfn.REGEXTEST(C140, "Server Connection Count"), "サーバーの接続数（コネクション数）", _xlfn.REGEXTEST(C140, "Server Outstanding Requests"), "サーバーの未処理リクエスト数（滞留要求数）", _xlfn.REGEXTEST(C140, "Repository Status"), "リポジトリのステータス状態", _xlfn.REGEXTEST(C140, "Monitor Long Running Task"), "長時間実行タスク（ジョブ）の監視", _xlfn.REGEXTEST(C140, "Token requests per second"), "1秒あたりのトークンリクエスト数（要求レート）", _xlfn.REGEXTEST(C140, "Connection Model Score"), "接続モデルスコア（コネクション品質）", _xlfn.REGEXTEST(C140, "Queue swap"), "キューのスワップ発生状態", _xlfn.REGEXTEST(C140, "NiFi Node Monitoring"), "NiFiノードの稼働状態監視", _xlfn.REGEXTEST(C140, "Host Clock Offset"), "ホストのクロックオフセット（時刻同期のズレ）", _xlfn.REGEXTEST(C140, "Memory Overcommit Validation"), "メモリオーバーコミット設定の検証", _xlfn.REGEXTEST(C140, "Gateway Logging"), "ゲートウェイのログ出力設定", _xlfn.REGEXTEST(C140, "CPU Balance"), "CPU使用率の分散バランス状態", _xlfn.REGEXTEST(C140, "Disk Balance"), "ディスク使用量の分散バランス状態", _xlfn.REGEXTEST(C140, "Network Inbound Balance"), "ネットワークインバウンド（受信）の分散バランス状態", _xlfn.REGEXTEST(C140, "Network Outbound Balance"), "ネットワークアウトバウンド（送信）の分散バランス状態", _xlfn.REGEXTEST(C140, "Replica Count Balance"), "レプリカ数の分散バランス状態", _xlfn.REGEXTEST(C140, "Disk Capacity"), "ディスク総容量の限界・使用容量", _xlfn.REGEXTEST(C140, "CPU Capacity"), "CPU総処理能力の限界・使用量", _xlfn.REGEXTEST(C140, "Network Inbound Capacity"), "ネットワークインバウンド（受信）帯域の限界・使用量", _xlfn.REGEXTEST(C140, "Network Outbound Capacity"), "ネットワークアウトバウンド（送信）帯域の限界・使用量", _xlfn.REGEXTEST(C140, "Leader Replica Count Balance"), "リーダーレプリカ数の分散バランス状態", _xlfn.REGEXTEST(C140, "Host DNS Resolution Duration"), "ホストのDNS名前解決の所要時間", _xlfn.REGEXTEST(C140, "TLS Certificate Expiry"), "TLS証明書の有効期限切れ", _xlfn.REGEXTEST(C140, "Host Entropy"), "ホストのエントロピー（乱数生成能力）の不足", _xlfn.REGEXTEST(C140, "File Descriptor"), "プロセスのファイルディスクリプタ使用率", _xlfn.REGEXTEST(C140, "Unexpected Exits"), "プロセスの異常終了（予期せぬ停止）", _xlfn.REGEXTEST(C140, "Swap Memory Thresholds"), "プロセスのスワップメモリ使用量", _xlfn.REGEXTEST(C140, "Swap Memory Usage Rate"), "スワップメモリ使用量の変化率（増加速度）", _xlfn.REGEXTEST(C140, "Log Directory Free Space.*Absolute"), "ログディレクトリの空き容量（絶対値）", _xlfn.REGEXTEST(C140, "Log Directory Free Space.*Percentage"), "ログディレクトリの空き容量割合（%）", _xlfn.REGEXTEST(C140, "Heap Dump Directory Free Space.*Absolute"), "ヒープダンプディレクトリの空き容量（絶対値）", _xlfn.REGEXTEST(C140, "Heap Dump Directory Free Space.*Percentage"), "ヒープダンプディレクトリの空き容量割合（%）", _xlfn.REGEXTEST(C140, "Data Directory Free Space.*Absolute"), "データディレクトリの空き容量（絶対値）", _xlfn.REGEXTEST(C140, "Data Directory Free Space.*Percentage"), "データディレクトリの空き容量割合（%）", _xlfn.REGEXTEST(C140, "Transaction Log Directory Free Space.*Absolute"), "トランザクションログディレクトリの空き容量（絶対値）", _xlfn.REGEXTEST(C140, "Logging Threshold|Logger Threshold"), "ログ出力レベルの閾値設定", _xlfn.REGEXTEST(C140, "Enable.*Alerts"), "ヘルスアラートの有効化状態", _xlfn.REGEXTEST(C140, "Triggers"), "カスタムアラート条件（トリガー設定）", _xlfn.REGEXTEST(C140, "Healthy Kafka Broker"), "Kafka Brokerの健全ノード割合（稼働率）", _xlfn.REGEXTEST(C140, "Healthy Kafka Connect"), "Kafka Connectの健全ノード割合（稼働率）", _xlfn.REGEXTEST(C140, "Healthy KRaft Controller"), "KRaft Controllerの健全ノード割合（稼働率）", _xlfn.REGEXTEST(C140, "Healthy Knox IDBroker"), "Knox IDBrokerの健全ノード割合（稼働率）", _xlfn.REGEXTEST(C140, "Healthy Knox Gateway"), "Knox Gatewayの健全ノード割合（稼働率）", _xlfn.REGEXTEST(C140, "Healthy ZooKeeper Server"), "ZooKeeper Serverの健全ノード割合（稼働率）", _xlfn.REGEXTEST(C140, "Healthy NodeManager"), "NodeManagerの健全ノード割合（稼働率）", _xlfn.REGEXTEST(C140, "Maximum Latency"), "リクエストの最大レイテンシ（処理遅延）", _xlfn.REGEXTEST(C140, "Garbage Collection Duration"), "Javaのガベージコレクション（GC）の所要時間", _xlfn.REGEXTEST(C140, "Spool Directory Usage"), "Rangerプラグインのスプールディレクトリ使用量", _xlfn.REGEXTEST(C140, "Process Directory Free Space Monitoring Absolute"), "プロセスディレクトリの空き容量（絶対値)", _xlfn.REGEXTEST(C140, "Process Directory Free Space.*Percentage"), "プロセスディレクトリの空き容量割合（%）", _xlfn.REGEXTEST(C140, "Parcel Directory Free Space.*Absolute"), "パーセルディレクトリの空き容量（絶対値）", _xlfn.REGEXTEST(C140, "Parcel Directory Free Space.*Percentage"), "パーセルディレクトリの空き容量割合（%）", _xlfn.REGEXTEST(C140, "Host Network Frame Error Percentage"), "ホストのネットワークフレームエラー割合（%）", _xlfn.REGEXTEST(C140, "Network Interfaces Slow Link Modes"), "ホストのネットワークインターフェースの低速リンクモード検出", _xlfn.REGEXTEST(C140, "Host Memory Swapping"), "ホストのメモリのスワップ発生状態", TRUE, "要手動確認")</f>
        <v>ログ出力状態・設定監視</v>
      </c>
      <c r="H140" s="479" t="s">
        <v>775</v>
      </c>
    </row>
    <row r="141" spans="1:8" ht="16.899999999999999">
      <c r="A141" s="514"/>
      <c r="B141" s="473"/>
      <c r="C141" s="471" t="s">
        <v>788</v>
      </c>
      <c r="D141" s="471" t="s">
        <v>710</v>
      </c>
      <c r="E141" s="471" t="s">
        <v>789</v>
      </c>
      <c r="F141" s="471" t="s">
        <v>925</v>
      </c>
      <c r="G141" s="471" t="str" cm="1">
        <f t="array" ref="G141">_xlfn.IFS(C141 = "", "", _xlfn.REGEXTEST(C141, "Service Metric Migrator Minimum Consecutive Successful Checks"), "サービスメトリック移行ツールの連続正常チェック最小回数", _xlfn.REGEXTEST(C141, "Rebalancing"), "リバランシング（データ再配置）状態", _xlfn.REGEXTEST(C141, "Temporary Dump Directory"), "一時ダンプディレクトリの監視", _xlfn.REGEXTEST(C141, "Safemode Extension"), "セーフモード延長状態", _xlfn.REGEXTEST(C141, "Client Idle"), "クライアントのアイドル（待機）状態", _xlfn.REGEXTEST(C141, "Available Space Policy Balanced"), "空き容量ポリシーの分散バランス状態", _xlfn.REGEXTEST(C141, "Filesystem Checkpoint Transaction"), "ファイルシステムのチェックポイントトランザクション", _xlfn.REGEXTEST(C141, "Blocks With Corrupt Replicas Monitoring"), "破損レプリカを持つブロックの監視", _xlfn.REGEXTEST(C141, "Missing Block Monitoring"), "消失（ミッシング）ブロックの監視", _xlfn.REGEXTEST(C141, "Under-replicated Block Monitoring"), "レプリカ数不足ブロックの監視", _xlfn.REGEXTEST(C141, "HDFS Free Space Monitoring"), "HDFSの空き容量監視", _xlfn.REGEXTEST(C141, "DataNode Monitoring"), "DataNodeの稼働状態監視", _xlfn.REGEXTEST(C141, "Rules to Extract Events from Log Files"), "ログファイルからのイベント抽出ルール設定", _xlfn.REGEXTEST(C141, "Free Space Monitoring$"), "空き容量監視（一般設定）", _xlfn.REGEXTEST(C141, "Transceivers Usage"), "トランシーバー使用量（データ転送スレッド数）", _xlfn.REGEXTEST(C141, "Volume Failures"), "ボリューム障害（ディスクエラー）数", _xlfn.REGEXTEST(C141, "Block Count"), "ブロック総数", _xlfn.REGEXTEST(C141, "Audit Failure"), "監査（オーディット）ログの失敗イベント", _xlfn.REGEXTEST(C141, "Web Metric Collection Duration"), "Webメトリック収集の所要時間", _xlfn.REGEXTEST(C141, "Pause Duration"), "一時停止（ポーズ）の所要時間", _xlfn.REGEXTEST(C141, "Fsync Latency"), "Fsync（ディスク同期）のレイテンシ", _xlfn.REGEXTEST(C141, "Free Space Monitoring Absolute"), "空き容量（絶対値）", _xlfn.REGEXTEST(C141, "Free Space Monitoring Percentage"), "空き容量割合（%）", _xlfn.REGEXTEST(C141, "Age Monitoring"), "経過時間の監視", _xlfn.REGEXTEST(C141, "Transactions Monitoring"), "トランザクション数の監視", _xlfn.REGEXTEST(C141, "RPC Latency"), "RPC（遠隔手続き呼出し）のレイテンシ", _xlfn.REGEXTEST(C141, "Directory Failures"), "ディレクトリ障害数", _xlfn.REGEXTEST(C141, "Out-Of-Sync JournalNodes"), "同期ズレが発生しているJournalNode数", _xlfn.REGEXTEST(C141, "Safemode Threshold Percentage"), "セーフモード解除閾値の割合（%）", _xlfn.REGEXTEST(C141, "Kerberos Ticket Renewer Monitoring"), "Kerberosチケット更新プロセスの稼働状態監視", _xlfn.REGEXTEST(C141, "Load Balancer Monitoring"), "ロードバランサーの稼働状態監視", _xlfn.REGEXTEST(C141, "Navigator Audit Failure"), "Cloudera Navigator監査ログの失敗イベント", _xlfn.REGEXTEST(C141, "Schema Registry Server Monitoring"), "Schema Registry Serverの稼働状態監視", _xlfn.REGEXTEST(C141, "SRM Service Monitoring"), "SRMサービスの稼働状態監視", _xlfn.REGEXTEST(C141, "SRM Driver Monitoring"), "SRMドライバーの稼働状態監視", _xlfn.REGEXTEST(C141, "Loggin"), "ログ出力状態・設定監視", _xlfn.REGEXTEST(C141, "Server Monitoring"), "サーバーの稼働状態監視", _xlfn.REGEXTEST(C141, "Server Connection Count"), "サーバーの接続数（コネクション数）", _xlfn.REGEXTEST(C141, "Server Outstanding Requests"), "サーバーの未処理リクエスト数（滞留要求数）", _xlfn.REGEXTEST(C141, "Repository Status"), "リポジトリのステータス状態", _xlfn.REGEXTEST(C141, "Monitor Long Running Task"), "長時間実行タスク（ジョブ）の監視", _xlfn.REGEXTEST(C141, "Token requests per second"), "1秒あたりのトークンリクエスト数（要求レート）", _xlfn.REGEXTEST(C141, "Connection Model Score"), "接続モデルスコア（コネクション品質）", _xlfn.REGEXTEST(C141, "Queue swap"), "キューのスワップ発生状態", _xlfn.REGEXTEST(C141, "NiFi Node Monitoring"), "NiFiノードの稼働状態監視", _xlfn.REGEXTEST(C141, "Host Clock Offset"), "ホストのクロックオフセット（時刻同期のズレ）", _xlfn.REGEXTEST(C141, "Memory Overcommit Validation"), "メモリオーバーコミット設定の検証", _xlfn.REGEXTEST(C141, "Gateway Logging"), "ゲートウェイのログ出力設定", _xlfn.REGEXTEST(C141, "CPU Balance"), "CPU使用率の分散バランス状態", _xlfn.REGEXTEST(C141, "Disk Balance"), "ディスク使用量の分散バランス状態", _xlfn.REGEXTEST(C141, "Network Inbound Balance"), "ネットワークインバウンド（受信）の分散バランス状態", _xlfn.REGEXTEST(C141, "Network Outbound Balance"), "ネットワークアウトバウンド（送信）の分散バランス状態", _xlfn.REGEXTEST(C141, "Replica Count Balance"), "レプリカ数の分散バランス状態", _xlfn.REGEXTEST(C141, "Disk Capacity"), "ディスク総容量の限界・使用容量", _xlfn.REGEXTEST(C141, "CPU Capacity"), "CPU総処理能力の限界・使用量", _xlfn.REGEXTEST(C141, "Network Inbound Capacity"), "ネットワークインバウンド（受信）帯域の限界・使用量", _xlfn.REGEXTEST(C141, "Network Outbound Capacity"), "ネットワークアウトバウンド（送信）帯域の限界・使用量", _xlfn.REGEXTEST(C141, "Leader Replica Count Balance"), "リーダーレプリカ数の分散バランス状態", _xlfn.REGEXTEST(C141, "Host DNS Resolution Duration"), "ホストのDNS名前解決の所要時間", _xlfn.REGEXTEST(C141, "TLS Certificate Expiry"), "TLS証明書の有効期限切れ", _xlfn.REGEXTEST(C141, "Host Entropy"), "ホストのエントロピー（乱数生成能力）の不足", _xlfn.REGEXTEST(C141, "File Descriptor"), "プロセスのファイルディスクリプタ使用率", _xlfn.REGEXTEST(C141, "Unexpected Exits"), "プロセスの異常終了（予期せぬ停止）", _xlfn.REGEXTEST(C141, "Swap Memory Thresholds"), "プロセスのスワップメモリ使用量", _xlfn.REGEXTEST(C141, "Swap Memory Usage Rate"), "スワップメモリ使用量の変化率（増加速度）", _xlfn.REGEXTEST(C141, "Log Directory Free Space.*Absolute"), "ログディレクトリの空き容量（絶対値）", _xlfn.REGEXTEST(C141, "Log Directory Free Space.*Percentage"), "ログディレクトリの空き容量割合（%）", _xlfn.REGEXTEST(C141, "Heap Dump Directory Free Space.*Absolute"), "ヒープダンプディレクトリの空き容量（絶対値）", _xlfn.REGEXTEST(C141, "Heap Dump Directory Free Space.*Percentage"), "ヒープダンプディレクトリの空き容量割合（%）", _xlfn.REGEXTEST(C141, "Data Directory Free Space.*Absolute"), "データディレクトリの空き容量（絶対値）", _xlfn.REGEXTEST(C141, "Data Directory Free Space.*Percentage"), "データディレクトリの空き容量割合（%）", _xlfn.REGEXTEST(C141, "Transaction Log Directory Free Space.*Absolute"), "トランザクションログディレクトリの空き容量（絶対値）", _xlfn.REGEXTEST(C141, "Logging Threshold|Logger Threshold"), "ログ出力レベルの閾値設定", _xlfn.REGEXTEST(C141, "Enable.*Alerts"), "ヘルスアラートの有効化状態", _xlfn.REGEXTEST(C141, "Triggers"), "カスタムアラート条件（トリガー設定）", _xlfn.REGEXTEST(C141, "Healthy Kafka Broker"), "Kafka Brokerの健全ノード割合（稼働率）", _xlfn.REGEXTEST(C141, "Healthy Kafka Connect"), "Kafka Connectの健全ノード割合（稼働率）", _xlfn.REGEXTEST(C141, "Healthy KRaft Controller"), "KRaft Controllerの健全ノード割合（稼働率）", _xlfn.REGEXTEST(C141, "Healthy Knox IDBroker"), "Knox IDBrokerの健全ノード割合（稼働率）", _xlfn.REGEXTEST(C141, "Healthy Knox Gateway"), "Knox Gatewayの健全ノード割合（稼働率）", _xlfn.REGEXTEST(C141, "Healthy ZooKeeper Server"), "ZooKeeper Serverの健全ノード割合（稼働率）", _xlfn.REGEXTEST(C141, "Healthy NodeManager"), "NodeManagerの健全ノード割合（稼働率）", _xlfn.REGEXTEST(C141, "Maximum Latency"), "リクエストの最大レイテンシ（処理遅延）", _xlfn.REGEXTEST(C141, "Garbage Collection Duration"), "Javaのガベージコレクション（GC）の所要時間", _xlfn.REGEXTEST(C141, "Spool Directory Usage"), "Rangerプラグインのスプールディレクトリ使用量", _xlfn.REGEXTEST(C141, "Process Directory Free Space Monitoring Absolute"), "プロセスディレクトリの空き容量（絶対値)", _xlfn.REGEXTEST(C141, "Process Directory Free Space.*Percentage"), "プロセスディレクトリの空き容量割合（%）", _xlfn.REGEXTEST(C141, "Parcel Directory Free Space.*Absolute"), "パーセルディレクトリの空き容量（絶対値）", _xlfn.REGEXTEST(C141, "Parcel Directory Free Space.*Percentage"), "パーセルディレクトリの空き容量割合（%）", _xlfn.REGEXTEST(C141, "Host Network Frame Error Percentage"), "ホストのネットワークフレームエラー割合（%）", _xlfn.REGEXTEST(C141, "Network Interfaces Slow Link Modes"), "ホストのネットワークインターフェースの低速リンクモード検出", _xlfn.REGEXTEST(C141, "Host Memory Swapping"), "ホストのメモリのスワップ発生状態", TRUE, "要手動確認")</f>
        <v>ヘルスアラートの有効化状態</v>
      </c>
      <c r="H141" s="479" t="s">
        <v>790</v>
      </c>
    </row>
    <row r="142" spans="1:8" ht="33.6">
      <c r="A142" s="514"/>
      <c r="B142" s="473"/>
      <c r="C142" s="471" t="s">
        <v>791</v>
      </c>
      <c r="D142" s="471" t="s">
        <v>792</v>
      </c>
      <c r="E142" s="471" t="s">
        <v>789</v>
      </c>
      <c r="F142" s="471" t="s">
        <v>926</v>
      </c>
      <c r="G142" s="471" t="str" cm="1">
        <f t="array" ref="G142">_xlfn.IFS(C142 = "", "", _xlfn.REGEXTEST(C142, "Service Metric Migrator Minimum Consecutive Successful Checks"), "サービスメトリック移行ツールの連続正常チェック最小回数", _xlfn.REGEXTEST(C142, "Rebalancing"), "リバランシング（データ再配置）状態", _xlfn.REGEXTEST(C142, "Temporary Dump Directory"), "一時ダンプディレクトリの監視", _xlfn.REGEXTEST(C142, "Safemode Extension"), "セーフモード延長状態", _xlfn.REGEXTEST(C142, "Client Idle"), "クライアントのアイドル（待機）状態", _xlfn.REGEXTEST(C142, "Available Space Policy Balanced"), "空き容量ポリシーの分散バランス状態", _xlfn.REGEXTEST(C142, "Filesystem Checkpoint Transaction"), "ファイルシステムのチェックポイントトランザクション", _xlfn.REGEXTEST(C142, "Blocks With Corrupt Replicas Monitoring"), "破損レプリカを持つブロックの監視", _xlfn.REGEXTEST(C142, "Missing Block Monitoring"), "消失（ミッシング）ブロックの監視", _xlfn.REGEXTEST(C142, "Under-replicated Block Monitoring"), "レプリカ数不足ブロックの監視", _xlfn.REGEXTEST(C142, "HDFS Free Space Monitoring"), "HDFSの空き容量監視", _xlfn.REGEXTEST(C142, "DataNode Monitoring"), "DataNodeの稼働状態監視", _xlfn.REGEXTEST(C142, "Rules to Extract Events from Log Files"), "ログファイルからのイベント抽出ルール設定", _xlfn.REGEXTEST(C142, "Free Space Monitoring$"), "空き容量監視（一般設定）", _xlfn.REGEXTEST(C142, "Transceivers Usage"), "トランシーバー使用量（データ転送スレッド数）", _xlfn.REGEXTEST(C142, "Volume Failures"), "ボリューム障害（ディスクエラー）数", _xlfn.REGEXTEST(C142, "Block Count"), "ブロック総数", _xlfn.REGEXTEST(C142, "Audit Failure"), "監査（オーディット）ログの失敗イベント", _xlfn.REGEXTEST(C142, "Web Metric Collection Duration"), "Webメトリック収集の所要時間", _xlfn.REGEXTEST(C142, "Pause Duration"), "一時停止（ポーズ）の所要時間", _xlfn.REGEXTEST(C142, "Fsync Latency"), "Fsync（ディスク同期）のレイテンシ", _xlfn.REGEXTEST(C142, "Free Space Monitoring Absolute"), "空き容量（絶対値）", _xlfn.REGEXTEST(C142, "Free Space Monitoring Percentage"), "空き容量割合（%）", _xlfn.REGEXTEST(C142, "Age Monitoring"), "経過時間の監視", _xlfn.REGEXTEST(C142, "Transactions Monitoring"), "トランザクション数の監視", _xlfn.REGEXTEST(C142, "RPC Latency"), "RPC（遠隔手続き呼出し）のレイテンシ", _xlfn.REGEXTEST(C142, "Directory Failures"), "ディレクトリ障害数", _xlfn.REGEXTEST(C142, "Out-Of-Sync JournalNodes"), "同期ズレが発生しているJournalNode数", _xlfn.REGEXTEST(C142, "Safemode Threshold Percentage"), "セーフモード解除閾値の割合（%）", _xlfn.REGEXTEST(C142, "Kerberos Ticket Renewer Monitoring"), "Kerberosチケット更新プロセスの稼働状態監視", _xlfn.REGEXTEST(C142, "Load Balancer Monitoring"), "ロードバランサーの稼働状態監視", _xlfn.REGEXTEST(C142, "Navigator Audit Failure"), "Cloudera Navigator監査ログの失敗イベント", _xlfn.REGEXTEST(C142, "Schema Registry Server Monitoring"), "Schema Registry Serverの稼働状態監視", _xlfn.REGEXTEST(C142, "SRM Service Monitoring"), "SRMサービスの稼働状態監視", _xlfn.REGEXTEST(C142, "SRM Driver Monitoring"), "SRMドライバーの稼働状態監視", _xlfn.REGEXTEST(C142, "Loggin"), "ログ出力状態・設定監視", _xlfn.REGEXTEST(C142, "Server Monitoring"), "サーバーの稼働状態監視", _xlfn.REGEXTEST(C142, "Server Connection Count"), "サーバーの接続数（コネクション数）", _xlfn.REGEXTEST(C142, "Server Outstanding Requests"), "サーバーの未処理リクエスト数（滞留要求数）", _xlfn.REGEXTEST(C142, "Repository Status"), "リポジトリのステータス状態", _xlfn.REGEXTEST(C142, "Monitor Long Running Task"), "長時間実行タスク（ジョブ）の監視", _xlfn.REGEXTEST(C142, "Token requests per second"), "1秒あたりのトークンリクエスト数（要求レート）", _xlfn.REGEXTEST(C142, "Connection Model Score"), "接続モデルスコア（コネクション品質）", _xlfn.REGEXTEST(C142, "Queue swap"), "キューのスワップ発生状態", _xlfn.REGEXTEST(C142, "NiFi Node Monitoring"), "NiFiノードの稼働状態監視", _xlfn.REGEXTEST(C142, "Host Clock Offset"), "ホストのクロックオフセット（時刻同期のズレ）", _xlfn.REGEXTEST(C142, "Memory Overcommit Validation"), "メモリオーバーコミット設定の検証", _xlfn.REGEXTEST(C142, "Gateway Logging"), "ゲートウェイのログ出力設定", _xlfn.REGEXTEST(C142, "CPU Balance"), "CPU使用率の分散バランス状態", _xlfn.REGEXTEST(C142, "Disk Balance"), "ディスク使用量の分散バランス状態", _xlfn.REGEXTEST(C142, "Network Inbound Balance"), "ネットワークインバウンド（受信）の分散バランス状態", _xlfn.REGEXTEST(C142, "Network Outbound Balance"), "ネットワークアウトバウンド（送信）の分散バランス状態", _xlfn.REGEXTEST(C142, "Replica Count Balance"), "レプリカ数の分散バランス状態", _xlfn.REGEXTEST(C142, "Disk Capacity"), "ディスク総容量の限界・使用容量", _xlfn.REGEXTEST(C142, "CPU Capacity"), "CPU総処理能力の限界・使用量", _xlfn.REGEXTEST(C142, "Network Inbound Capacity"), "ネットワークインバウンド（受信）帯域の限界・使用量", _xlfn.REGEXTEST(C142, "Network Outbound Capacity"), "ネットワークアウトバウンド（送信）帯域の限界・使用量", _xlfn.REGEXTEST(C142, "Leader Replica Count Balance"), "リーダーレプリカ数の分散バランス状態", _xlfn.REGEXTEST(C142, "Host DNS Resolution Duration"), "ホストのDNS名前解決の所要時間", _xlfn.REGEXTEST(C142, "TLS Certificate Expiry"), "TLS証明書の有効期限切れ", _xlfn.REGEXTEST(C142, "Host Entropy"), "ホストのエントロピー（乱数生成能力）の不足", _xlfn.REGEXTEST(C142, "File Descriptor"), "プロセスのファイルディスクリプタ使用率", _xlfn.REGEXTEST(C142, "Unexpected Exits"), "プロセスの異常終了（予期せぬ停止）", _xlfn.REGEXTEST(C142, "Swap Memory Thresholds"), "プロセスのスワップメモリ使用量", _xlfn.REGEXTEST(C142, "Swap Memory Usage Rate"), "スワップメモリ使用量の変化率（増加速度）", _xlfn.REGEXTEST(C142, "Log Directory Free Space.*Absolute"), "ログディレクトリの空き容量（絶対値）", _xlfn.REGEXTEST(C142, "Log Directory Free Space.*Percentage"), "ログディレクトリの空き容量割合（%）", _xlfn.REGEXTEST(C142, "Heap Dump Directory Free Space.*Absolute"), "ヒープダンプディレクトリの空き容量（絶対値）", _xlfn.REGEXTEST(C142, "Heap Dump Directory Free Space.*Percentage"), "ヒープダンプディレクトリの空き容量割合（%）", _xlfn.REGEXTEST(C142, "Data Directory Free Space.*Absolute"), "データディレクトリの空き容量（絶対値）", _xlfn.REGEXTEST(C142, "Data Directory Free Space.*Percentage"), "データディレクトリの空き容量割合（%）", _xlfn.REGEXTEST(C142, "Transaction Log Directory Free Space.*Absolute"), "トランザクションログディレクトリの空き容量（絶対値）", _xlfn.REGEXTEST(C142, "Logging Threshold|Logger Threshold"), "ログ出力レベルの閾値設定", _xlfn.REGEXTEST(C142, "Enable.*Alerts"), "ヘルスアラートの有効化状態", _xlfn.REGEXTEST(C142, "Triggers"), "カスタムアラート条件（トリガー設定）", _xlfn.REGEXTEST(C142, "Healthy Kafka Broker"), "Kafka Brokerの健全ノード割合（稼働率）", _xlfn.REGEXTEST(C142, "Healthy Kafka Connect"), "Kafka Connectの健全ノード割合（稼働率）", _xlfn.REGEXTEST(C142, "Healthy KRaft Controller"), "KRaft Controllerの健全ノード割合（稼働率）", _xlfn.REGEXTEST(C142, "Healthy Knox IDBroker"), "Knox IDBrokerの健全ノード割合（稼働率）", _xlfn.REGEXTEST(C142, "Healthy Knox Gateway"), "Knox Gatewayの健全ノード割合（稼働率）", _xlfn.REGEXTEST(C142, "Healthy ZooKeeper Server"), "ZooKeeper Serverの健全ノード割合（稼働率）", _xlfn.REGEXTEST(C142, "Healthy NodeManager"), "NodeManagerの健全ノード割合（稼働率）", _xlfn.REGEXTEST(C142, "Maximum Latency"), "リクエストの最大レイテンシ（処理遅延）", _xlfn.REGEXTEST(C142, "Garbage Collection Duration"), "Javaのガベージコレクション（GC）の所要時間", _xlfn.REGEXTEST(C142, "Spool Directory Usage"), "Rangerプラグインのスプールディレクトリ使用量", _xlfn.REGEXTEST(C142, "Process Directory Free Space Monitoring Absolute"), "プロセスディレクトリの空き容量（絶対値)", _xlfn.REGEXTEST(C142, "Process Directory Free Space.*Percentage"), "プロセスディレクトリの空き容量割合（%）", _xlfn.REGEXTEST(C142, "Parcel Directory Free Space.*Absolute"), "パーセルディレクトリの空き容量（絶対値）", _xlfn.REGEXTEST(C142, "Parcel Directory Free Space.*Percentage"), "パーセルディレクトリの空き容量割合（%）", _xlfn.REGEXTEST(C142, "Host Network Frame Error Percentage"), "ホストのネットワークフレームエラー割合（%）", _xlfn.REGEXTEST(C142, "Network Interfaces Slow Link Modes"), "ホストのネットワークインターフェースの低速リンクモード検出", _xlfn.REGEXTEST(C142, "Host Memory Swapping"), "ホストのメモリのスワップ発生状態", TRUE, "要手動確認")</f>
        <v>カスタムアラート条件（トリガー設定）</v>
      </c>
      <c r="H142" s="479" t="s">
        <v>754</v>
      </c>
    </row>
    <row r="143" spans="1:8" ht="33.6">
      <c r="A143" s="514"/>
      <c r="B143" s="473"/>
      <c r="C143" s="471" t="s">
        <v>793</v>
      </c>
      <c r="D143" s="471" t="s">
        <v>794</v>
      </c>
      <c r="E143" s="471" t="s">
        <v>789</v>
      </c>
      <c r="F143" s="471" t="s">
        <v>927</v>
      </c>
      <c r="G143" s="471" t="str" cm="1">
        <f t="array" ref="G143">_xlfn.IFS(C143 = "", "", _xlfn.REGEXTEST(C143, "Service Metric Migrator Minimum Consecutive Successful Checks"), "サービスメトリック移行ツールの連続正常チェック最小回数", _xlfn.REGEXTEST(C143, "Rebalancing"), "リバランシング（データ再配置）状態", _xlfn.REGEXTEST(C143, "Temporary Dump Directory"), "一時ダンプディレクトリの監視", _xlfn.REGEXTEST(C143, "Safemode Extension"), "セーフモード延長状態", _xlfn.REGEXTEST(C143, "Client Idle"), "クライアントのアイドル（待機）状態", _xlfn.REGEXTEST(C143, "Available Space Policy Balanced"), "空き容量ポリシーの分散バランス状態", _xlfn.REGEXTEST(C143, "Filesystem Checkpoint Transaction"), "ファイルシステムのチェックポイントトランザクション", _xlfn.REGEXTEST(C143, "Blocks With Corrupt Replicas Monitoring"), "破損レプリカを持つブロックの監視", _xlfn.REGEXTEST(C143, "Missing Block Monitoring"), "消失（ミッシング）ブロックの監視", _xlfn.REGEXTEST(C143, "Under-replicated Block Monitoring"), "レプリカ数不足ブロックの監視", _xlfn.REGEXTEST(C143, "HDFS Free Space Monitoring"), "HDFSの空き容量監視", _xlfn.REGEXTEST(C143, "DataNode Monitoring"), "DataNodeの稼働状態監視", _xlfn.REGEXTEST(C143, "Rules to Extract Events from Log Files"), "ログファイルからのイベント抽出ルール設定", _xlfn.REGEXTEST(C143, "Free Space Monitoring$"), "空き容量監視（一般設定）", _xlfn.REGEXTEST(C143, "Transceivers Usage"), "トランシーバー使用量（データ転送スレッド数）", _xlfn.REGEXTEST(C143, "Volume Failures"), "ボリューム障害（ディスクエラー）数", _xlfn.REGEXTEST(C143, "Block Count"), "ブロック総数", _xlfn.REGEXTEST(C143, "Audit Failure"), "監査（オーディット）ログの失敗イベント", _xlfn.REGEXTEST(C143, "Web Metric Collection Duration"), "Webメトリック収集の所要時間", _xlfn.REGEXTEST(C143, "Pause Duration"), "一時停止（ポーズ）の所要時間", _xlfn.REGEXTEST(C143, "Fsync Latency"), "Fsync（ディスク同期）のレイテンシ", _xlfn.REGEXTEST(C143, "Free Space Monitoring Absolute"), "空き容量（絶対値）", _xlfn.REGEXTEST(C143, "Free Space Monitoring Percentage"), "空き容量割合（%）", _xlfn.REGEXTEST(C143, "Age Monitoring"), "経過時間の監視", _xlfn.REGEXTEST(C143, "Transactions Monitoring"), "トランザクション数の監視", _xlfn.REGEXTEST(C143, "RPC Latency"), "RPC（遠隔手続き呼出し）のレイテンシ", _xlfn.REGEXTEST(C143, "Directory Failures"), "ディレクトリ障害数", _xlfn.REGEXTEST(C143, "Out-Of-Sync JournalNodes"), "同期ズレが発生しているJournalNode数", _xlfn.REGEXTEST(C143, "Safemode Threshold Percentage"), "セーフモード解除閾値の割合（%）", _xlfn.REGEXTEST(C143, "Kerberos Ticket Renewer Monitoring"), "Kerberosチケット更新プロセスの稼働状態監視", _xlfn.REGEXTEST(C143, "Load Balancer Monitoring"), "ロードバランサーの稼働状態監視", _xlfn.REGEXTEST(C143, "Navigator Audit Failure"), "Cloudera Navigator監査ログの失敗イベント", _xlfn.REGEXTEST(C143, "Schema Registry Server Monitoring"), "Schema Registry Serverの稼働状態監視", _xlfn.REGEXTEST(C143, "SRM Service Monitoring"), "SRMサービスの稼働状態監視", _xlfn.REGEXTEST(C143, "SRM Driver Monitoring"), "SRMドライバーの稼働状態監視", _xlfn.REGEXTEST(C143, "Loggin"), "ログ出力状態・設定監視", _xlfn.REGEXTEST(C143, "Server Monitoring"), "サーバーの稼働状態監視", _xlfn.REGEXTEST(C143, "Server Connection Count"), "サーバーの接続数（コネクション数）", _xlfn.REGEXTEST(C143, "Server Outstanding Requests"), "サーバーの未処理リクエスト数（滞留要求数）", _xlfn.REGEXTEST(C143, "Repository Status"), "リポジトリのステータス状態", _xlfn.REGEXTEST(C143, "Monitor Long Running Task"), "長時間実行タスク（ジョブ）の監視", _xlfn.REGEXTEST(C143, "Token requests per second"), "1秒あたりのトークンリクエスト数（要求レート）", _xlfn.REGEXTEST(C143, "Connection Model Score"), "接続モデルスコア（コネクション品質）", _xlfn.REGEXTEST(C143, "Queue swap"), "キューのスワップ発生状態", _xlfn.REGEXTEST(C143, "NiFi Node Monitoring"), "NiFiノードの稼働状態監視", _xlfn.REGEXTEST(C143, "Host Clock Offset"), "ホストのクロックオフセット（時刻同期のズレ）", _xlfn.REGEXTEST(C143, "Memory Overcommit Validation"), "メモリオーバーコミット設定の検証", _xlfn.REGEXTEST(C143, "Gateway Logging"), "ゲートウェイのログ出力設定", _xlfn.REGEXTEST(C143, "CPU Balance"), "CPU使用率の分散バランス状態", _xlfn.REGEXTEST(C143, "Disk Balance"), "ディスク使用量の分散バランス状態", _xlfn.REGEXTEST(C143, "Network Inbound Balance"), "ネットワークインバウンド（受信）の分散バランス状態", _xlfn.REGEXTEST(C143, "Network Outbound Balance"), "ネットワークアウトバウンド（送信）の分散バランス状態", _xlfn.REGEXTEST(C143, "Replica Count Balance"), "レプリカ数の分散バランス状態", _xlfn.REGEXTEST(C143, "Disk Capacity"), "ディスク総容量の限界・使用容量", _xlfn.REGEXTEST(C143, "CPU Capacity"), "CPU総処理能力の限界・使用量", _xlfn.REGEXTEST(C143, "Network Inbound Capacity"), "ネットワークインバウンド（受信）帯域の限界・使用量", _xlfn.REGEXTEST(C143, "Network Outbound Capacity"), "ネットワークアウトバウンド（送信）帯域の限界・使用量", _xlfn.REGEXTEST(C143, "Leader Replica Count Balance"), "リーダーレプリカ数の分散バランス状態", _xlfn.REGEXTEST(C143, "Host DNS Resolution Duration"), "ホストのDNS名前解決の所要時間", _xlfn.REGEXTEST(C143, "TLS Certificate Expiry"), "TLS証明書の有効期限切れ", _xlfn.REGEXTEST(C143, "Host Entropy"), "ホストのエントロピー（乱数生成能力）の不足", _xlfn.REGEXTEST(C143, "File Descriptor"), "プロセスのファイルディスクリプタ使用率", _xlfn.REGEXTEST(C143, "Unexpected Exits"), "プロセスの異常終了（予期せぬ停止）", _xlfn.REGEXTEST(C143, "Swap Memory Thresholds"), "プロセスのスワップメモリ使用量", _xlfn.REGEXTEST(C143, "Swap Memory Usage Rate"), "スワップメモリ使用量の変化率（増加速度）", _xlfn.REGEXTEST(C143, "Log Directory Free Space.*Absolute"), "ログディレクトリの空き容量（絶対値）", _xlfn.REGEXTEST(C143, "Log Directory Free Space.*Percentage"), "ログディレクトリの空き容量割合（%）", _xlfn.REGEXTEST(C143, "Heap Dump Directory Free Space.*Absolute"), "ヒープダンプディレクトリの空き容量（絶対値）", _xlfn.REGEXTEST(C143, "Heap Dump Directory Free Space.*Percentage"), "ヒープダンプディレクトリの空き容量割合（%）", _xlfn.REGEXTEST(C143, "Data Directory Free Space.*Absolute"), "データディレクトリの空き容量（絶対値）", _xlfn.REGEXTEST(C143, "Data Directory Free Space.*Percentage"), "データディレクトリの空き容量割合（%）", _xlfn.REGEXTEST(C143, "Transaction Log Directory Free Space.*Absolute"), "トランザクションログディレクトリの空き容量（絶対値）", _xlfn.REGEXTEST(C143, "Logging Threshold|Logger Threshold"), "ログ出力レベルの閾値設定", _xlfn.REGEXTEST(C143, "Enable.*Alerts"), "ヘルスアラートの有効化状態", _xlfn.REGEXTEST(C143, "Triggers"), "カスタムアラート条件（トリガー設定）", _xlfn.REGEXTEST(C143, "Healthy Kafka Broker"), "Kafka Brokerの健全ノード割合（稼働率）", _xlfn.REGEXTEST(C143, "Healthy Kafka Connect"), "Kafka Connectの健全ノード割合（稼働率）", _xlfn.REGEXTEST(C143, "Healthy KRaft Controller"), "KRaft Controllerの健全ノード割合（稼働率）", _xlfn.REGEXTEST(C143, "Healthy Knox IDBroker"), "Knox IDBrokerの健全ノード割合（稼働率）", _xlfn.REGEXTEST(C143, "Healthy Knox Gateway"), "Knox Gatewayの健全ノード割合（稼働率）", _xlfn.REGEXTEST(C143, "Healthy ZooKeeper Server"), "ZooKeeper Serverの健全ノード割合（稼働率）", _xlfn.REGEXTEST(C143, "Healthy NodeManager"), "NodeManagerの健全ノード割合（稼働率）", _xlfn.REGEXTEST(C143, "Maximum Latency"), "リクエストの最大レイテンシ（処理遅延）", _xlfn.REGEXTEST(C143, "Garbage Collection Duration"), "Javaのガベージコレクション（GC）の所要時間", _xlfn.REGEXTEST(C143, "Spool Directory Usage"), "Rangerプラグインのスプールディレクトリ使用量", _xlfn.REGEXTEST(C143, "Process Directory Free Space Monitoring Absolute"), "プロセスディレクトリの空き容量（絶対値)", _xlfn.REGEXTEST(C143, "Process Directory Free Space.*Percentage"), "プロセスディレクトリの空き容量割合（%）", _xlfn.REGEXTEST(C143, "Parcel Directory Free Space.*Absolute"), "パーセルディレクトリの空き容量（絶対値）", _xlfn.REGEXTEST(C143, "Parcel Directory Free Space.*Percentage"), "パーセルディレクトリの空き容量割合（%）", _xlfn.REGEXTEST(C143, "Host Network Frame Error Percentage"), "ホストのネットワークフレームエラー割合（%）", _xlfn.REGEXTEST(C143, "Network Interfaces Slow Link Modes"), "ホストのネットワークインターフェースの低速リンクモード検出", _xlfn.REGEXTEST(C143, "Host Memory Swapping"), "ホストのメモリのスワップ発生状態", TRUE, "要手動確認")</f>
        <v>Knox IDBrokerの健全ノード割合（稼働率）</v>
      </c>
      <c r="H143" s="479" t="s">
        <v>928</v>
      </c>
    </row>
    <row r="144" spans="1:8" ht="33.6">
      <c r="A144" s="514"/>
      <c r="B144" s="473"/>
      <c r="C144" s="471" t="s">
        <v>796</v>
      </c>
      <c r="D144" s="471" t="s">
        <v>797</v>
      </c>
      <c r="E144" s="471" t="s">
        <v>789</v>
      </c>
      <c r="F144" s="471" t="s">
        <v>929</v>
      </c>
      <c r="G144" s="471" t="str" cm="1">
        <f t="array" ref="G144">_xlfn.IFS(C144 = "", "", _xlfn.REGEXTEST(C144, "Service Metric Migrator Minimum Consecutive Successful Checks"), "サービスメトリック移行ツールの連続正常チェック最小回数", _xlfn.REGEXTEST(C144, "Rebalancing"), "リバランシング（データ再配置）状態", _xlfn.REGEXTEST(C144, "Temporary Dump Directory"), "一時ダンプディレクトリの監視", _xlfn.REGEXTEST(C144, "Safemode Extension"), "セーフモード延長状態", _xlfn.REGEXTEST(C144, "Client Idle"), "クライアントのアイドル（待機）状態", _xlfn.REGEXTEST(C144, "Available Space Policy Balanced"), "空き容量ポリシーの分散バランス状態", _xlfn.REGEXTEST(C144, "Filesystem Checkpoint Transaction"), "ファイルシステムのチェックポイントトランザクション", _xlfn.REGEXTEST(C144, "Blocks With Corrupt Replicas Monitoring"), "破損レプリカを持つブロックの監視", _xlfn.REGEXTEST(C144, "Missing Block Monitoring"), "消失（ミッシング）ブロックの監視", _xlfn.REGEXTEST(C144, "Under-replicated Block Monitoring"), "レプリカ数不足ブロックの監視", _xlfn.REGEXTEST(C144, "HDFS Free Space Monitoring"), "HDFSの空き容量監視", _xlfn.REGEXTEST(C144, "DataNode Monitoring"), "DataNodeの稼働状態監視", _xlfn.REGEXTEST(C144, "Rules to Extract Events from Log Files"), "ログファイルからのイベント抽出ルール設定", _xlfn.REGEXTEST(C144, "Free Space Monitoring$"), "空き容量監視（一般設定）", _xlfn.REGEXTEST(C144, "Transceivers Usage"), "トランシーバー使用量（データ転送スレッド数）", _xlfn.REGEXTEST(C144, "Volume Failures"), "ボリューム障害（ディスクエラー）数", _xlfn.REGEXTEST(C144, "Block Count"), "ブロック総数", _xlfn.REGEXTEST(C144, "Audit Failure"), "監査（オーディット）ログの失敗イベント", _xlfn.REGEXTEST(C144, "Web Metric Collection Duration"), "Webメトリック収集の所要時間", _xlfn.REGEXTEST(C144, "Pause Duration"), "一時停止（ポーズ）の所要時間", _xlfn.REGEXTEST(C144, "Fsync Latency"), "Fsync（ディスク同期）のレイテンシ", _xlfn.REGEXTEST(C144, "Free Space Monitoring Absolute"), "空き容量（絶対値）", _xlfn.REGEXTEST(C144, "Free Space Monitoring Percentage"), "空き容量割合（%）", _xlfn.REGEXTEST(C144, "Age Monitoring"), "経過時間の監視", _xlfn.REGEXTEST(C144, "Transactions Monitoring"), "トランザクション数の監視", _xlfn.REGEXTEST(C144, "RPC Latency"), "RPC（遠隔手続き呼出し）のレイテンシ", _xlfn.REGEXTEST(C144, "Directory Failures"), "ディレクトリ障害数", _xlfn.REGEXTEST(C144, "Out-Of-Sync JournalNodes"), "同期ズレが発生しているJournalNode数", _xlfn.REGEXTEST(C144, "Safemode Threshold Percentage"), "セーフモード解除閾値の割合（%）", _xlfn.REGEXTEST(C144, "Kerberos Ticket Renewer Monitoring"), "Kerberosチケット更新プロセスの稼働状態監視", _xlfn.REGEXTEST(C144, "Load Balancer Monitoring"), "ロードバランサーの稼働状態監視", _xlfn.REGEXTEST(C144, "Navigator Audit Failure"), "Cloudera Navigator監査ログの失敗イベント", _xlfn.REGEXTEST(C144, "Schema Registry Server Monitoring"), "Schema Registry Serverの稼働状態監視", _xlfn.REGEXTEST(C144, "SRM Service Monitoring"), "SRMサービスの稼働状態監視", _xlfn.REGEXTEST(C144, "SRM Driver Monitoring"), "SRMドライバーの稼働状態監視", _xlfn.REGEXTEST(C144, "Loggin"), "ログ出力状態・設定監視", _xlfn.REGEXTEST(C144, "Server Monitoring"), "サーバーの稼働状態監視", _xlfn.REGEXTEST(C144, "Server Connection Count"), "サーバーの接続数（コネクション数）", _xlfn.REGEXTEST(C144, "Server Outstanding Requests"), "サーバーの未処理リクエスト数（滞留要求数）", _xlfn.REGEXTEST(C144, "Repository Status"), "リポジトリのステータス状態", _xlfn.REGEXTEST(C144, "Monitor Long Running Task"), "長時間実行タスク（ジョブ）の監視", _xlfn.REGEXTEST(C144, "Token requests per second"), "1秒あたりのトークンリクエスト数（要求レート）", _xlfn.REGEXTEST(C144, "Connection Model Score"), "接続モデルスコア（コネクション品質）", _xlfn.REGEXTEST(C144, "Queue swap"), "キューのスワップ発生状態", _xlfn.REGEXTEST(C144, "NiFi Node Monitoring"), "NiFiノードの稼働状態監視", _xlfn.REGEXTEST(C144, "Host Clock Offset"), "ホストのクロックオフセット（時刻同期のズレ）", _xlfn.REGEXTEST(C144, "Memory Overcommit Validation"), "メモリオーバーコミット設定の検証", _xlfn.REGEXTEST(C144, "Gateway Logging"), "ゲートウェイのログ出力設定", _xlfn.REGEXTEST(C144, "CPU Balance"), "CPU使用率の分散バランス状態", _xlfn.REGEXTEST(C144, "Disk Balance"), "ディスク使用量の分散バランス状態", _xlfn.REGEXTEST(C144, "Network Inbound Balance"), "ネットワークインバウンド（受信）の分散バランス状態", _xlfn.REGEXTEST(C144, "Network Outbound Balance"), "ネットワークアウトバウンド（送信）の分散バランス状態", _xlfn.REGEXTEST(C144, "Replica Count Balance"), "レプリカ数の分散バランス状態", _xlfn.REGEXTEST(C144, "Disk Capacity"), "ディスク総容量の限界・使用容量", _xlfn.REGEXTEST(C144, "CPU Capacity"), "CPU総処理能力の限界・使用量", _xlfn.REGEXTEST(C144, "Network Inbound Capacity"), "ネットワークインバウンド（受信）帯域の限界・使用量", _xlfn.REGEXTEST(C144, "Network Outbound Capacity"), "ネットワークアウトバウンド（送信）帯域の限界・使用量", _xlfn.REGEXTEST(C144, "Leader Replica Count Balance"), "リーダーレプリカ数の分散バランス状態", _xlfn.REGEXTEST(C144, "Host DNS Resolution Duration"), "ホストのDNS名前解決の所要時間", _xlfn.REGEXTEST(C144, "TLS Certificate Expiry"), "TLS証明書の有効期限切れ", _xlfn.REGEXTEST(C144, "Host Entropy"), "ホストのエントロピー（乱数生成能力）の不足", _xlfn.REGEXTEST(C144, "File Descriptor"), "プロセスのファイルディスクリプタ使用率", _xlfn.REGEXTEST(C144, "Unexpected Exits"), "プロセスの異常終了（予期せぬ停止）", _xlfn.REGEXTEST(C144, "Swap Memory Thresholds"), "プロセスのスワップメモリ使用量", _xlfn.REGEXTEST(C144, "Swap Memory Usage Rate"), "スワップメモリ使用量の変化率（増加速度）", _xlfn.REGEXTEST(C144, "Log Directory Free Space.*Absolute"), "ログディレクトリの空き容量（絶対値）", _xlfn.REGEXTEST(C144, "Log Directory Free Space.*Percentage"), "ログディレクトリの空き容量割合（%）", _xlfn.REGEXTEST(C144, "Heap Dump Directory Free Space.*Absolute"), "ヒープダンプディレクトリの空き容量（絶対値）", _xlfn.REGEXTEST(C144, "Heap Dump Directory Free Space.*Percentage"), "ヒープダンプディレクトリの空き容量割合（%）", _xlfn.REGEXTEST(C144, "Data Directory Free Space.*Absolute"), "データディレクトリの空き容量（絶対値）", _xlfn.REGEXTEST(C144, "Data Directory Free Space.*Percentage"), "データディレクトリの空き容量割合（%）", _xlfn.REGEXTEST(C144, "Transaction Log Directory Free Space.*Absolute"), "トランザクションログディレクトリの空き容量（絶対値）", _xlfn.REGEXTEST(C144, "Logging Threshold|Logger Threshold"), "ログ出力レベルの閾値設定", _xlfn.REGEXTEST(C144, "Enable.*Alerts"), "ヘルスアラートの有効化状態", _xlfn.REGEXTEST(C144, "Triggers"), "カスタムアラート条件（トリガー設定）", _xlfn.REGEXTEST(C144, "Healthy Kafka Broker"), "Kafka Brokerの健全ノード割合（稼働率）", _xlfn.REGEXTEST(C144, "Healthy Kafka Connect"), "Kafka Connectの健全ノード割合（稼働率）", _xlfn.REGEXTEST(C144, "Healthy KRaft Controller"), "KRaft Controllerの健全ノード割合（稼働率）", _xlfn.REGEXTEST(C144, "Healthy Knox IDBroker"), "Knox IDBrokerの健全ノード割合（稼働率）", _xlfn.REGEXTEST(C144, "Healthy Knox Gateway"), "Knox Gatewayの健全ノード割合（稼働率）", _xlfn.REGEXTEST(C144, "Healthy ZooKeeper Server"), "ZooKeeper Serverの健全ノード割合（稼働率）", _xlfn.REGEXTEST(C144, "Healthy NodeManager"), "NodeManagerの健全ノード割合（稼働率）", _xlfn.REGEXTEST(C144, "Maximum Latency"), "リクエストの最大レイテンシ（処理遅延）", _xlfn.REGEXTEST(C144, "Garbage Collection Duration"), "Javaのガベージコレクション（GC）の所要時間", _xlfn.REGEXTEST(C144, "Spool Directory Usage"), "Rangerプラグインのスプールディレクトリ使用量", _xlfn.REGEXTEST(C144, "Process Directory Free Space Monitoring Absolute"), "プロセスディレクトリの空き容量（絶対値)", _xlfn.REGEXTEST(C144, "Process Directory Free Space.*Percentage"), "プロセスディレクトリの空き容量割合（%）", _xlfn.REGEXTEST(C144, "Parcel Directory Free Space.*Absolute"), "パーセルディレクトリの空き容量（絶対値）", _xlfn.REGEXTEST(C144, "Parcel Directory Free Space.*Percentage"), "パーセルディレクトリの空き容量割合（%）", _xlfn.REGEXTEST(C144, "Host Network Frame Error Percentage"), "ホストのネットワークフレームエラー割合（%）", _xlfn.REGEXTEST(C144, "Network Interfaces Slow Link Modes"), "ホストのネットワークインターフェースの低速リンクモード検出", _xlfn.REGEXTEST(C144, "Host Memory Swapping"), "ホストのメモリのスワップ発生状態", TRUE, "要手動確認")</f>
        <v>Knox Gatewayの健全ノード割合（稼働率）</v>
      </c>
      <c r="H144" s="479" t="s">
        <v>928</v>
      </c>
    </row>
    <row r="145" spans="1:8" ht="33.6">
      <c r="A145" s="514"/>
      <c r="B145" s="473"/>
      <c r="C145" s="471" t="s">
        <v>798</v>
      </c>
      <c r="D145" s="471" t="s">
        <v>710</v>
      </c>
      <c r="E145" s="471" t="s">
        <v>785</v>
      </c>
      <c r="F145" s="471" t="s">
        <v>930</v>
      </c>
      <c r="G145" s="471" t="str" cm="1">
        <f t="array" ref="G145">_xlfn.IFS(C145 = "", "", _xlfn.REGEXTEST(C145, "Service Metric Migrator Minimum Consecutive Successful Checks"), "サービスメトリック移行ツールの連続正常チェック最小回数", _xlfn.REGEXTEST(C145, "Rebalancing"), "リバランシング（データ再配置）状態", _xlfn.REGEXTEST(C145, "Temporary Dump Directory"), "一時ダンプディレクトリの監視", _xlfn.REGEXTEST(C145, "Safemode Extension"), "セーフモード延長状態", _xlfn.REGEXTEST(C145, "Client Idle"), "クライアントのアイドル（待機）状態", _xlfn.REGEXTEST(C145, "Available Space Policy Balanced"), "空き容量ポリシーの分散バランス状態", _xlfn.REGEXTEST(C145, "Filesystem Checkpoint Transaction"), "ファイルシステムのチェックポイントトランザクション", _xlfn.REGEXTEST(C145, "Blocks With Corrupt Replicas Monitoring"), "破損レプリカを持つブロックの監視", _xlfn.REGEXTEST(C145, "Missing Block Monitoring"), "消失（ミッシング）ブロックの監視", _xlfn.REGEXTEST(C145, "Under-replicated Block Monitoring"), "レプリカ数不足ブロックの監視", _xlfn.REGEXTEST(C145, "HDFS Free Space Monitoring"), "HDFSの空き容量監視", _xlfn.REGEXTEST(C145, "DataNode Monitoring"), "DataNodeの稼働状態監視", _xlfn.REGEXTEST(C145, "Rules to Extract Events from Log Files"), "ログファイルからのイベント抽出ルール設定", _xlfn.REGEXTEST(C145, "Free Space Monitoring$"), "空き容量監視（一般設定）", _xlfn.REGEXTEST(C145, "Transceivers Usage"), "トランシーバー使用量（データ転送スレッド数）", _xlfn.REGEXTEST(C145, "Volume Failures"), "ボリューム障害（ディスクエラー）数", _xlfn.REGEXTEST(C145, "Block Count"), "ブロック総数", _xlfn.REGEXTEST(C145, "Audit Failure"), "監査（オーディット）ログの失敗イベント", _xlfn.REGEXTEST(C145, "Web Metric Collection Duration"), "Webメトリック収集の所要時間", _xlfn.REGEXTEST(C145, "Pause Duration"), "一時停止（ポーズ）の所要時間", _xlfn.REGEXTEST(C145, "Fsync Latency"), "Fsync（ディスク同期）のレイテンシ", _xlfn.REGEXTEST(C145, "Free Space Monitoring Absolute"), "空き容量（絶対値）", _xlfn.REGEXTEST(C145, "Free Space Monitoring Percentage"), "空き容量割合（%）", _xlfn.REGEXTEST(C145, "Age Monitoring"), "経過時間の監視", _xlfn.REGEXTEST(C145, "Transactions Monitoring"), "トランザクション数の監視", _xlfn.REGEXTEST(C145, "RPC Latency"), "RPC（遠隔手続き呼出し）のレイテンシ", _xlfn.REGEXTEST(C145, "Directory Failures"), "ディレクトリ障害数", _xlfn.REGEXTEST(C145, "Out-Of-Sync JournalNodes"), "同期ズレが発生しているJournalNode数", _xlfn.REGEXTEST(C145, "Safemode Threshold Percentage"), "セーフモード解除閾値の割合（%）", _xlfn.REGEXTEST(C145, "Kerberos Ticket Renewer Monitoring"), "Kerberosチケット更新プロセスの稼働状態監視", _xlfn.REGEXTEST(C145, "Load Balancer Monitoring"), "ロードバランサーの稼働状態監視", _xlfn.REGEXTEST(C145, "Navigator Audit Failure"), "Cloudera Navigator監査ログの失敗イベント", _xlfn.REGEXTEST(C145, "Schema Registry Server Monitoring"), "Schema Registry Serverの稼働状態監視", _xlfn.REGEXTEST(C145, "SRM Service Monitoring"), "SRMサービスの稼働状態監視", _xlfn.REGEXTEST(C145, "SRM Driver Monitoring"), "SRMドライバーの稼働状態監視", _xlfn.REGEXTEST(C145, "Loggin"), "ログ出力状態・設定監視", _xlfn.REGEXTEST(C145, "Server Monitoring"), "サーバーの稼働状態監視", _xlfn.REGEXTEST(C145, "Server Connection Count"), "サーバーの接続数（コネクション数）", _xlfn.REGEXTEST(C145, "Server Outstanding Requests"), "サーバーの未処理リクエスト数（滞留要求数）", _xlfn.REGEXTEST(C145, "Repository Status"), "リポジトリのステータス状態", _xlfn.REGEXTEST(C145, "Monitor Long Running Task"), "長時間実行タスク（ジョブ）の監視", _xlfn.REGEXTEST(C145, "Token requests per second"), "1秒あたりのトークンリクエスト数（要求レート）", _xlfn.REGEXTEST(C145, "Connection Model Score"), "接続モデルスコア（コネクション品質）", _xlfn.REGEXTEST(C145, "Queue swap"), "キューのスワップ発生状態", _xlfn.REGEXTEST(C145, "NiFi Node Monitoring"), "NiFiノードの稼働状態監視", _xlfn.REGEXTEST(C145, "Host Clock Offset"), "ホストのクロックオフセット（時刻同期のズレ）", _xlfn.REGEXTEST(C145, "Memory Overcommit Validation"), "メモリオーバーコミット設定の検証", _xlfn.REGEXTEST(C145, "Gateway Logging"), "ゲートウェイのログ出力設定", _xlfn.REGEXTEST(C145, "CPU Balance"), "CPU使用率の分散バランス状態", _xlfn.REGEXTEST(C145, "Disk Balance"), "ディスク使用量の分散バランス状態", _xlfn.REGEXTEST(C145, "Network Inbound Balance"), "ネットワークインバウンド（受信）の分散バランス状態", _xlfn.REGEXTEST(C145, "Network Outbound Balance"), "ネットワークアウトバウンド（送信）の分散バランス状態", _xlfn.REGEXTEST(C145, "Replica Count Balance"), "レプリカ数の分散バランス状態", _xlfn.REGEXTEST(C145, "Disk Capacity"), "ディスク総容量の限界・使用容量", _xlfn.REGEXTEST(C145, "CPU Capacity"), "CPU総処理能力の限界・使用量", _xlfn.REGEXTEST(C145, "Network Inbound Capacity"), "ネットワークインバウンド（受信）帯域の限界・使用量", _xlfn.REGEXTEST(C145, "Network Outbound Capacity"), "ネットワークアウトバウンド（送信）帯域の限界・使用量", _xlfn.REGEXTEST(C145, "Leader Replica Count Balance"), "リーダーレプリカ数の分散バランス状態", _xlfn.REGEXTEST(C145, "Host DNS Resolution Duration"), "ホストのDNS名前解決の所要時間", _xlfn.REGEXTEST(C145, "TLS Certificate Expiry"), "TLS証明書の有効期限切れ", _xlfn.REGEXTEST(C145, "Host Entropy"), "ホストのエントロピー（乱数生成能力）の不足", _xlfn.REGEXTEST(C145, "File Descriptor"), "プロセスのファイルディスクリプタ使用率", _xlfn.REGEXTEST(C145, "Unexpected Exits"), "プロセスの異常終了（予期せぬ停止）", _xlfn.REGEXTEST(C145, "Swap Memory Thresholds"), "プロセスのスワップメモリ使用量", _xlfn.REGEXTEST(C145, "Swap Memory Usage Rate"), "スワップメモリ使用量の変化率（増加速度）", _xlfn.REGEXTEST(C145, "Log Directory Free Space.*Absolute"), "ログディレクトリの空き容量（絶対値）", _xlfn.REGEXTEST(C145, "Log Directory Free Space.*Percentage"), "ログディレクトリの空き容量割合（%）", _xlfn.REGEXTEST(C145, "Heap Dump Directory Free Space.*Absolute"), "ヒープダンプディレクトリの空き容量（絶対値）", _xlfn.REGEXTEST(C145, "Heap Dump Directory Free Space.*Percentage"), "ヒープダンプディレクトリの空き容量割合（%）", _xlfn.REGEXTEST(C145, "Data Directory Free Space.*Absolute"), "データディレクトリの空き容量（絶対値）", _xlfn.REGEXTEST(C145, "Data Directory Free Space.*Percentage"), "データディレクトリの空き容量割合（%）", _xlfn.REGEXTEST(C145, "Transaction Log Directory Free Space.*Absolute"), "トランザクションログディレクトリの空き容量（絶対値）", _xlfn.REGEXTEST(C145, "Logging Threshold|Logger Threshold"), "ログ出力レベルの閾値設定", _xlfn.REGEXTEST(C145, "Enable.*Alerts"), "ヘルスアラートの有効化状態", _xlfn.REGEXTEST(C145, "Triggers"), "カスタムアラート条件（トリガー設定）", _xlfn.REGEXTEST(C145, "Healthy Kafka Broker"), "Kafka Brokerの健全ノード割合（稼働率）", _xlfn.REGEXTEST(C145, "Healthy Kafka Connect"), "Kafka Connectの健全ノード割合（稼働率）", _xlfn.REGEXTEST(C145, "Healthy KRaft Controller"), "KRaft Controllerの健全ノード割合（稼働率）", _xlfn.REGEXTEST(C145, "Healthy Knox IDBroker"), "Knox IDBrokerの健全ノード割合（稼働率）", _xlfn.REGEXTEST(C145, "Healthy Knox Gateway"), "Knox Gatewayの健全ノード割合（稼働率）", _xlfn.REGEXTEST(C145, "Healthy ZooKeeper Server"), "ZooKeeper Serverの健全ノード割合（稼働率）", _xlfn.REGEXTEST(C145, "Healthy NodeManager"), "NodeManagerの健全ノード割合（稼働率）", _xlfn.REGEXTEST(C145, "Maximum Latency"), "リクエストの最大レイテンシ（処理遅延）", _xlfn.REGEXTEST(C145, "Garbage Collection Duration"), "Javaのガベージコレクション（GC）の所要時間", _xlfn.REGEXTEST(C145, "Spool Directory Usage"), "Rangerプラグインのスプールディレクトリ使用量", _xlfn.REGEXTEST(C145, "Process Directory Free Space Monitoring Absolute"), "プロセスディレクトリの空き容量（絶対値)", _xlfn.REGEXTEST(C145, "Process Directory Free Space.*Percentage"), "プロセスディレクトリの空き容量割合（%）", _xlfn.REGEXTEST(C145, "Parcel Directory Free Space.*Absolute"), "パーセルディレクトリの空き容量（絶対値）", _xlfn.REGEXTEST(C145, "Parcel Directory Free Space.*Percentage"), "パーセルディレクトリの空き容量割合（%）", _xlfn.REGEXTEST(C145, "Host Network Frame Error Percentage"), "ホストのネットワークフレームエラー割合（%）", _xlfn.REGEXTEST(C145, "Network Interfaces Slow Link Modes"), "ホストのネットワークインターフェースの低速リンクモード検出", _xlfn.REGEXTEST(C145, "Host Memory Swapping"), "ホストのメモリのスワップ発生状態", TRUE, "要手動確認")</f>
        <v>ヘルスアラートの有効化状態</v>
      </c>
      <c r="H145" s="479" t="s">
        <v>790</v>
      </c>
    </row>
    <row r="146" spans="1:8" ht="33.6">
      <c r="A146" s="514"/>
      <c r="B146" s="473"/>
      <c r="C146" s="471" t="s">
        <v>798</v>
      </c>
      <c r="D146" s="471" t="s">
        <v>710</v>
      </c>
      <c r="E146" s="471" t="s">
        <v>787</v>
      </c>
      <c r="F146" s="471" t="s">
        <v>931</v>
      </c>
      <c r="G146" s="471" t="str" cm="1">
        <f t="array" ref="G146">_xlfn.IFS(C146 = "", "", _xlfn.REGEXTEST(C146, "Service Metric Migrator Minimum Consecutive Successful Checks"), "サービスメトリック移行ツールの連続正常チェック最小回数", _xlfn.REGEXTEST(C146, "Rebalancing"), "リバランシング（データ再配置）状態", _xlfn.REGEXTEST(C146, "Temporary Dump Directory"), "一時ダンプディレクトリの監視", _xlfn.REGEXTEST(C146, "Safemode Extension"), "セーフモード延長状態", _xlfn.REGEXTEST(C146, "Client Idle"), "クライアントのアイドル（待機）状態", _xlfn.REGEXTEST(C146, "Available Space Policy Balanced"), "空き容量ポリシーの分散バランス状態", _xlfn.REGEXTEST(C146, "Filesystem Checkpoint Transaction"), "ファイルシステムのチェックポイントトランザクション", _xlfn.REGEXTEST(C146, "Blocks With Corrupt Replicas Monitoring"), "破損レプリカを持つブロックの監視", _xlfn.REGEXTEST(C146, "Missing Block Monitoring"), "消失（ミッシング）ブロックの監視", _xlfn.REGEXTEST(C146, "Under-replicated Block Monitoring"), "レプリカ数不足ブロックの監視", _xlfn.REGEXTEST(C146, "HDFS Free Space Monitoring"), "HDFSの空き容量監視", _xlfn.REGEXTEST(C146, "DataNode Monitoring"), "DataNodeの稼働状態監視", _xlfn.REGEXTEST(C146, "Rules to Extract Events from Log Files"), "ログファイルからのイベント抽出ルール設定", _xlfn.REGEXTEST(C146, "Free Space Monitoring$"), "空き容量監視（一般設定）", _xlfn.REGEXTEST(C146, "Transceivers Usage"), "トランシーバー使用量（データ転送スレッド数）", _xlfn.REGEXTEST(C146, "Volume Failures"), "ボリューム障害（ディスクエラー）数", _xlfn.REGEXTEST(C146, "Block Count"), "ブロック総数", _xlfn.REGEXTEST(C146, "Audit Failure"), "監査（オーディット）ログの失敗イベント", _xlfn.REGEXTEST(C146, "Web Metric Collection Duration"), "Webメトリック収集の所要時間", _xlfn.REGEXTEST(C146, "Pause Duration"), "一時停止（ポーズ）の所要時間", _xlfn.REGEXTEST(C146, "Fsync Latency"), "Fsync（ディスク同期）のレイテンシ", _xlfn.REGEXTEST(C146, "Free Space Monitoring Absolute"), "空き容量（絶対値）", _xlfn.REGEXTEST(C146, "Free Space Monitoring Percentage"), "空き容量割合（%）", _xlfn.REGEXTEST(C146, "Age Monitoring"), "経過時間の監視", _xlfn.REGEXTEST(C146, "Transactions Monitoring"), "トランザクション数の監視", _xlfn.REGEXTEST(C146, "RPC Latency"), "RPC（遠隔手続き呼出し）のレイテンシ", _xlfn.REGEXTEST(C146, "Directory Failures"), "ディレクトリ障害数", _xlfn.REGEXTEST(C146, "Out-Of-Sync JournalNodes"), "同期ズレが発生しているJournalNode数", _xlfn.REGEXTEST(C146, "Safemode Threshold Percentage"), "セーフモード解除閾値の割合（%）", _xlfn.REGEXTEST(C146, "Kerberos Ticket Renewer Monitoring"), "Kerberosチケット更新プロセスの稼働状態監視", _xlfn.REGEXTEST(C146, "Load Balancer Monitoring"), "ロードバランサーの稼働状態監視", _xlfn.REGEXTEST(C146, "Navigator Audit Failure"), "Cloudera Navigator監査ログの失敗イベント", _xlfn.REGEXTEST(C146, "Schema Registry Server Monitoring"), "Schema Registry Serverの稼働状態監視", _xlfn.REGEXTEST(C146, "SRM Service Monitoring"), "SRMサービスの稼働状態監視", _xlfn.REGEXTEST(C146, "SRM Driver Monitoring"), "SRMドライバーの稼働状態監視", _xlfn.REGEXTEST(C146, "Loggin"), "ログ出力状態・設定監視", _xlfn.REGEXTEST(C146, "Server Monitoring"), "サーバーの稼働状態監視", _xlfn.REGEXTEST(C146, "Server Connection Count"), "サーバーの接続数（コネクション数）", _xlfn.REGEXTEST(C146, "Server Outstanding Requests"), "サーバーの未処理リクエスト数（滞留要求数）", _xlfn.REGEXTEST(C146, "Repository Status"), "リポジトリのステータス状態", _xlfn.REGEXTEST(C146, "Monitor Long Running Task"), "長時間実行タスク（ジョブ）の監視", _xlfn.REGEXTEST(C146, "Token requests per second"), "1秒あたりのトークンリクエスト数（要求レート）", _xlfn.REGEXTEST(C146, "Connection Model Score"), "接続モデルスコア（コネクション品質）", _xlfn.REGEXTEST(C146, "Queue swap"), "キューのスワップ発生状態", _xlfn.REGEXTEST(C146, "NiFi Node Monitoring"), "NiFiノードの稼働状態監視", _xlfn.REGEXTEST(C146, "Host Clock Offset"), "ホストのクロックオフセット（時刻同期のズレ）", _xlfn.REGEXTEST(C146, "Memory Overcommit Validation"), "メモリオーバーコミット設定の検証", _xlfn.REGEXTEST(C146, "Gateway Logging"), "ゲートウェイのログ出力設定", _xlfn.REGEXTEST(C146, "CPU Balance"), "CPU使用率の分散バランス状態", _xlfn.REGEXTEST(C146, "Disk Balance"), "ディスク使用量の分散バランス状態", _xlfn.REGEXTEST(C146, "Network Inbound Balance"), "ネットワークインバウンド（受信）の分散バランス状態", _xlfn.REGEXTEST(C146, "Network Outbound Balance"), "ネットワークアウトバウンド（送信）の分散バランス状態", _xlfn.REGEXTEST(C146, "Replica Count Balance"), "レプリカ数の分散バランス状態", _xlfn.REGEXTEST(C146, "Disk Capacity"), "ディスク総容量の限界・使用容量", _xlfn.REGEXTEST(C146, "CPU Capacity"), "CPU総処理能力の限界・使用量", _xlfn.REGEXTEST(C146, "Network Inbound Capacity"), "ネットワークインバウンド（受信）帯域の限界・使用量", _xlfn.REGEXTEST(C146, "Network Outbound Capacity"), "ネットワークアウトバウンド（送信）帯域の限界・使用量", _xlfn.REGEXTEST(C146, "Leader Replica Count Balance"), "リーダーレプリカ数の分散バランス状態", _xlfn.REGEXTEST(C146, "Host DNS Resolution Duration"), "ホストのDNS名前解決の所要時間", _xlfn.REGEXTEST(C146, "TLS Certificate Expiry"), "TLS証明書の有効期限切れ", _xlfn.REGEXTEST(C146, "Host Entropy"), "ホストのエントロピー（乱数生成能力）の不足", _xlfn.REGEXTEST(C146, "File Descriptor"), "プロセスのファイルディスクリプタ使用率", _xlfn.REGEXTEST(C146, "Unexpected Exits"), "プロセスの異常終了（予期せぬ停止）", _xlfn.REGEXTEST(C146, "Swap Memory Thresholds"), "プロセスのスワップメモリ使用量", _xlfn.REGEXTEST(C146, "Swap Memory Usage Rate"), "スワップメモリ使用量の変化率（増加速度）", _xlfn.REGEXTEST(C146, "Log Directory Free Space.*Absolute"), "ログディレクトリの空き容量（絶対値）", _xlfn.REGEXTEST(C146, "Log Directory Free Space.*Percentage"), "ログディレクトリの空き容量割合（%）", _xlfn.REGEXTEST(C146, "Heap Dump Directory Free Space.*Absolute"), "ヒープダンプディレクトリの空き容量（絶対値）", _xlfn.REGEXTEST(C146, "Heap Dump Directory Free Space.*Percentage"), "ヒープダンプディレクトリの空き容量割合（%）", _xlfn.REGEXTEST(C146, "Data Directory Free Space.*Absolute"), "データディレクトリの空き容量（絶対値）", _xlfn.REGEXTEST(C146, "Data Directory Free Space.*Percentage"), "データディレクトリの空き容量割合（%）", _xlfn.REGEXTEST(C146, "Transaction Log Directory Free Space.*Absolute"), "トランザクションログディレクトリの空き容量（絶対値）", _xlfn.REGEXTEST(C146, "Logging Threshold|Logger Threshold"), "ログ出力レベルの閾値設定", _xlfn.REGEXTEST(C146, "Enable.*Alerts"), "ヘルスアラートの有効化状態", _xlfn.REGEXTEST(C146, "Triggers"), "カスタムアラート条件（トリガー設定）", _xlfn.REGEXTEST(C146, "Healthy Kafka Broker"), "Kafka Brokerの健全ノード割合（稼働率）", _xlfn.REGEXTEST(C146, "Healthy Kafka Connect"), "Kafka Connectの健全ノード割合（稼働率）", _xlfn.REGEXTEST(C146, "Healthy KRaft Controller"), "KRaft Controllerの健全ノード割合（稼働率）", _xlfn.REGEXTEST(C146, "Healthy Knox IDBroker"), "Knox IDBrokerの健全ノード割合（稼働率）", _xlfn.REGEXTEST(C146, "Healthy Knox Gateway"), "Knox Gatewayの健全ノード割合（稼働率）", _xlfn.REGEXTEST(C146, "Healthy ZooKeeper Server"), "ZooKeeper Serverの健全ノード割合（稼働率）", _xlfn.REGEXTEST(C146, "Healthy NodeManager"), "NodeManagerの健全ノード割合（稼働率）", _xlfn.REGEXTEST(C146, "Maximum Latency"), "リクエストの最大レイテンシ（処理遅延）", _xlfn.REGEXTEST(C146, "Garbage Collection Duration"), "Javaのガベージコレクション（GC）の所要時間", _xlfn.REGEXTEST(C146, "Spool Directory Usage"), "Rangerプラグインのスプールディレクトリ使用量", _xlfn.REGEXTEST(C146, "Process Directory Free Space Monitoring Absolute"), "プロセスディレクトリの空き容量（絶対値)", _xlfn.REGEXTEST(C146, "Process Directory Free Space.*Percentage"), "プロセスディレクトリの空き容量割合（%）", _xlfn.REGEXTEST(C146, "Parcel Directory Free Space.*Absolute"), "パーセルディレクトリの空き容量（絶対値）", _xlfn.REGEXTEST(C146, "Parcel Directory Free Space.*Percentage"), "パーセルディレクトリの空き容量割合（%）", _xlfn.REGEXTEST(C146, "Host Network Frame Error Percentage"), "ホストのネットワークフレームエラー割合（%）", _xlfn.REGEXTEST(C146, "Network Interfaces Slow Link Modes"), "ホストのネットワークインターフェースの低速リンクモード検出", _xlfn.REGEXTEST(C146, "Host Memory Swapping"), "ホストのメモリのスワップ発生状態", TRUE, "要手動確認")</f>
        <v>ヘルスアラートの有効化状態</v>
      </c>
      <c r="H146" s="479" t="s">
        <v>790</v>
      </c>
    </row>
    <row r="147" spans="1:8" ht="33.6">
      <c r="A147" s="514"/>
      <c r="B147" s="473"/>
      <c r="C147" s="471" t="s">
        <v>736</v>
      </c>
      <c r="D147" s="471" t="s">
        <v>800</v>
      </c>
      <c r="E147" s="471" t="s">
        <v>785</v>
      </c>
      <c r="F147" s="471" t="s">
        <v>932</v>
      </c>
      <c r="G147" s="471" t="str" cm="1">
        <f t="array" ref="G147">_xlfn.IFS(C147 = "", "", _xlfn.REGEXTEST(C147, "Service Metric Migrator Minimum Consecutive Successful Checks"), "サービスメトリック移行ツールの連続正常チェック最小回数", _xlfn.REGEXTEST(C147, "Rebalancing"), "リバランシング（データ再配置）状態", _xlfn.REGEXTEST(C147, "Temporary Dump Directory"), "一時ダンプディレクトリの監視", _xlfn.REGEXTEST(C147, "Safemode Extension"), "セーフモード延長状態", _xlfn.REGEXTEST(C147, "Client Idle"), "クライアントのアイドル（待機）状態", _xlfn.REGEXTEST(C147, "Available Space Policy Balanced"), "空き容量ポリシーの分散バランス状態", _xlfn.REGEXTEST(C147, "Filesystem Checkpoint Transaction"), "ファイルシステムのチェックポイントトランザクション", _xlfn.REGEXTEST(C147, "Blocks With Corrupt Replicas Monitoring"), "破損レプリカを持つブロックの監視", _xlfn.REGEXTEST(C147, "Missing Block Monitoring"), "消失（ミッシング）ブロックの監視", _xlfn.REGEXTEST(C147, "Under-replicated Block Monitoring"), "レプリカ数不足ブロックの監視", _xlfn.REGEXTEST(C147, "HDFS Free Space Monitoring"), "HDFSの空き容量監視", _xlfn.REGEXTEST(C147, "DataNode Monitoring"), "DataNodeの稼働状態監視", _xlfn.REGEXTEST(C147, "Rules to Extract Events from Log Files"), "ログファイルからのイベント抽出ルール設定", _xlfn.REGEXTEST(C147, "Free Space Monitoring$"), "空き容量監視（一般設定）", _xlfn.REGEXTEST(C147, "Transceivers Usage"), "トランシーバー使用量（データ転送スレッド数）", _xlfn.REGEXTEST(C147, "Volume Failures"), "ボリューム障害（ディスクエラー）数", _xlfn.REGEXTEST(C147, "Block Count"), "ブロック総数", _xlfn.REGEXTEST(C147, "Audit Failure"), "監査（オーディット）ログの失敗イベント", _xlfn.REGEXTEST(C147, "Web Metric Collection Duration"), "Webメトリック収集の所要時間", _xlfn.REGEXTEST(C147, "Pause Duration"), "一時停止（ポーズ）の所要時間", _xlfn.REGEXTEST(C147, "Fsync Latency"), "Fsync（ディスク同期）のレイテンシ", _xlfn.REGEXTEST(C147, "Free Space Monitoring Absolute"), "空き容量（絶対値）", _xlfn.REGEXTEST(C147, "Free Space Monitoring Percentage"), "空き容量割合（%）", _xlfn.REGEXTEST(C147, "Age Monitoring"), "経過時間の監視", _xlfn.REGEXTEST(C147, "Transactions Monitoring"), "トランザクション数の監視", _xlfn.REGEXTEST(C147, "RPC Latency"), "RPC（遠隔手続き呼出し）のレイテンシ", _xlfn.REGEXTEST(C147, "Directory Failures"), "ディレクトリ障害数", _xlfn.REGEXTEST(C147, "Out-Of-Sync JournalNodes"), "同期ズレが発生しているJournalNode数", _xlfn.REGEXTEST(C147, "Safemode Threshold Percentage"), "セーフモード解除閾値の割合（%）", _xlfn.REGEXTEST(C147, "Kerberos Ticket Renewer Monitoring"), "Kerberosチケット更新プロセスの稼働状態監視", _xlfn.REGEXTEST(C147, "Load Balancer Monitoring"), "ロードバランサーの稼働状態監視", _xlfn.REGEXTEST(C147, "Navigator Audit Failure"), "Cloudera Navigator監査ログの失敗イベント", _xlfn.REGEXTEST(C147, "Schema Registry Server Monitoring"), "Schema Registry Serverの稼働状態監視", _xlfn.REGEXTEST(C147, "SRM Service Monitoring"), "SRMサービスの稼働状態監視", _xlfn.REGEXTEST(C147, "SRM Driver Monitoring"), "SRMドライバーの稼働状態監視", _xlfn.REGEXTEST(C147, "Loggin"), "ログ出力状態・設定監視", _xlfn.REGEXTEST(C147, "Server Monitoring"), "サーバーの稼働状態監視", _xlfn.REGEXTEST(C147, "Server Connection Count"), "サーバーの接続数（コネクション数）", _xlfn.REGEXTEST(C147, "Server Outstanding Requests"), "サーバーの未処理リクエスト数（滞留要求数）", _xlfn.REGEXTEST(C147, "Repository Status"), "リポジトリのステータス状態", _xlfn.REGEXTEST(C147, "Monitor Long Running Task"), "長時間実行タスク（ジョブ）の監視", _xlfn.REGEXTEST(C147, "Token requests per second"), "1秒あたりのトークンリクエスト数（要求レート）", _xlfn.REGEXTEST(C147, "Connection Model Score"), "接続モデルスコア（コネクション品質）", _xlfn.REGEXTEST(C147, "Queue swap"), "キューのスワップ発生状態", _xlfn.REGEXTEST(C147, "NiFi Node Monitoring"), "NiFiノードの稼働状態監視", _xlfn.REGEXTEST(C147, "Host Clock Offset"), "ホストのクロックオフセット（時刻同期のズレ）", _xlfn.REGEXTEST(C147, "Memory Overcommit Validation"), "メモリオーバーコミット設定の検証", _xlfn.REGEXTEST(C147, "Gateway Logging"), "ゲートウェイのログ出力設定", _xlfn.REGEXTEST(C147, "CPU Balance"), "CPU使用率の分散バランス状態", _xlfn.REGEXTEST(C147, "Disk Balance"), "ディスク使用量の分散バランス状態", _xlfn.REGEXTEST(C147, "Network Inbound Balance"), "ネットワークインバウンド（受信）の分散バランス状態", _xlfn.REGEXTEST(C147, "Network Outbound Balance"), "ネットワークアウトバウンド（送信）の分散バランス状態", _xlfn.REGEXTEST(C147, "Replica Count Balance"), "レプリカ数の分散バランス状態", _xlfn.REGEXTEST(C147, "Disk Capacity"), "ディスク総容量の限界・使用容量", _xlfn.REGEXTEST(C147, "CPU Capacity"), "CPU総処理能力の限界・使用量", _xlfn.REGEXTEST(C147, "Network Inbound Capacity"), "ネットワークインバウンド（受信）帯域の限界・使用量", _xlfn.REGEXTEST(C147, "Network Outbound Capacity"), "ネットワークアウトバウンド（送信）帯域の限界・使用量", _xlfn.REGEXTEST(C147, "Leader Replica Count Balance"), "リーダーレプリカ数の分散バランス状態", _xlfn.REGEXTEST(C147, "Host DNS Resolution Duration"), "ホストのDNS名前解決の所要時間", _xlfn.REGEXTEST(C147, "TLS Certificate Expiry"), "TLS証明書の有効期限切れ", _xlfn.REGEXTEST(C147, "Host Entropy"), "ホストのエントロピー（乱数生成能力）の不足", _xlfn.REGEXTEST(C147, "File Descriptor"), "プロセスのファイルディスクリプタ使用率", _xlfn.REGEXTEST(C147, "Unexpected Exits"), "プロセスの異常終了（予期せぬ停止）", _xlfn.REGEXTEST(C147, "Swap Memory Thresholds"), "プロセスのスワップメモリ使用量", _xlfn.REGEXTEST(C147, "Swap Memory Usage Rate"), "スワップメモリ使用量の変化率（増加速度）", _xlfn.REGEXTEST(C147, "Log Directory Free Space.*Absolute"), "ログディレクトリの空き容量（絶対値）", _xlfn.REGEXTEST(C147, "Log Directory Free Space.*Percentage"), "ログディレクトリの空き容量割合（%）", _xlfn.REGEXTEST(C147, "Heap Dump Directory Free Space.*Absolute"), "ヒープダンプディレクトリの空き容量（絶対値）", _xlfn.REGEXTEST(C147, "Heap Dump Directory Free Space.*Percentage"), "ヒープダンプディレクトリの空き容量割合（%）", _xlfn.REGEXTEST(C147, "Data Directory Free Space.*Absolute"), "データディレクトリの空き容量（絶対値）", _xlfn.REGEXTEST(C147, "Data Directory Free Space.*Percentage"), "データディレクトリの空き容量割合（%）", _xlfn.REGEXTEST(C147, "Transaction Log Directory Free Space.*Absolute"), "トランザクションログディレクトリの空き容量（絶対値）", _xlfn.REGEXTEST(C147, "Logging Threshold|Logger Threshold"), "ログ出力レベルの閾値設定", _xlfn.REGEXTEST(C147, "Enable.*Alerts"), "ヘルスアラートの有効化状態", _xlfn.REGEXTEST(C147, "Triggers"), "カスタムアラート条件（トリガー設定）", _xlfn.REGEXTEST(C147, "Healthy Kafka Broker"), "Kafka Brokerの健全ノード割合（稼働率）", _xlfn.REGEXTEST(C147, "Healthy Kafka Connect"), "Kafka Connectの健全ノード割合（稼働率）", _xlfn.REGEXTEST(C147, "Healthy KRaft Controller"), "KRaft Controllerの健全ノード割合（稼働率）", _xlfn.REGEXTEST(C147, "Healthy Knox IDBroker"), "Knox IDBrokerの健全ノード割合（稼働率）", _xlfn.REGEXTEST(C147, "Healthy Knox Gateway"), "Knox Gatewayの健全ノード割合（稼働率）", _xlfn.REGEXTEST(C147, "Healthy ZooKeeper Server"), "ZooKeeper Serverの健全ノード割合（稼働率）", _xlfn.REGEXTEST(C147, "Healthy NodeManager"), "NodeManagerの健全ノード割合（稼働率）", _xlfn.REGEXTEST(C147, "Maximum Latency"), "リクエストの最大レイテンシ（処理遅延）", _xlfn.REGEXTEST(C147, "Garbage Collection Duration"), "Javaのガベージコレクション（GC）の所要時間", _xlfn.REGEXTEST(C147, "Spool Directory Usage"), "Rangerプラグインのスプールディレクトリ使用量", _xlfn.REGEXTEST(C147, "Process Directory Free Space Monitoring Absolute"), "プロセスディレクトリの空き容量（絶対値)", _xlfn.REGEXTEST(C147, "Process Directory Free Space.*Percentage"), "プロセスディレクトリの空き容量割合（%）", _xlfn.REGEXTEST(C147, "Parcel Directory Free Space.*Absolute"), "パーセルディレクトリの空き容量（絶対値）", _xlfn.REGEXTEST(C147, "Parcel Directory Free Space.*Percentage"), "パーセルディレクトリの空き容量割合（%）", _xlfn.REGEXTEST(C147, "Host Network Frame Error Percentage"), "ホストのネットワークフレームエラー割合（%）", _xlfn.REGEXTEST(C147, "Network Interfaces Slow Link Modes"), "ホストのネットワークインターフェースの低速リンクモード検出", _xlfn.REGEXTEST(C147, "Host Memory Swapping"), "ホストのメモリのスワップ発生状態", TRUE, "要手動確認")</f>
        <v>プロセスのファイルディスクリプタ使用率</v>
      </c>
      <c r="H147" s="479" t="s">
        <v>933</v>
      </c>
    </row>
    <row r="148" spans="1:8" ht="33.6">
      <c r="A148" s="514"/>
      <c r="B148" s="473"/>
      <c r="C148" s="471" t="s">
        <v>741</v>
      </c>
      <c r="D148" s="471" t="s">
        <v>742</v>
      </c>
      <c r="E148" s="471" t="s">
        <v>785</v>
      </c>
      <c r="F148" s="471" t="s">
        <v>934</v>
      </c>
      <c r="G148" s="471" t="str" cm="1">
        <f t="array" ref="G148">_xlfn.IFS(C148 = "", "", _xlfn.REGEXTEST(C148, "Service Metric Migrator Minimum Consecutive Successful Checks"), "サービスメトリック移行ツールの連続正常チェック最小回数", _xlfn.REGEXTEST(C148, "Rebalancing"), "リバランシング（データ再配置）状態", _xlfn.REGEXTEST(C148, "Temporary Dump Directory"), "一時ダンプディレクトリの監視", _xlfn.REGEXTEST(C148, "Safemode Extension"), "セーフモード延長状態", _xlfn.REGEXTEST(C148, "Client Idle"), "クライアントのアイドル（待機）状態", _xlfn.REGEXTEST(C148, "Available Space Policy Balanced"), "空き容量ポリシーの分散バランス状態", _xlfn.REGEXTEST(C148, "Filesystem Checkpoint Transaction"), "ファイルシステムのチェックポイントトランザクション", _xlfn.REGEXTEST(C148, "Blocks With Corrupt Replicas Monitoring"), "破損レプリカを持つブロックの監視", _xlfn.REGEXTEST(C148, "Missing Block Monitoring"), "消失（ミッシング）ブロックの監視", _xlfn.REGEXTEST(C148, "Under-replicated Block Monitoring"), "レプリカ数不足ブロックの監視", _xlfn.REGEXTEST(C148, "HDFS Free Space Monitoring"), "HDFSの空き容量監視", _xlfn.REGEXTEST(C148, "DataNode Monitoring"), "DataNodeの稼働状態監視", _xlfn.REGEXTEST(C148, "Rules to Extract Events from Log Files"), "ログファイルからのイベント抽出ルール設定", _xlfn.REGEXTEST(C148, "Free Space Monitoring$"), "空き容量監視（一般設定）", _xlfn.REGEXTEST(C148, "Transceivers Usage"), "トランシーバー使用量（データ転送スレッド数）", _xlfn.REGEXTEST(C148, "Volume Failures"), "ボリューム障害（ディスクエラー）数", _xlfn.REGEXTEST(C148, "Block Count"), "ブロック総数", _xlfn.REGEXTEST(C148, "Audit Failure"), "監査（オーディット）ログの失敗イベント", _xlfn.REGEXTEST(C148, "Web Metric Collection Duration"), "Webメトリック収集の所要時間", _xlfn.REGEXTEST(C148, "Pause Duration"), "一時停止（ポーズ）の所要時間", _xlfn.REGEXTEST(C148, "Fsync Latency"), "Fsync（ディスク同期）のレイテンシ", _xlfn.REGEXTEST(C148, "Free Space Monitoring Absolute"), "空き容量（絶対値）", _xlfn.REGEXTEST(C148, "Free Space Monitoring Percentage"), "空き容量割合（%）", _xlfn.REGEXTEST(C148, "Age Monitoring"), "経過時間の監視", _xlfn.REGEXTEST(C148, "Transactions Monitoring"), "トランザクション数の監視", _xlfn.REGEXTEST(C148, "RPC Latency"), "RPC（遠隔手続き呼出し）のレイテンシ", _xlfn.REGEXTEST(C148, "Directory Failures"), "ディレクトリ障害数", _xlfn.REGEXTEST(C148, "Out-Of-Sync JournalNodes"), "同期ズレが発生しているJournalNode数", _xlfn.REGEXTEST(C148, "Safemode Threshold Percentage"), "セーフモード解除閾値の割合（%）", _xlfn.REGEXTEST(C148, "Kerberos Ticket Renewer Monitoring"), "Kerberosチケット更新プロセスの稼働状態監視", _xlfn.REGEXTEST(C148, "Load Balancer Monitoring"), "ロードバランサーの稼働状態監視", _xlfn.REGEXTEST(C148, "Navigator Audit Failure"), "Cloudera Navigator監査ログの失敗イベント", _xlfn.REGEXTEST(C148, "Schema Registry Server Monitoring"), "Schema Registry Serverの稼働状態監視", _xlfn.REGEXTEST(C148, "SRM Service Monitoring"), "SRMサービスの稼働状態監視", _xlfn.REGEXTEST(C148, "SRM Driver Monitoring"), "SRMドライバーの稼働状態監視", _xlfn.REGEXTEST(C148, "Loggin"), "ログ出力状態・設定監視", _xlfn.REGEXTEST(C148, "Server Monitoring"), "サーバーの稼働状態監視", _xlfn.REGEXTEST(C148, "Server Connection Count"), "サーバーの接続数（コネクション数）", _xlfn.REGEXTEST(C148, "Server Outstanding Requests"), "サーバーの未処理リクエスト数（滞留要求数）", _xlfn.REGEXTEST(C148, "Repository Status"), "リポジトリのステータス状態", _xlfn.REGEXTEST(C148, "Monitor Long Running Task"), "長時間実行タスク（ジョブ）の監視", _xlfn.REGEXTEST(C148, "Token requests per second"), "1秒あたりのトークンリクエスト数（要求レート）", _xlfn.REGEXTEST(C148, "Connection Model Score"), "接続モデルスコア（コネクション品質）", _xlfn.REGEXTEST(C148, "Queue swap"), "キューのスワップ発生状態", _xlfn.REGEXTEST(C148, "NiFi Node Monitoring"), "NiFiノードの稼働状態監視", _xlfn.REGEXTEST(C148, "Host Clock Offset"), "ホストのクロックオフセット（時刻同期のズレ）", _xlfn.REGEXTEST(C148, "Memory Overcommit Validation"), "メモリオーバーコミット設定の検証", _xlfn.REGEXTEST(C148, "Gateway Logging"), "ゲートウェイのログ出力設定", _xlfn.REGEXTEST(C148, "CPU Balance"), "CPU使用率の分散バランス状態", _xlfn.REGEXTEST(C148, "Disk Balance"), "ディスク使用量の分散バランス状態", _xlfn.REGEXTEST(C148, "Network Inbound Balance"), "ネットワークインバウンド（受信）の分散バランス状態", _xlfn.REGEXTEST(C148, "Network Outbound Balance"), "ネットワークアウトバウンド（送信）の分散バランス状態", _xlfn.REGEXTEST(C148, "Replica Count Balance"), "レプリカ数の分散バランス状態", _xlfn.REGEXTEST(C148, "Disk Capacity"), "ディスク総容量の限界・使用容量", _xlfn.REGEXTEST(C148, "CPU Capacity"), "CPU総処理能力の限界・使用量", _xlfn.REGEXTEST(C148, "Network Inbound Capacity"), "ネットワークインバウンド（受信）帯域の限界・使用量", _xlfn.REGEXTEST(C148, "Network Outbound Capacity"), "ネットワークアウトバウンド（送信）帯域の限界・使用量", _xlfn.REGEXTEST(C148, "Leader Replica Count Balance"), "リーダーレプリカ数の分散バランス状態", _xlfn.REGEXTEST(C148, "Host DNS Resolution Duration"), "ホストのDNS名前解決の所要時間", _xlfn.REGEXTEST(C148, "TLS Certificate Expiry"), "TLS証明書の有効期限切れ", _xlfn.REGEXTEST(C148, "Host Entropy"), "ホストのエントロピー（乱数生成能力）の不足", _xlfn.REGEXTEST(C148, "File Descriptor"), "プロセスのファイルディスクリプタ使用率", _xlfn.REGEXTEST(C148, "Unexpected Exits"), "プロセスの異常終了（予期せぬ停止）", _xlfn.REGEXTEST(C148, "Swap Memory Thresholds"), "プロセスのスワップメモリ使用量", _xlfn.REGEXTEST(C148, "Swap Memory Usage Rate"), "スワップメモリ使用量の変化率（増加速度）", _xlfn.REGEXTEST(C148, "Log Directory Free Space.*Absolute"), "ログディレクトリの空き容量（絶対値）", _xlfn.REGEXTEST(C148, "Log Directory Free Space.*Percentage"), "ログディレクトリの空き容量割合（%）", _xlfn.REGEXTEST(C148, "Heap Dump Directory Free Space.*Absolute"), "ヒープダンプディレクトリの空き容量（絶対値）", _xlfn.REGEXTEST(C148, "Heap Dump Directory Free Space.*Percentage"), "ヒープダンプディレクトリの空き容量割合（%）", _xlfn.REGEXTEST(C148, "Data Directory Free Space.*Absolute"), "データディレクトリの空き容量（絶対値）", _xlfn.REGEXTEST(C148, "Data Directory Free Space.*Percentage"), "データディレクトリの空き容量割合（%）", _xlfn.REGEXTEST(C148, "Transaction Log Directory Free Space.*Absolute"), "トランザクションログディレクトリの空き容量（絶対値）", _xlfn.REGEXTEST(C148, "Logging Threshold|Logger Threshold"), "ログ出力レベルの閾値設定", _xlfn.REGEXTEST(C148, "Enable.*Alerts"), "ヘルスアラートの有効化状態", _xlfn.REGEXTEST(C148, "Triggers"), "カスタムアラート条件（トリガー設定）", _xlfn.REGEXTEST(C148, "Healthy Kafka Broker"), "Kafka Brokerの健全ノード割合（稼働率）", _xlfn.REGEXTEST(C148, "Healthy Kafka Connect"), "Kafka Connectの健全ノード割合（稼働率）", _xlfn.REGEXTEST(C148, "Healthy KRaft Controller"), "KRaft Controllerの健全ノード割合（稼働率）", _xlfn.REGEXTEST(C148, "Healthy Knox IDBroker"), "Knox IDBrokerの健全ノード割合（稼働率）", _xlfn.REGEXTEST(C148, "Healthy Knox Gateway"), "Knox Gatewayの健全ノード割合（稼働率）", _xlfn.REGEXTEST(C148, "Healthy ZooKeeper Server"), "ZooKeeper Serverの健全ノード割合（稼働率）", _xlfn.REGEXTEST(C148, "Healthy NodeManager"), "NodeManagerの健全ノード割合（稼働率）", _xlfn.REGEXTEST(C148, "Maximum Latency"), "リクエストの最大レイテンシ（処理遅延）", _xlfn.REGEXTEST(C148, "Garbage Collection Duration"), "Javaのガベージコレクション（GC）の所要時間", _xlfn.REGEXTEST(C148, "Spool Directory Usage"), "Rangerプラグインのスプールディレクトリ使用量", _xlfn.REGEXTEST(C148, "Process Directory Free Space Monitoring Absolute"), "プロセスディレクトリの空き容量（絶対値)", _xlfn.REGEXTEST(C148, "Process Directory Free Space.*Percentage"), "プロセスディレクトリの空き容量割合（%）", _xlfn.REGEXTEST(C148, "Parcel Directory Free Space.*Absolute"), "パーセルディレクトリの空き容量（絶対値）", _xlfn.REGEXTEST(C148, "Parcel Directory Free Space.*Percentage"), "パーセルディレクトリの空き容量割合（%）", _xlfn.REGEXTEST(C148, "Host Network Frame Error Percentage"), "ホストのネットワークフレームエラー割合（%）", _xlfn.REGEXTEST(C148, "Network Interfaces Slow Link Modes"), "ホストのネットワークインターフェースの低速リンクモード検出", _xlfn.REGEXTEST(C148, "Host Memory Swapping"), "ホストのメモリのスワップ発生状態", TRUE, "要手動確認")</f>
        <v>空き容量（絶対値）</v>
      </c>
      <c r="H148" s="479" t="s">
        <v>935</v>
      </c>
    </row>
    <row r="149" spans="1:8" ht="33.6">
      <c r="A149" s="514"/>
      <c r="B149" s="473"/>
      <c r="C149" s="471" t="s">
        <v>741</v>
      </c>
      <c r="D149" s="471" t="s">
        <v>742</v>
      </c>
      <c r="E149" s="471" t="s">
        <v>787</v>
      </c>
      <c r="F149" s="471" t="s">
        <v>936</v>
      </c>
      <c r="G149" s="471" t="str" cm="1">
        <f t="array" ref="G149">_xlfn.IFS(C149 = "", "", _xlfn.REGEXTEST(C149, "Service Metric Migrator Minimum Consecutive Successful Checks"), "サービスメトリック移行ツールの連続正常チェック最小回数", _xlfn.REGEXTEST(C149, "Rebalancing"), "リバランシング（データ再配置）状態", _xlfn.REGEXTEST(C149, "Temporary Dump Directory"), "一時ダンプディレクトリの監視", _xlfn.REGEXTEST(C149, "Safemode Extension"), "セーフモード延長状態", _xlfn.REGEXTEST(C149, "Client Idle"), "クライアントのアイドル（待機）状態", _xlfn.REGEXTEST(C149, "Available Space Policy Balanced"), "空き容量ポリシーの分散バランス状態", _xlfn.REGEXTEST(C149, "Filesystem Checkpoint Transaction"), "ファイルシステムのチェックポイントトランザクション", _xlfn.REGEXTEST(C149, "Blocks With Corrupt Replicas Monitoring"), "破損レプリカを持つブロックの監視", _xlfn.REGEXTEST(C149, "Missing Block Monitoring"), "消失（ミッシング）ブロックの監視", _xlfn.REGEXTEST(C149, "Under-replicated Block Monitoring"), "レプリカ数不足ブロックの監視", _xlfn.REGEXTEST(C149, "HDFS Free Space Monitoring"), "HDFSの空き容量監視", _xlfn.REGEXTEST(C149, "DataNode Monitoring"), "DataNodeの稼働状態監視", _xlfn.REGEXTEST(C149, "Rules to Extract Events from Log Files"), "ログファイルからのイベント抽出ルール設定", _xlfn.REGEXTEST(C149, "Free Space Monitoring$"), "空き容量監視（一般設定）", _xlfn.REGEXTEST(C149, "Transceivers Usage"), "トランシーバー使用量（データ転送スレッド数）", _xlfn.REGEXTEST(C149, "Volume Failures"), "ボリューム障害（ディスクエラー）数", _xlfn.REGEXTEST(C149, "Block Count"), "ブロック総数", _xlfn.REGEXTEST(C149, "Audit Failure"), "監査（オーディット）ログの失敗イベント", _xlfn.REGEXTEST(C149, "Web Metric Collection Duration"), "Webメトリック収集の所要時間", _xlfn.REGEXTEST(C149, "Pause Duration"), "一時停止（ポーズ）の所要時間", _xlfn.REGEXTEST(C149, "Fsync Latency"), "Fsync（ディスク同期）のレイテンシ", _xlfn.REGEXTEST(C149, "Free Space Monitoring Absolute"), "空き容量（絶対値）", _xlfn.REGEXTEST(C149, "Free Space Monitoring Percentage"), "空き容量割合（%）", _xlfn.REGEXTEST(C149, "Age Monitoring"), "経過時間の監視", _xlfn.REGEXTEST(C149, "Transactions Monitoring"), "トランザクション数の監視", _xlfn.REGEXTEST(C149, "RPC Latency"), "RPC（遠隔手続き呼出し）のレイテンシ", _xlfn.REGEXTEST(C149, "Directory Failures"), "ディレクトリ障害数", _xlfn.REGEXTEST(C149, "Out-Of-Sync JournalNodes"), "同期ズレが発生しているJournalNode数", _xlfn.REGEXTEST(C149, "Safemode Threshold Percentage"), "セーフモード解除閾値の割合（%）", _xlfn.REGEXTEST(C149, "Kerberos Ticket Renewer Monitoring"), "Kerberosチケット更新プロセスの稼働状態監視", _xlfn.REGEXTEST(C149, "Load Balancer Monitoring"), "ロードバランサーの稼働状態監視", _xlfn.REGEXTEST(C149, "Navigator Audit Failure"), "Cloudera Navigator監査ログの失敗イベント", _xlfn.REGEXTEST(C149, "Schema Registry Server Monitoring"), "Schema Registry Serverの稼働状態監視", _xlfn.REGEXTEST(C149, "SRM Service Monitoring"), "SRMサービスの稼働状態監視", _xlfn.REGEXTEST(C149, "SRM Driver Monitoring"), "SRMドライバーの稼働状態監視", _xlfn.REGEXTEST(C149, "Loggin"), "ログ出力状態・設定監視", _xlfn.REGEXTEST(C149, "Server Monitoring"), "サーバーの稼働状態監視", _xlfn.REGEXTEST(C149, "Server Connection Count"), "サーバーの接続数（コネクション数）", _xlfn.REGEXTEST(C149, "Server Outstanding Requests"), "サーバーの未処理リクエスト数（滞留要求数）", _xlfn.REGEXTEST(C149, "Repository Status"), "リポジトリのステータス状態", _xlfn.REGEXTEST(C149, "Monitor Long Running Task"), "長時間実行タスク（ジョブ）の監視", _xlfn.REGEXTEST(C149, "Token requests per second"), "1秒あたりのトークンリクエスト数（要求レート）", _xlfn.REGEXTEST(C149, "Connection Model Score"), "接続モデルスコア（コネクション品質）", _xlfn.REGEXTEST(C149, "Queue swap"), "キューのスワップ発生状態", _xlfn.REGEXTEST(C149, "NiFi Node Monitoring"), "NiFiノードの稼働状態監視", _xlfn.REGEXTEST(C149, "Host Clock Offset"), "ホストのクロックオフセット（時刻同期のズレ）", _xlfn.REGEXTEST(C149, "Memory Overcommit Validation"), "メモリオーバーコミット設定の検証", _xlfn.REGEXTEST(C149, "Gateway Logging"), "ゲートウェイのログ出力設定", _xlfn.REGEXTEST(C149, "CPU Balance"), "CPU使用率の分散バランス状態", _xlfn.REGEXTEST(C149, "Disk Balance"), "ディスク使用量の分散バランス状態", _xlfn.REGEXTEST(C149, "Network Inbound Balance"), "ネットワークインバウンド（受信）の分散バランス状態", _xlfn.REGEXTEST(C149, "Network Outbound Balance"), "ネットワークアウトバウンド（送信）の分散バランス状態", _xlfn.REGEXTEST(C149, "Replica Count Balance"), "レプリカ数の分散バランス状態", _xlfn.REGEXTEST(C149, "Disk Capacity"), "ディスク総容量の限界・使用容量", _xlfn.REGEXTEST(C149, "CPU Capacity"), "CPU総処理能力の限界・使用量", _xlfn.REGEXTEST(C149, "Network Inbound Capacity"), "ネットワークインバウンド（受信）帯域の限界・使用量", _xlfn.REGEXTEST(C149, "Network Outbound Capacity"), "ネットワークアウトバウンド（送信）帯域の限界・使用量", _xlfn.REGEXTEST(C149, "Leader Replica Count Balance"), "リーダーレプリカ数の分散バランス状態", _xlfn.REGEXTEST(C149, "Host DNS Resolution Duration"), "ホストのDNS名前解決の所要時間", _xlfn.REGEXTEST(C149, "TLS Certificate Expiry"), "TLS証明書の有効期限切れ", _xlfn.REGEXTEST(C149, "Host Entropy"), "ホストのエントロピー（乱数生成能力）の不足", _xlfn.REGEXTEST(C149, "File Descriptor"), "プロセスのファイルディスクリプタ使用率", _xlfn.REGEXTEST(C149, "Unexpected Exits"), "プロセスの異常終了（予期せぬ停止）", _xlfn.REGEXTEST(C149, "Swap Memory Thresholds"), "プロセスのスワップメモリ使用量", _xlfn.REGEXTEST(C149, "Swap Memory Usage Rate"), "スワップメモリ使用量の変化率（増加速度）", _xlfn.REGEXTEST(C149, "Log Directory Free Space.*Absolute"), "ログディレクトリの空き容量（絶対値）", _xlfn.REGEXTEST(C149, "Log Directory Free Space.*Percentage"), "ログディレクトリの空き容量割合（%）", _xlfn.REGEXTEST(C149, "Heap Dump Directory Free Space.*Absolute"), "ヒープダンプディレクトリの空き容量（絶対値）", _xlfn.REGEXTEST(C149, "Heap Dump Directory Free Space.*Percentage"), "ヒープダンプディレクトリの空き容量割合（%）", _xlfn.REGEXTEST(C149, "Data Directory Free Space.*Absolute"), "データディレクトリの空き容量（絶対値）", _xlfn.REGEXTEST(C149, "Data Directory Free Space.*Percentage"), "データディレクトリの空き容量割合（%）", _xlfn.REGEXTEST(C149, "Transaction Log Directory Free Space.*Absolute"), "トランザクションログディレクトリの空き容量（絶対値）", _xlfn.REGEXTEST(C149, "Logging Threshold|Logger Threshold"), "ログ出力レベルの閾値設定", _xlfn.REGEXTEST(C149, "Enable.*Alerts"), "ヘルスアラートの有効化状態", _xlfn.REGEXTEST(C149, "Triggers"), "カスタムアラート条件（トリガー設定）", _xlfn.REGEXTEST(C149, "Healthy Kafka Broker"), "Kafka Brokerの健全ノード割合（稼働率）", _xlfn.REGEXTEST(C149, "Healthy Kafka Connect"), "Kafka Connectの健全ノード割合（稼働率）", _xlfn.REGEXTEST(C149, "Healthy KRaft Controller"), "KRaft Controllerの健全ノード割合（稼働率）", _xlfn.REGEXTEST(C149, "Healthy Knox IDBroker"), "Knox IDBrokerの健全ノード割合（稼働率）", _xlfn.REGEXTEST(C149, "Healthy Knox Gateway"), "Knox Gatewayの健全ノード割合（稼働率）", _xlfn.REGEXTEST(C149, "Healthy ZooKeeper Server"), "ZooKeeper Serverの健全ノード割合（稼働率）", _xlfn.REGEXTEST(C149, "Healthy NodeManager"), "NodeManagerの健全ノード割合（稼働率）", _xlfn.REGEXTEST(C149, "Maximum Latency"), "リクエストの最大レイテンシ（処理遅延）", _xlfn.REGEXTEST(C149, "Garbage Collection Duration"), "Javaのガベージコレクション（GC）の所要時間", _xlfn.REGEXTEST(C149, "Spool Directory Usage"), "Rangerプラグインのスプールディレクトリ使用量", _xlfn.REGEXTEST(C149, "Process Directory Free Space Monitoring Absolute"), "プロセスディレクトリの空き容量（絶対値)", _xlfn.REGEXTEST(C149, "Process Directory Free Space.*Percentage"), "プロセスディレクトリの空き容量割合（%）", _xlfn.REGEXTEST(C149, "Parcel Directory Free Space.*Absolute"), "パーセルディレクトリの空き容量（絶対値）", _xlfn.REGEXTEST(C149, "Parcel Directory Free Space.*Percentage"), "パーセルディレクトリの空き容量割合（%）", _xlfn.REGEXTEST(C149, "Host Network Frame Error Percentage"), "ホストのネットワークフレームエラー割合（%）", _xlfn.REGEXTEST(C149, "Network Interfaces Slow Link Modes"), "ホストのネットワークインターフェースの低速リンクモード検出", _xlfn.REGEXTEST(C149, "Host Memory Swapping"), "ホストのメモリのスワップ発生状態", TRUE, "要手動確認")</f>
        <v>空き容量（絶対値）</v>
      </c>
      <c r="H149" s="479" t="s">
        <v>935</v>
      </c>
    </row>
    <row r="150" spans="1:8" ht="33.6">
      <c r="A150" s="514"/>
      <c r="B150" s="473"/>
      <c r="C150" s="471" t="s">
        <v>746</v>
      </c>
      <c r="D150" s="471" t="s">
        <v>747</v>
      </c>
      <c r="E150" s="471" t="s">
        <v>785</v>
      </c>
      <c r="F150" s="471" t="s">
        <v>937</v>
      </c>
      <c r="G150" s="471" t="str" cm="1">
        <f t="array" ref="G150">_xlfn.IFS(C150 = "", "", _xlfn.REGEXTEST(C150, "Service Metric Migrator Minimum Consecutive Successful Checks"), "サービスメトリック移行ツールの連続正常チェック最小回数", _xlfn.REGEXTEST(C150, "Rebalancing"), "リバランシング（データ再配置）状態", _xlfn.REGEXTEST(C150, "Temporary Dump Directory"), "一時ダンプディレクトリの監視", _xlfn.REGEXTEST(C150, "Safemode Extension"), "セーフモード延長状態", _xlfn.REGEXTEST(C150, "Client Idle"), "クライアントのアイドル（待機）状態", _xlfn.REGEXTEST(C150, "Available Space Policy Balanced"), "空き容量ポリシーの分散バランス状態", _xlfn.REGEXTEST(C150, "Filesystem Checkpoint Transaction"), "ファイルシステムのチェックポイントトランザクション", _xlfn.REGEXTEST(C150, "Blocks With Corrupt Replicas Monitoring"), "破損レプリカを持つブロックの監視", _xlfn.REGEXTEST(C150, "Missing Block Monitoring"), "消失（ミッシング）ブロックの監視", _xlfn.REGEXTEST(C150, "Under-replicated Block Monitoring"), "レプリカ数不足ブロックの監視", _xlfn.REGEXTEST(C150, "HDFS Free Space Monitoring"), "HDFSの空き容量監視", _xlfn.REGEXTEST(C150, "DataNode Monitoring"), "DataNodeの稼働状態監視", _xlfn.REGEXTEST(C150, "Rules to Extract Events from Log Files"), "ログファイルからのイベント抽出ルール設定", _xlfn.REGEXTEST(C150, "Free Space Monitoring$"), "空き容量監視（一般設定）", _xlfn.REGEXTEST(C150, "Transceivers Usage"), "トランシーバー使用量（データ転送スレッド数）", _xlfn.REGEXTEST(C150, "Volume Failures"), "ボリューム障害（ディスクエラー）数", _xlfn.REGEXTEST(C150, "Block Count"), "ブロック総数", _xlfn.REGEXTEST(C150, "Audit Failure"), "監査（オーディット）ログの失敗イベント", _xlfn.REGEXTEST(C150, "Web Metric Collection Duration"), "Webメトリック収集の所要時間", _xlfn.REGEXTEST(C150, "Pause Duration"), "一時停止（ポーズ）の所要時間", _xlfn.REGEXTEST(C150, "Fsync Latency"), "Fsync（ディスク同期）のレイテンシ", _xlfn.REGEXTEST(C150, "Free Space Monitoring Absolute"), "空き容量（絶対値）", _xlfn.REGEXTEST(C150, "Free Space Monitoring Percentage"), "空き容量割合（%）", _xlfn.REGEXTEST(C150, "Age Monitoring"), "経過時間の監視", _xlfn.REGEXTEST(C150, "Transactions Monitoring"), "トランザクション数の監視", _xlfn.REGEXTEST(C150, "RPC Latency"), "RPC（遠隔手続き呼出し）のレイテンシ", _xlfn.REGEXTEST(C150, "Directory Failures"), "ディレクトリ障害数", _xlfn.REGEXTEST(C150, "Out-Of-Sync JournalNodes"), "同期ズレが発生しているJournalNode数", _xlfn.REGEXTEST(C150, "Safemode Threshold Percentage"), "セーフモード解除閾値の割合（%）", _xlfn.REGEXTEST(C150, "Kerberos Ticket Renewer Monitoring"), "Kerberosチケット更新プロセスの稼働状態監視", _xlfn.REGEXTEST(C150, "Load Balancer Monitoring"), "ロードバランサーの稼働状態監視", _xlfn.REGEXTEST(C150, "Navigator Audit Failure"), "Cloudera Navigator監査ログの失敗イベント", _xlfn.REGEXTEST(C150, "Schema Registry Server Monitoring"), "Schema Registry Serverの稼働状態監視", _xlfn.REGEXTEST(C150, "SRM Service Monitoring"), "SRMサービスの稼働状態監視", _xlfn.REGEXTEST(C150, "SRM Driver Monitoring"), "SRMドライバーの稼働状態監視", _xlfn.REGEXTEST(C150, "Loggin"), "ログ出力状態・設定監視", _xlfn.REGEXTEST(C150, "Server Monitoring"), "サーバーの稼働状態監視", _xlfn.REGEXTEST(C150, "Server Connection Count"), "サーバーの接続数（コネクション数）", _xlfn.REGEXTEST(C150, "Server Outstanding Requests"), "サーバーの未処理リクエスト数（滞留要求数）", _xlfn.REGEXTEST(C150, "Repository Status"), "リポジトリのステータス状態", _xlfn.REGEXTEST(C150, "Monitor Long Running Task"), "長時間実行タスク（ジョブ）の監視", _xlfn.REGEXTEST(C150, "Token requests per second"), "1秒あたりのトークンリクエスト数（要求レート）", _xlfn.REGEXTEST(C150, "Connection Model Score"), "接続モデルスコア（コネクション品質）", _xlfn.REGEXTEST(C150, "Queue swap"), "キューのスワップ発生状態", _xlfn.REGEXTEST(C150, "NiFi Node Monitoring"), "NiFiノードの稼働状態監視", _xlfn.REGEXTEST(C150, "Host Clock Offset"), "ホストのクロックオフセット（時刻同期のズレ）", _xlfn.REGEXTEST(C150, "Memory Overcommit Validation"), "メモリオーバーコミット設定の検証", _xlfn.REGEXTEST(C150, "Gateway Logging"), "ゲートウェイのログ出力設定", _xlfn.REGEXTEST(C150, "CPU Balance"), "CPU使用率の分散バランス状態", _xlfn.REGEXTEST(C150, "Disk Balance"), "ディスク使用量の分散バランス状態", _xlfn.REGEXTEST(C150, "Network Inbound Balance"), "ネットワークインバウンド（受信）の分散バランス状態", _xlfn.REGEXTEST(C150, "Network Outbound Balance"), "ネットワークアウトバウンド（送信）の分散バランス状態", _xlfn.REGEXTEST(C150, "Replica Count Balance"), "レプリカ数の分散バランス状態", _xlfn.REGEXTEST(C150, "Disk Capacity"), "ディスク総容量の限界・使用容量", _xlfn.REGEXTEST(C150, "CPU Capacity"), "CPU総処理能力の限界・使用量", _xlfn.REGEXTEST(C150, "Network Inbound Capacity"), "ネットワークインバウンド（受信）帯域の限界・使用量", _xlfn.REGEXTEST(C150, "Network Outbound Capacity"), "ネットワークアウトバウンド（送信）帯域の限界・使用量", _xlfn.REGEXTEST(C150, "Leader Replica Count Balance"), "リーダーレプリカ数の分散バランス状態", _xlfn.REGEXTEST(C150, "Host DNS Resolution Duration"), "ホストのDNS名前解決の所要時間", _xlfn.REGEXTEST(C150, "TLS Certificate Expiry"), "TLS証明書の有効期限切れ", _xlfn.REGEXTEST(C150, "Host Entropy"), "ホストのエントロピー（乱数生成能力）の不足", _xlfn.REGEXTEST(C150, "File Descriptor"), "プロセスのファイルディスクリプタ使用率", _xlfn.REGEXTEST(C150, "Unexpected Exits"), "プロセスの異常終了（予期せぬ停止）", _xlfn.REGEXTEST(C150, "Swap Memory Thresholds"), "プロセスのスワップメモリ使用量", _xlfn.REGEXTEST(C150, "Swap Memory Usage Rate"), "スワップメモリ使用量の変化率（増加速度）", _xlfn.REGEXTEST(C150, "Log Directory Free Space.*Absolute"), "ログディレクトリの空き容量（絶対値）", _xlfn.REGEXTEST(C150, "Log Directory Free Space.*Percentage"), "ログディレクトリの空き容量割合（%）", _xlfn.REGEXTEST(C150, "Heap Dump Directory Free Space.*Absolute"), "ヒープダンプディレクトリの空き容量（絶対値）", _xlfn.REGEXTEST(C150, "Heap Dump Directory Free Space.*Percentage"), "ヒープダンプディレクトリの空き容量割合（%）", _xlfn.REGEXTEST(C150, "Data Directory Free Space.*Absolute"), "データディレクトリの空き容量（絶対値）", _xlfn.REGEXTEST(C150, "Data Directory Free Space.*Percentage"), "データディレクトリの空き容量割合（%）", _xlfn.REGEXTEST(C150, "Transaction Log Directory Free Space.*Absolute"), "トランザクションログディレクトリの空き容量（絶対値）", _xlfn.REGEXTEST(C150, "Logging Threshold|Logger Threshold"), "ログ出力レベルの閾値設定", _xlfn.REGEXTEST(C150, "Enable.*Alerts"), "ヘルスアラートの有効化状態", _xlfn.REGEXTEST(C150, "Triggers"), "カスタムアラート条件（トリガー設定）", _xlfn.REGEXTEST(C150, "Healthy Kafka Broker"), "Kafka Brokerの健全ノード割合（稼働率）", _xlfn.REGEXTEST(C150, "Healthy Kafka Connect"), "Kafka Connectの健全ノード割合（稼働率）", _xlfn.REGEXTEST(C150, "Healthy KRaft Controller"), "KRaft Controllerの健全ノード割合（稼働率）", _xlfn.REGEXTEST(C150, "Healthy Knox IDBroker"), "Knox IDBrokerの健全ノード割合（稼働率）", _xlfn.REGEXTEST(C150, "Healthy Knox Gateway"), "Knox Gatewayの健全ノード割合（稼働率）", _xlfn.REGEXTEST(C150, "Healthy ZooKeeper Server"), "ZooKeeper Serverの健全ノード割合（稼働率）", _xlfn.REGEXTEST(C150, "Healthy NodeManager"), "NodeManagerの健全ノード割合（稼働率）", _xlfn.REGEXTEST(C150, "Maximum Latency"), "リクエストの最大レイテンシ（処理遅延）", _xlfn.REGEXTEST(C150, "Garbage Collection Duration"), "Javaのガベージコレクション（GC）の所要時間", _xlfn.REGEXTEST(C150, "Spool Directory Usage"), "Rangerプラグインのスプールディレクトリ使用量", _xlfn.REGEXTEST(C150, "Process Directory Free Space Monitoring Absolute"), "プロセスディレクトリの空き容量（絶対値)", _xlfn.REGEXTEST(C150, "Process Directory Free Space.*Percentage"), "プロセスディレクトリの空き容量割合（%）", _xlfn.REGEXTEST(C150, "Parcel Directory Free Space.*Absolute"), "パーセルディレクトリの空き容量（絶対値）", _xlfn.REGEXTEST(C150, "Parcel Directory Free Space.*Percentage"), "パーセルディレクトリの空き容量割合（%）", _xlfn.REGEXTEST(C150, "Host Network Frame Error Percentage"), "ホストのネットワークフレームエラー割合（%）", _xlfn.REGEXTEST(C150, "Network Interfaces Slow Link Modes"), "ホストのネットワークインターフェースの低速リンクモード検出", _xlfn.REGEXTEST(C150, "Host Memory Swapping"), "ホストのメモリのスワップ発生状態", TRUE, "要手動確認")</f>
        <v>空き容量割合（%）</v>
      </c>
      <c r="H150" s="479" t="s">
        <v>683</v>
      </c>
    </row>
    <row r="151" spans="1:8" ht="33.6">
      <c r="A151" s="514"/>
      <c r="B151" s="473"/>
      <c r="C151" s="471" t="s">
        <v>746</v>
      </c>
      <c r="D151" s="471" t="s">
        <v>747</v>
      </c>
      <c r="E151" s="471" t="s">
        <v>787</v>
      </c>
      <c r="F151" s="471" t="s">
        <v>938</v>
      </c>
      <c r="G151" s="471" t="str" cm="1">
        <f t="array" ref="G151">_xlfn.IFS(C151 = "", "", _xlfn.REGEXTEST(C151, "Service Metric Migrator Minimum Consecutive Successful Checks"), "サービスメトリック移行ツールの連続正常チェック最小回数", _xlfn.REGEXTEST(C151, "Rebalancing"), "リバランシング（データ再配置）状態", _xlfn.REGEXTEST(C151, "Temporary Dump Directory"), "一時ダンプディレクトリの監視", _xlfn.REGEXTEST(C151, "Safemode Extension"), "セーフモード延長状態", _xlfn.REGEXTEST(C151, "Client Idle"), "クライアントのアイドル（待機）状態", _xlfn.REGEXTEST(C151, "Available Space Policy Balanced"), "空き容量ポリシーの分散バランス状態", _xlfn.REGEXTEST(C151, "Filesystem Checkpoint Transaction"), "ファイルシステムのチェックポイントトランザクション", _xlfn.REGEXTEST(C151, "Blocks With Corrupt Replicas Monitoring"), "破損レプリカを持つブロックの監視", _xlfn.REGEXTEST(C151, "Missing Block Monitoring"), "消失（ミッシング）ブロックの監視", _xlfn.REGEXTEST(C151, "Under-replicated Block Monitoring"), "レプリカ数不足ブロックの監視", _xlfn.REGEXTEST(C151, "HDFS Free Space Monitoring"), "HDFSの空き容量監視", _xlfn.REGEXTEST(C151, "DataNode Monitoring"), "DataNodeの稼働状態監視", _xlfn.REGEXTEST(C151, "Rules to Extract Events from Log Files"), "ログファイルからのイベント抽出ルール設定", _xlfn.REGEXTEST(C151, "Free Space Monitoring$"), "空き容量監視（一般設定）", _xlfn.REGEXTEST(C151, "Transceivers Usage"), "トランシーバー使用量（データ転送スレッド数）", _xlfn.REGEXTEST(C151, "Volume Failures"), "ボリューム障害（ディスクエラー）数", _xlfn.REGEXTEST(C151, "Block Count"), "ブロック総数", _xlfn.REGEXTEST(C151, "Audit Failure"), "監査（オーディット）ログの失敗イベント", _xlfn.REGEXTEST(C151, "Web Metric Collection Duration"), "Webメトリック収集の所要時間", _xlfn.REGEXTEST(C151, "Pause Duration"), "一時停止（ポーズ）の所要時間", _xlfn.REGEXTEST(C151, "Fsync Latency"), "Fsync（ディスク同期）のレイテンシ", _xlfn.REGEXTEST(C151, "Free Space Monitoring Absolute"), "空き容量（絶対値）", _xlfn.REGEXTEST(C151, "Free Space Monitoring Percentage"), "空き容量割合（%）", _xlfn.REGEXTEST(C151, "Age Monitoring"), "経過時間の監視", _xlfn.REGEXTEST(C151, "Transactions Monitoring"), "トランザクション数の監視", _xlfn.REGEXTEST(C151, "RPC Latency"), "RPC（遠隔手続き呼出し）のレイテンシ", _xlfn.REGEXTEST(C151, "Directory Failures"), "ディレクトリ障害数", _xlfn.REGEXTEST(C151, "Out-Of-Sync JournalNodes"), "同期ズレが発生しているJournalNode数", _xlfn.REGEXTEST(C151, "Safemode Threshold Percentage"), "セーフモード解除閾値の割合（%）", _xlfn.REGEXTEST(C151, "Kerberos Ticket Renewer Monitoring"), "Kerberosチケット更新プロセスの稼働状態監視", _xlfn.REGEXTEST(C151, "Load Balancer Monitoring"), "ロードバランサーの稼働状態監視", _xlfn.REGEXTEST(C151, "Navigator Audit Failure"), "Cloudera Navigator監査ログの失敗イベント", _xlfn.REGEXTEST(C151, "Schema Registry Server Monitoring"), "Schema Registry Serverの稼働状態監視", _xlfn.REGEXTEST(C151, "SRM Service Monitoring"), "SRMサービスの稼働状態監視", _xlfn.REGEXTEST(C151, "SRM Driver Monitoring"), "SRMドライバーの稼働状態監視", _xlfn.REGEXTEST(C151, "Loggin"), "ログ出力状態・設定監視", _xlfn.REGEXTEST(C151, "Server Monitoring"), "サーバーの稼働状態監視", _xlfn.REGEXTEST(C151, "Server Connection Count"), "サーバーの接続数（コネクション数）", _xlfn.REGEXTEST(C151, "Server Outstanding Requests"), "サーバーの未処理リクエスト数（滞留要求数）", _xlfn.REGEXTEST(C151, "Repository Status"), "リポジトリのステータス状態", _xlfn.REGEXTEST(C151, "Monitor Long Running Task"), "長時間実行タスク（ジョブ）の監視", _xlfn.REGEXTEST(C151, "Token requests per second"), "1秒あたりのトークンリクエスト数（要求レート）", _xlfn.REGEXTEST(C151, "Connection Model Score"), "接続モデルスコア（コネクション品質）", _xlfn.REGEXTEST(C151, "Queue swap"), "キューのスワップ発生状態", _xlfn.REGEXTEST(C151, "NiFi Node Monitoring"), "NiFiノードの稼働状態監視", _xlfn.REGEXTEST(C151, "Host Clock Offset"), "ホストのクロックオフセット（時刻同期のズレ）", _xlfn.REGEXTEST(C151, "Memory Overcommit Validation"), "メモリオーバーコミット設定の検証", _xlfn.REGEXTEST(C151, "Gateway Logging"), "ゲートウェイのログ出力設定", _xlfn.REGEXTEST(C151, "CPU Balance"), "CPU使用率の分散バランス状態", _xlfn.REGEXTEST(C151, "Disk Balance"), "ディスク使用量の分散バランス状態", _xlfn.REGEXTEST(C151, "Network Inbound Balance"), "ネットワークインバウンド（受信）の分散バランス状態", _xlfn.REGEXTEST(C151, "Network Outbound Balance"), "ネットワークアウトバウンド（送信）の分散バランス状態", _xlfn.REGEXTEST(C151, "Replica Count Balance"), "レプリカ数の分散バランス状態", _xlfn.REGEXTEST(C151, "Disk Capacity"), "ディスク総容量の限界・使用容量", _xlfn.REGEXTEST(C151, "CPU Capacity"), "CPU総処理能力の限界・使用量", _xlfn.REGEXTEST(C151, "Network Inbound Capacity"), "ネットワークインバウンド（受信）帯域の限界・使用量", _xlfn.REGEXTEST(C151, "Network Outbound Capacity"), "ネットワークアウトバウンド（送信）帯域の限界・使用量", _xlfn.REGEXTEST(C151, "Leader Replica Count Balance"), "リーダーレプリカ数の分散バランス状態", _xlfn.REGEXTEST(C151, "Host DNS Resolution Duration"), "ホストのDNS名前解決の所要時間", _xlfn.REGEXTEST(C151, "TLS Certificate Expiry"), "TLS証明書の有効期限切れ", _xlfn.REGEXTEST(C151, "Host Entropy"), "ホストのエントロピー（乱数生成能力）の不足", _xlfn.REGEXTEST(C151, "File Descriptor"), "プロセスのファイルディスクリプタ使用率", _xlfn.REGEXTEST(C151, "Unexpected Exits"), "プロセスの異常終了（予期せぬ停止）", _xlfn.REGEXTEST(C151, "Swap Memory Thresholds"), "プロセスのスワップメモリ使用量", _xlfn.REGEXTEST(C151, "Swap Memory Usage Rate"), "スワップメモリ使用量の変化率（増加速度）", _xlfn.REGEXTEST(C151, "Log Directory Free Space.*Absolute"), "ログディレクトリの空き容量（絶対値）", _xlfn.REGEXTEST(C151, "Log Directory Free Space.*Percentage"), "ログディレクトリの空き容量割合（%）", _xlfn.REGEXTEST(C151, "Heap Dump Directory Free Space.*Absolute"), "ヒープダンプディレクトリの空き容量（絶対値）", _xlfn.REGEXTEST(C151, "Heap Dump Directory Free Space.*Percentage"), "ヒープダンプディレクトリの空き容量割合（%）", _xlfn.REGEXTEST(C151, "Data Directory Free Space.*Absolute"), "データディレクトリの空き容量（絶対値）", _xlfn.REGEXTEST(C151, "Data Directory Free Space.*Percentage"), "データディレクトリの空き容量割合（%）", _xlfn.REGEXTEST(C151, "Transaction Log Directory Free Space.*Absolute"), "トランザクションログディレクトリの空き容量（絶対値）", _xlfn.REGEXTEST(C151, "Logging Threshold|Logger Threshold"), "ログ出力レベルの閾値設定", _xlfn.REGEXTEST(C151, "Enable.*Alerts"), "ヘルスアラートの有効化状態", _xlfn.REGEXTEST(C151, "Triggers"), "カスタムアラート条件（トリガー設定）", _xlfn.REGEXTEST(C151, "Healthy Kafka Broker"), "Kafka Brokerの健全ノード割合（稼働率）", _xlfn.REGEXTEST(C151, "Healthy Kafka Connect"), "Kafka Connectの健全ノード割合（稼働率）", _xlfn.REGEXTEST(C151, "Healthy KRaft Controller"), "KRaft Controllerの健全ノード割合（稼働率）", _xlfn.REGEXTEST(C151, "Healthy Knox IDBroker"), "Knox IDBrokerの健全ノード割合（稼働率）", _xlfn.REGEXTEST(C151, "Healthy Knox Gateway"), "Knox Gatewayの健全ノード割合（稼働率）", _xlfn.REGEXTEST(C151, "Healthy ZooKeeper Server"), "ZooKeeper Serverの健全ノード割合（稼働率）", _xlfn.REGEXTEST(C151, "Healthy NodeManager"), "NodeManagerの健全ノード割合（稼働率）", _xlfn.REGEXTEST(C151, "Maximum Latency"), "リクエストの最大レイテンシ（処理遅延）", _xlfn.REGEXTEST(C151, "Garbage Collection Duration"), "Javaのガベージコレクション（GC）の所要時間", _xlfn.REGEXTEST(C151, "Spool Directory Usage"), "Rangerプラグインのスプールディレクトリ使用量", _xlfn.REGEXTEST(C151, "Process Directory Free Space Monitoring Absolute"), "プロセスディレクトリの空き容量（絶対値)", _xlfn.REGEXTEST(C151, "Process Directory Free Space.*Percentage"), "プロセスディレクトリの空き容量割合（%）", _xlfn.REGEXTEST(C151, "Parcel Directory Free Space.*Absolute"), "パーセルディレクトリの空き容量（絶対値）", _xlfn.REGEXTEST(C151, "Parcel Directory Free Space.*Percentage"), "パーセルディレクトリの空き容量割合（%）", _xlfn.REGEXTEST(C151, "Host Network Frame Error Percentage"), "ホストのネットワークフレームエラー割合（%）", _xlfn.REGEXTEST(C151, "Network Interfaces Slow Link Modes"), "ホストのネットワークインターフェースの低速リンクモード検出", _xlfn.REGEXTEST(C151, "Host Memory Swapping"), "ホストのメモリのスワップ発生状態", TRUE, "要手動確認")</f>
        <v>空き容量割合（%）</v>
      </c>
      <c r="H151" s="479" t="s">
        <v>683</v>
      </c>
    </row>
    <row r="152" spans="1:8" ht="33.6">
      <c r="A152" s="514"/>
      <c r="B152" s="473"/>
      <c r="C152" s="471" t="s">
        <v>749</v>
      </c>
      <c r="D152" s="471" t="s">
        <v>750</v>
      </c>
      <c r="E152" s="471" t="s">
        <v>785</v>
      </c>
      <c r="F152" s="471" t="s">
        <v>939</v>
      </c>
      <c r="G152" s="471" t="str" cm="1">
        <f t="array" ref="G152">_xlfn.IFS(C152 = "", "", _xlfn.REGEXTEST(C152, "Service Metric Migrator Minimum Consecutive Successful Checks"), "サービスメトリック移行ツールの連続正常チェック最小回数", _xlfn.REGEXTEST(C152, "Rebalancing"), "リバランシング（データ再配置）状態", _xlfn.REGEXTEST(C152, "Temporary Dump Directory"), "一時ダンプディレクトリの監視", _xlfn.REGEXTEST(C152, "Safemode Extension"), "セーフモード延長状態", _xlfn.REGEXTEST(C152, "Client Idle"), "クライアントのアイドル（待機）状態", _xlfn.REGEXTEST(C152, "Available Space Policy Balanced"), "空き容量ポリシーの分散バランス状態", _xlfn.REGEXTEST(C152, "Filesystem Checkpoint Transaction"), "ファイルシステムのチェックポイントトランザクション", _xlfn.REGEXTEST(C152, "Blocks With Corrupt Replicas Monitoring"), "破損レプリカを持つブロックの監視", _xlfn.REGEXTEST(C152, "Missing Block Monitoring"), "消失（ミッシング）ブロックの監視", _xlfn.REGEXTEST(C152, "Under-replicated Block Monitoring"), "レプリカ数不足ブロックの監視", _xlfn.REGEXTEST(C152, "HDFS Free Space Monitoring"), "HDFSの空き容量監視", _xlfn.REGEXTEST(C152, "DataNode Monitoring"), "DataNodeの稼働状態監視", _xlfn.REGEXTEST(C152, "Rules to Extract Events from Log Files"), "ログファイルからのイベント抽出ルール設定", _xlfn.REGEXTEST(C152, "Free Space Monitoring$"), "空き容量監視（一般設定）", _xlfn.REGEXTEST(C152, "Transceivers Usage"), "トランシーバー使用量（データ転送スレッド数）", _xlfn.REGEXTEST(C152, "Volume Failures"), "ボリューム障害（ディスクエラー）数", _xlfn.REGEXTEST(C152, "Block Count"), "ブロック総数", _xlfn.REGEXTEST(C152, "Audit Failure"), "監査（オーディット）ログの失敗イベント", _xlfn.REGEXTEST(C152, "Web Metric Collection Duration"), "Webメトリック収集の所要時間", _xlfn.REGEXTEST(C152, "Pause Duration"), "一時停止（ポーズ）の所要時間", _xlfn.REGEXTEST(C152, "Fsync Latency"), "Fsync（ディスク同期）のレイテンシ", _xlfn.REGEXTEST(C152, "Free Space Monitoring Absolute"), "空き容量（絶対値）", _xlfn.REGEXTEST(C152, "Free Space Monitoring Percentage"), "空き容量割合（%）", _xlfn.REGEXTEST(C152, "Age Monitoring"), "経過時間の監視", _xlfn.REGEXTEST(C152, "Transactions Monitoring"), "トランザクション数の監視", _xlfn.REGEXTEST(C152, "RPC Latency"), "RPC（遠隔手続き呼出し）のレイテンシ", _xlfn.REGEXTEST(C152, "Directory Failures"), "ディレクトリ障害数", _xlfn.REGEXTEST(C152, "Out-Of-Sync JournalNodes"), "同期ズレが発生しているJournalNode数", _xlfn.REGEXTEST(C152, "Safemode Threshold Percentage"), "セーフモード解除閾値の割合（%）", _xlfn.REGEXTEST(C152, "Kerberos Ticket Renewer Monitoring"), "Kerberosチケット更新プロセスの稼働状態監視", _xlfn.REGEXTEST(C152, "Load Balancer Monitoring"), "ロードバランサーの稼働状態監視", _xlfn.REGEXTEST(C152, "Navigator Audit Failure"), "Cloudera Navigator監査ログの失敗イベント", _xlfn.REGEXTEST(C152, "Schema Registry Server Monitoring"), "Schema Registry Serverの稼働状態監視", _xlfn.REGEXTEST(C152, "SRM Service Monitoring"), "SRMサービスの稼働状態監視", _xlfn.REGEXTEST(C152, "SRM Driver Monitoring"), "SRMドライバーの稼働状態監視", _xlfn.REGEXTEST(C152, "Loggin"), "ログ出力状態・設定監視", _xlfn.REGEXTEST(C152, "Server Monitoring"), "サーバーの稼働状態監視", _xlfn.REGEXTEST(C152, "Server Connection Count"), "サーバーの接続数（コネクション数）", _xlfn.REGEXTEST(C152, "Server Outstanding Requests"), "サーバーの未処理リクエスト数（滞留要求数）", _xlfn.REGEXTEST(C152, "Repository Status"), "リポジトリのステータス状態", _xlfn.REGEXTEST(C152, "Monitor Long Running Task"), "長時間実行タスク（ジョブ）の監視", _xlfn.REGEXTEST(C152, "Token requests per second"), "1秒あたりのトークンリクエスト数（要求レート）", _xlfn.REGEXTEST(C152, "Connection Model Score"), "接続モデルスコア（コネクション品質）", _xlfn.REGEXTEST(C152, "Queue swap"), "キューのスワップ発生状態", _xlfn.REGEXTEST(C152, "NiFi Node Monitoring"), "NiFiノードの稼働状態監視", _xlfn.REGEXTEST(C152, "Host Clock Offset"), "ホストのクロックオフセット（時刻同期のズレ）", _xlfn.REGEXTEST(C152, "Memory Overcommit Validation"), "メモリオーバーコミット設定の検証", _xlfn.REGEXTEST(C152, "Gateway Logging"), "ゲートウェイのログ出力設定", _xlfn.REGEXTEST(C152, "CPU Balance"), "CPU使用率の分散バランス状態", _xlfn.REGEXTEST(C152, "Disk Balance"), "ディスク使用量の分散バランス状態", _xlfn.REGEXTEST(C152, "Network Inbound Balance"), "ネットワークインバウンド（受信）の分散バランス状態", _xlfn.REGEXTEST(C152, "Network Outbound Balance"), "ネットワークアウトバウンド（送信）の分散バランス状態", _xlfn.REGEXTEST(C152, "Replica Count Balance"), "レプリカ数の分散バランス状態", _xlfn.REGEXTEST(C152, "Disk Capacity"), "ディスク総容量の限界・使用容量", _xlfn.REGEXTEST(C152, "CPU Capacity"), "CPU総処理能力の限界・使用量", _xlfn.REGEXTEST(C152, "Network Inbound Capacity"), "ネットワークインバウンド（受信）帯域の限界・使用量", _xlfn.REGEXTEST(C152, "Network Outbound Capacity"), "ネットワークアウトバウンド（送信）帯域の限界・使用量", _xlfn.REGEXTEST(C152, "Leader Replica Count Balance"), "リーダーレプリカ数の分散バランス状態", _xlfn.REGEXTEST(C152, "Host DNS Resolution Duration"), "ホストのDNS名前解決の所要時間", _xlfn.REGEXTEST(C152, "TLS Certificate Expiry"), "TLS証明書の有効期限切れ", _xlfn.REGEXTEST(C152, "Host Entropy"), "ホストのエントロピー（乱数生成能力）の不足", _xlfn.REGEXTEST(C152, "File Descriptor"), "プロセスのファイルディスクリプタ使用率", _xlfn.REGEXTEST(C152, "Unexpected Exits"), "プロセスの異常終了（予期せぬ停止）", _xlfn.REGEXTEST(C152, "Swap Memory Thresholds"), "プロセスのスワップメモリ使用量", _xlfn.REGEXTEST(C152, "Swap Memory Usage Rate"), "スワップメモリ使用量の変化率（増加速度）", _xlfn.REGEXTEST(C152, "Log Directory Free Space.*Absolute"), "ログディレクトリの空き容量（絶対値）", _xlfn.REGEXTEST(C152, "Log Directory Free Space.*Percentage"), "ログディレクトリの空き容量割合（%）", _xlfn.REGEXTEST(C152, "Heap Dump Directory Free Space.*Absolute"), "ヒープダンプディレクトリの空き容量（絶対値）", _xlfn.REGEXTEST(C152, "Heap Dump Directory Free Space.*Percentage"), "ヒープダンプディレクトリの空き容量割合（%）", _xlfn.REGEXTEST(C152, "Data Directory Free Space.*Absolute"), "データディレクトリの空き容量（絶対値）", _xlfn.REGEXTEST(C152, "Data Directory Free Space.*Percentage"), "データディレクトリの空き容量割合（%）", _xlfn.REGEXTEST(C152, "Transaction Log Directory Free Space.*Absolute"), "トランザクションログディレクトリの空き容量（絶対値）", _xlfn.REGEXTEST(C152, "Logging Threshold|Logger Threshold"), "ログ出力レベルの閾値設定", _xlfn.REGEXTEST(C152, "Enable.*Alerts"), "ヘルスアラートの有効化状態", _xlfn.REGEXTEST(C152, "Triggers"), "カスタムアラート条件（トリガー設定）", _xlfn.REGEXTEST(C152, "Healthy Kafka Broker"), "Kafka Brokerの健全ノード割合（稼働率）", _xlfn.REGEXTEST(C152, "Healthy Kafka Connect"), "Kafka Connectの健全ノード割合（稼働率）", _xlfn.REGEXTEST(C152, "Healthy KRaft Controller"), "KRaft Controllerの健全ノード割合（稼働率）", _xlfn.REGEXTEST(C152, "Healthy Knox IDBroker"), "Knox IDBrokerの健全ノード割合（稼働率）", _xlfn.REGEXTEST(C152, "Healthy Knox Gateway"), "Knox Gatewayの健全ノード割合（稼働率）", _xlfn.REGEXTEST(C152, "Healthy ZooKeeper Server"), "ZooKeeper Serverの健全ノード割合（稼働率）", _xlfn.REGEXTEST(C152, "Healthy NodeManager"), "NodeManagerの健全ノード割合（稼働率）", _xlfn.REGEXTEST(C152, "Maximum Latency"), "リクエストの最大レイテンシ（処理遅延）", _xlfn.REGEXTEST(C152, "Garbage Collection Duration"), "Javaのガベージコレクション（GC）の所要時間", _xlfn.REGEXTEST(C152, "Spool Directory Usage"), "Rangerプラグインのスプールディレクトリ使用量", _xlfn.REGEXTEST(C152, "Process Directory Free Space Monitoring Absolute"), "プロセスディレクトリの空き容量（絶対値)", _xlfn.REGEXTEST(C152, "Process Directory Free Space.*Percentage"), "プロセスディレクトリの空き容量割合（%）", _xlfn.REGEXTEST(C152, "Parcel Directory Free Space.*Absolute"), "パーセルディレクトリの空き容量（絶対値）", _xlfn.REGEXTEST(C152, "Parcel Directory Free Space.*Percentage"), "パーセルディレクトリの空き容量割合（%）", _xlfn.REGEXTEST(C152, "Host Network Frame Error Percentage"), "ホストのネットワークフレームエラー割合（%）", _xlfn.REGEXTEST(C152, "Network Interfaces Slow Link Modes"), "ホストのネットワークインターフェースの低速リンクモード検出", _xlfn.REGEXTEST(C152, "Host Memory Swapping"), "ホストのメモリのスワップ発生状態", TRUE, "要手動確認")</f>
        <v>プロセスの異常終了（予期せぬ停止）</v>
      </c>
      <c r="H152" s="479" t="s">
        <v>751</v>
      </c>
    </row>
    <row r="153" spans="1:8" ht="33.6">
      <c r="A153" s="514"/>
      <c r="B153" s="473"/>
      <c r="C153" s="471" t="s">
        <v>749</v>
      </c>
      <c r="D153" s="471" t="s">
        <v>750</v>
      </c>
      <c r="E153" s="471" t="s">
        <v>787</v>
      </c>
      <c r="F153" s="471" t="s">
        <v>940</v>
      </c>
      <c r="G153" s="471" t="str" cm="1">
        <f t="array" ref="G153">_xlfn.IFS(C153 = "", "", _xlfn.REGEXTEST(C153, "Service Metric Migrator Minimum Consecutive Successful Checks"), "サービスメトリック移行ツールの連続正常チェック最小回数", _xlfn.REGEXTEST(C153, "Rebalancing"), "リバランシング（データ再配置）状態", _xlfn.REGEXTEST(C153, "Temporary Dump Directory"), "一時ダンプディレクトリの監視", _xlfn.REGEXTEST(C153, "Safemode Extension"), "セーフモード延長状態", _xlfn.REGEXTEST(C153, "Client Idle"), "クライアントのアイドル（待機）状態", _xlfn.REGEXTEST(C153, "Available Space Policy Balanced"), "空き容量ポリシーの分散バランス状態", _xlfn.REGEXTEST(C153, "Filesystem Checkpoint Transaction"), "ファイルシステムのチェックポイントトランザクション", _xlfn.REGEXTEST(C153, "Blocks With Corrupt Replicas Monitoring"), "破損レプリカを持つブロックの監視", _xlfn.REGEXTEST(C153, "Missing Block Monitoring"), "消失（ミッシング）ブロックの監視", _xlfn.REGEXTEST(C153, "Under-replicated Block Monitoring"), "レプリカ数不足ブロックの監視", _xlfn.REGEXTEST(C153, "HDFS Free Space Monitoring"), "HDFSの空き容量監視", _xlfn.REGEXTEST(C153, "DataNode Monitoring"), "DataNodeの稼働状態監視", _xlfn.REGEXTEST(C153, "Rules to Extract Events from Log Files"), "ログファイルからのイベント抽出ルール設定", _xlfn.REGEXTEST(C153, "Free Space Monitoring$"), "空き容量監視（一般設定）", _xlfn.REGEXTEST(C153, "Transceivers Usage"), "トランシーバー使用量（データ転送スレッド数）", _xlfn.REGEXTEST(C153, "Volume Failures"), "ボリューム障害（ディスクエラー）数", _xlfn.REGEXTEST(C153, "Block Count"), "ブロック総数", _xlfn.REGEXTEST(C153, "Audit Failure"), "監査（オーディット）ログの失敗イベント", _xlfn.REGEXTEST(C153, "Web Metric Collection Duration"), "Webメトリック収集の所要時間", _xlfn.REGEXTEST(C153, "Pause Duration"), "一時停止（ポーズ）の所要時間", _xlfn.REGEXTEST(C153, "Fsync Latency"), "Fsync（ディスク同期）のレイテンシ", _xlfn.REGEXTEST(C153, "Free Space Monitoring Absolute"), "空き容量（絶対値）", _xlfn.REGEXTEST(C153, "Free Space Monitoring Percentage"), "空き容量割合（%）", _xlfn.REGEXTEST(C153, "Age Monitoring"), "経過時間の監視", _xlfn.REGEXTEST(C153, "Transactions Monitoring"), "トランザクション数の監視", _xlfn.REGEXTEST(C153, "RPC Latency"), "RPC（遠隔手続き呼出し）のレイテンシ", _xlfn.REGEXTEST(C153, "Directory Failures"), "ディレクトリ障害数", _xlfn.REGEXTEST(C153, "Out-Of-Sync JournalNodes"), "同期ズレが発生しているJournalNode数", _xlfn.REGEXTEST(C153, "Safemode Threshold Percentage"), "セーフモード解除閾値の割合（%）", _xlfn.REGEXTEST(C153, "Kerberos Ticket Renewer Monitoring"), "Kerberosチケット更新プロセスの稼働状態監視", _xlfn.REGEXTEST(C153, "Load Balancer Monitoring"), "ロードバランサーの稼働状態監視", _xlfn.REGEXTEST(C153, "Navigator Audit Failure"), "Cloudera Navigator監査ログの失敗イベント", _xlfn.REGEXTEST(C153, "Schema Registry Server Monitoring"), "Schema Registry Serverの稼働状態監視", _xlfn.REGEXTEST(C153, "SRM Service Monitoring"), "SRMサービスの稼働状態監視", _xlfn.REGEXTEST(C153, "SRM Driver Monitoring"), "SRMドライバーの稼働状態監視", _xlfn.REGEXTEST(C153, "Loggin"), "ログ出力状態・設定監視", _xlfn.REGEXTEST(C153, "Server Monitoring"), "サーバーの稼働状態監視", _xlfn.REGEXTEST(C153, "Server Connection Count"), "サーバーの接続数（コネクション数）", _xlfn.REGEXTEST(C153, "Server Outstanding Requests"), "サーバーの未処理リクエスト数（滞留要求数）", _xlfn.REGEXTEST(C153, "Repository Status"), "リポジトリのステータス状態", _xlfn.REGEXTEST(C153, "Monitor Long Running Task"), "長時間実行タスク（ジョブ）の監視", _xlfn.REGEXTEST(C153, "Token requests per second"), "1秒あたりのトークンリクエスト数（要求レート）", _xlfn.REGEXTEST(C153, "Connection Model Score"), "接続モデルスコア（コネクション品質）", _xlfn.REGEXTEST(C153, "Queue swap"), "キューのスワップ発生状態", _xlfn.REGEXTEST(C153, "NiFi Node Monitoring"), "NiFiノードの稼働状態監視", _xlfn.REGEXTEST(C153, "Host Clock Offset"), "ホストのクロックオフセット（時刻同期のズレ）", _xlfn.REGEXTEST(C153, "Memory Overcommit Validation"), "メモリオーバーコミット設定の検証", _xlfn.REGEXTEST(C153, "Gateway Logging"), "ゲートウェイのログ出力設定", _xlfn.REGEXTEST(C153, "CPU Balance"), "CPU使用率の分散バランス状態", _xlfn.REGEXTEST(C153, "Disk Balance"), "ディスク使用量の分散バランス状態", _xlfn.REGEXTEST(C153, "Network Inbound Balance"), "ネットワークインバウンド（受信）の分散バランス状態", _xlfn.REGEXTEST(C153, "Network Outbound Balance"), "ネットワークアウトバウンド（送信）の分散バランス状態", _xlfn.REGEXTEST(C153, "Replica Count Balance"), "レプリカ数の分散バランス状態", _xlfn.REGEXTEST(C153, "Disk Capacity"), "ディスク総容量の限界・使用容量", _xlfn.REGEXTEST(C153, "CPU Capacity"), "CPU総処理能力の限界・使用量", _xlfn.REGEXTEST(C153, "Network Inbound Capacity"), "ネットワークインバウンド（受信）帯域の限界・使用量", _xlfn.REGEXTEST(C153, "Network Outbound Capacity"), "ネットワークアウトバウンド（送信）帯域の限界・使用量", _xlfn.REGEXTEST(C153, "Leader Replica Count Balance"), "リーダーレプリカ数の分散バランス状態", _xlfn.REGEXTEST(C153, "Host DNS Resolution Duration"), "ホストのDNS名前解決の所要時間", _xlfn.REGEXTEST(C153, "TLS Certificate Expiry"), "TLS証明書の有効期限切れ", _xlfn.REGEXTEST(C153, "Host Entropy"), "ホストのエントロピー（乱数生成能力）の不足", _xlfn.REGEXTEST(C153, "File Descriptor"), "プロセスのファイルディスクリプタ使用率", _xlfn.REGEXTEST(C153, "Unexpected Exits"), "プロセスの異常終了（予期せぬ停止）", _xlfn.REGEXTEST(C153, "Swap Memory Thresholds"), "プロセスのスワップメモリ使用量", _xlfn.REGEXTEST(C153, "Swap Memory Usage Rate"), "スワップメモリ使用量の変化率（増加速度）", _xlfn.REGEXTEST(C153, "Log Directory Free Space.*Absolute"), "ログディレクトリの空き容量（絶対値）", _xlfn.REGEXTEST(C153, "Log Directory Free Space.*Percentage"), "ログディレクトリの空き容量割合（%）", _xlfn.REGEXTEST(C153, "Heap Dump Directory Free Space.*Absolute"), "ヒープダンプディレクトリの空き容量（絶対値）", _xlfn.REGEXTEST(C153, "Heap Dump Directory Free Space.*Percentage"), "ヒープダンプディレクトリの空き容量割合（%）", _xlfn.REGEXTEST(C153, "Data Directory Free Space.*Absolute"), "データディレクトリの空き容量（絶対値）", _xlfn.REGEXTEST(C153, "Data Directory Free Space.*Percentage"), "データディレクトリの空き容量割合（%）", _xlfn.REGEXTEST(C153, "Transaction Log Directory Free Space.*Absolute"), "トランザクションログディレクトリの空き容量（絶対値）", _xlfn.REGEXTEST(C153, "Logging Threshold|Logger Threshold"), "ログ出力レベルの閾値設定", _xlfn.REGEXTEST(C153, "Enable.*Alerts"), "ヘルスアラートの有効化状態", _xlfn.REGEXTEST(C153, "Triggers"), "カスタムアラート条件（トリガー設定）", _xlfn.REGEXTEST(C153, "Healthy Kafka Broker"), "Kafka Brokerの健全ノード割合（稼働率）", _xlfn.REGEXTEST(C153, "Healthy Kafka Connect"), "Kafka Connectの健全ノード割合（稼働率）", _xlfn.REGEXTEST(C153, "Healthy KRaft Controller"), "KRaft Controllerの健全ノード割合（稼働率）", _xlfn.REGEXTEST(C153, "Healthy Knox IDBroker"), "Knox IDBrokerの健全ノード割合（稼働率）", _xlfn.REGEXTEST(C153, "Healthy Knox Gateway"), "Knox Gatewayの健全ノード割合（稼働率）", _xlfn.REGEXTEST(C153, "Healthy ZooKeeper Server"), "ZooKeeper Serverの健全ノード割合（稼働率）", _xlfn.REGEXTEST(C153, "Healthy NodeManager"), "NodeManagerの健全ノード割合（稼働率）", _xlfn.REGEXTEST(C153, "Maximum Latency"), "リクエストの最大レイテンシ（処理遅延）", _xlfn.REGEXTEST(C153, "Garbage Collection Duration"), "Javaのガベージコレクション（GC）の所要時間", _xlfn.REGEXTEST(C153, "Spool Directory Usage"), "Rangerプラグインのスプールディレクトリ使用量", _xlfn.REGEXTEST(C153, "Process Directory Free Space Monitoring Absolute"), "プロセスディレクトリの空き容量（絶対値)", _xlfn.REGEXTEST(C153, "Process Directory Free Space.*Percentage"), "プロセスディレクトリの空き容量割合（%）", _xlfn.REGEXTEST(C153, "Parcel Directory Free Space.*Absolute"), "パーセルディレクトリの空き容量（絶対値）", _xlfn.REGEXTEST(C153, "Parcel Directory Free Space.*Percentage"), "パーセルディレクトリの空き容量割合（%）", _xlfn.REGEXTEST(C153, "Host Network Frame Error Percentage"), "ホストのネットワークフレームエラー割合（%）", _xlfn.REGEXTEST(C153, "Network Interfaces Slow Link Modes"), "ホストのネットワークインターフェースの低速リンクモード検出", _xlfn.REGEXTEST(C153, "Host Memory Swapping"), "ホストのメモリのスワップ発生状態", TRUE, "要手動確認")</f>
        <v>プロセスの異常終了（予期せぬ停止）</v>
      </c>
      <c r="H153" s="479" t="s">
        <v>751</v>
      </c>
    </row>
    <row r="154" spans="1:8" ht="16.899999999999999">
      <c r="A154" s="514"/>
      <c r="B154" s="473"/>
      <c r="C154" s="471" t="s">
        <v>752</v>
      </c>
      <c r="D154" s="471" t="s">
        <v>753</v>
      </c>
      <c r="E154" s="471" t="s">
        <v>785</v>
      </c>
      <c r="F154" s="471" t="s">
        <v>941</v>
      </c>
      <c r="G154" s="471" t="str" cm="1">
        <f t="array" ref="G154">_xlfn.IFS(C154 = "", "", _xlfn.REGEXTEST(C154, "Service Metric Migrator Minimum Consecutive Successful Checks"), "サービスメトリック移行ツールの連続正常チェック最小回数", _xlfn.REGEXTEST(C154, "Rebalancing"), "リバランシング（データ再配置）状態", _xlfn.REGEXTEST(C154, "Temporary Dump Directory"), "一時ダンプディレクトリの監視", _xlfn.REGEXTEST(C154, "Safemode Extension"), "セーフモード延長状態", _xlfn.REGEXTEST(C154, "Client Idle"), "クライアントのアイドル（待機）状態", _xlfn.REGEXTEST(C154, "Available Space Policy Balanced"), "空き容量ポリシーの分散バランス状態", _xlfn.REGEXTEST(C154, "Filesystem Checkpoint Transaction"), "ファイルシステムのチェックポイントトランザクション", _xlfn.REGEXTEST(C154, "Blocks With Corrupt Replicas Monitoring"), "破損レプリカを持つブロックの監視", _xlfn.REGEXTEST(C154, "Missing Block Monitoring"), "消失（ミッシング）ブロックの監視", _xlfn.REGEXTEST(C154, "Under-replicated Block Monitoring"), "レプリカ数不足ブロックの監視", _xlfn.REGEXTEST(C154, "HDFS Free Space Monitoring"), "HDFSの空き容量監視", _xlfn.REGEXTEST(C154, "DataNode Monitoring"), "DataNodeの稼働状態監視", _xlfn.REGEXTEST(C154, "Rules to Extract Events from Log Files"), "ログファイルからのイベント抽出ルール設定", _xlfn.REGEXTEST(C154, "Free Space Monitoring$"), "空き容量監視（一般設定）", _xlfn.REGEXTEST(C154, "Transceivers Usage"), "トランシーバー使用量（データ転送スレッド数）", _xlfn.REGEXTEST(C154, "Volume Failures"), "ボリューム障害（ディスクエラー）数", _xlfn.REGEXTEST(C154, "Block Count"), "ブロック総数", _xlfn.REGEXTEST(C154, "Audit Failure"), "監査（オーディット）ログの失敗イベント", _xlfn.REGEXTEST(C154, "Web Metric Collection Duration"), "Webメトリック収集の所要時間", _xlfn.REGEXTEST(C154, "Pause Duration"), "一時停止（ポーズ）の所要時間", _xlfn.REGEXTEST(C154, "Fsync Latency"), "Fsync（ディスク同期）のレイテンシ", _xlfn.REGEXTEST(C154, "Free Space Monitoring Absolute"), "空き容量（絶対値）", _xlfn.REGEXTEST(C154, "Free Space Monitoring Percentage"), "空き容量割合（%）", _xlfn.REGEXTEST(C154, "Age Monitoring"), "経過時間の監視", _xlfn.REGEXTEST(C154, "Transactions Monitoring"), "トランザクション数の監視", _xlfn.REGEXTEST(C154, "RPC Latency"), "RPC（遠隔手続き呼出し）のレイテンシ", _xlfn.REGEXTEST(C154, "Directory Failures"), "ディレクトリ障害数", _xlfn.REGEXTEST(C154, "Out-Of-Sync JournalNodes"), "同期ズレが発生しているJournalNode数", _xlfn.REGEXTEST(C154, "Safemode Threshold Percentage"), "セーフモード解除閾値の割合（%）", _xlfn.REGEXTEST(C154, "Kerberos Ticket Renewer Monitoring"), "Kerberosチケット更新プロセスの稼働状態監視", _xlfn.REGEXTEST(C154, "Load Balancer Monitoring"), "ロードバランサーの稼働状態監視", _xlfn.REGEXTEST(C154, "Navigator Audit Failure"), "Cloudera Navigator監査ログの失敗イベント", _xlfn.REGEXTEST(C154, "Schema Registry Server Monitoring"), "Schema Registry Serverの稼働状態監視", _xlfn.REGEXTEST(C154, "SRM Service Monitoring"), "SRMサービスの稼働状態監視", _xlfn.REGEXTEST(C154, "SRM Driver Monitoring"), "SRMドライバーの稼働状態監視", _xlfn.REGEXTEST(C154, "Loggin"), "ログ出力状態・設定監視", _xlfn.REGEXTEST(C154, "Server Monitoring"), "サーバーの稼働状態監視", _xlfn.REGEXTEST(C154, "Server Connection Count"), "サーバーの接続数（コネクション数）", _xlfn.REGEXTEST(C154, "Server Outstanding Requests"), "サーバーの未処理リクエスト数（滞留要求数）", _xlfn.REGEXTEST(C154, "Repository Status"), "リポジトリのステータス状態", _xlfn.REGEXTEST(C154, "Monitor Long Running Task"), "長時間実行タスク（ジョブ）の監視", _xlfn.REGEXTEST(C154, "Token requests per second"), "1秒あたりのトークンリクエスト数（要求レート）", _xlfn.REGEXTEST(C154, "Connection Model Score"), "接続モデルスコア（コネクション品質）", _xlfn.REGEXTEST(C154, "Queue swap"), "キューのスワップ発生状態", _xlfn.REGEXTEST(C154, "NiFi Node Monitoring"), "NiFiノードの稼働状態監視", _xlfn.REGEXTEST(C154, "Host Clock Offset"), "ホストのクロックオフセット（時刻同期のズレ）", _xlfn.REGEXTEST(C154, "Memory Overcommit Validation"), "メモリオーバーコミット設定の検証", _xlfn.REGEXTEST(C154, "Gateway Logging"), "ゲートウェイのログ出力設定", _xlfn.REGEXTEST(C154, "CPU Balance"), "CPU使用率の分散バランス状態", _xlfn.REGEXTEST(C154, "Disk Balance"), "ディスク使用量の分散バランス状態", _xlfn.REGEXTEST(C154, "Network Inbound Balance"), "ネットワークインバウンド（受信）の分散バランス状態", _xlfn.REGEXTEST(C154, "Network Outbound Balance"), "ネットワークアウトバウンド（送信）の分散バランス状態", _xlfn.REGEXTEST(C154, "Replica Count Balance"), "レプリカ数の分散バランス状態", _xlfn.REGEXTEST(C154, "Disk Capacity"), "ディスク総容量の限界・使用容量", _xlfn.REGEXTEST(C154, "CPU Capacity"), "CPU総処理能力の限界・使用量", _xlfn.REGEXTEST(C154, "Network Inbound Capacity"), "ネットワークインバウンド（受信）帯域の限界・使用量", _xlfn.REGEXTEST(C154, "Network Outbound Capacity"), "ネットワークアウトバウンド（送信）帯域の限界・使用量", _xlfn.REGEXTEST(C154, "Leader Replica Count Balance"), "リーダーレプリカ数の分散バランス状態", _xlfn.REGEXTEST(C154, "Host DNS Resolution Duration"), "ホストのDNS名前解決の所要時間", _xlfn.REGEXTEST(C154, "TLS Certificate Expiry"), "TLS証明書の有効期限切れ", _xlfn.REGEXTEST(C154, "Host Entropy"), "ホストのエントロピー（乱数生成能力）の不足", _xlfn.REGEXTEST(C154, "File Descriptor"), "プロセスのファイルディスクリプタ使用率", _xlfn.REGEXTEST(C154, "Unexpected Exits"), "プロセスの異常終了（予期せぬ停止）", _xlfn.REGEXTEST(C154, "Swap Memory Thresholds"), "プロセスのスワップメモリ使用量", _xlfn.REGEXTEST(C154, "Swap Memory Usage Rate"), "スワップメモリ使用量の変化率（増加速度）", _xlfn.REGEXTEST(C154, "Log Directory Free Space.*Absolute"), "ログディレクトリの空き容量（絶対値）", _xlfn.REGEXTEST(C154, "Log Directory Free Space.*Percentage"), "ログディレクトリの空き容量割合（%）", _xlfn.REGEXTEST(C154, "Heap Dump Directory Free Space.*Absolute"), "ヒープダンプディレクトリの空き容量（絶対値）", _xlfn.REGEXTEST(C154, "Heap Dump Directory Free Space.*Percentage"), "ヒープダンプディレクトリの空き容量割合（%）", _xlfn.REGEXTEST(C154, "Data Directory Free Space.*Absolute"), "データディレクトリの空き容量（絶対値）", _xlfn.REGEXTEST(C154, "Data Directory Free Space.*Percentage"), "データディレクトリの空き容量割合（%）", _xlfn.REGEXTEST(C154, "Transaction Log Directory Free Space.*Absolute"), "トランザクションログディレクトリの空き容量（絶対値）", _xlfn.REGEXTEST(C154, "Logging Threshold|Logger Threshold"), "ログ出力レベルの閾値設定", _xlfn.REGEXTEST(C154, "Enable.*Alerts"), "ヘルスアラートの有効化状態", _xlfn.REGEXTEST(C154, "Triggers"), "カスタムアラート条件（トリガー設定）", _xlfn.REGEXTEST(C154, "Healthy Kafka Broker"), "Kafka Brokerの健全ノード割合（稼働率）", _xlfn.REGEXTEST(C154, "Healthy Kafka Connect"), "Kafka Connectの健全ノード割合（稼働率）", _xlfn.REGEXTEST(C154, "Healthy KRaft Controller"), "KRaft Controllerの健全ノード割合（稼働率）", _xlfn.REGEXTEST(C154, "Healthy Knox IDBroker"), "Knox IDBrokerの健全ノード割合（稼働率）", _xlfn.REGEXTEST(C154, "Healthy Knox Gateway"), "Knox Gatewayの健全ノード割合（稼働率）", _xlfn.REGEXTEST(C154, "Healthy ZooKeeper Server"), "ZooKeeper Serverの健全ノード割合（稼働率）", _xlfn.REGEXTEST(C154, "Healthy NodeManager"), "NodeManagerの健全ノード割合（稼働率）", _xlfn.REGEXTEST(C154, "Maximum Latency"), "リクエストの最大レイテンシ（処理遅延）", _xlfn.REGEXTEST(C154, "Garbage Collection Duration"), "Javaのガベージコレクション（GC）の所要時間", _xlfn.REGEXTEST(C154, "Spool Directory Usage"), "Rangerプラグインのスプールディレクトリ使用量", _xlfn.REGEXTEST(C154, "Process Directory Free Space Monitoring Absolute"), "プロセスディレクトリの空き容量（絶対値)", _xlfn.REGEXTEST(C154, "Process Directory Free Space.*Percentage"), "プロセスディレクトリの空き容量割合（%）", _xlfn.REGEXTEST(C154, "Parcel Directory Free Space.*Absolute"), "パーセルディレクトリの空き容量（絶対値）", _xlfn.REGEXTEST(C154, "Parcel Directory Free Space.*Percentage"), "パーセルディレクトリの空き容量割合（%）", _xlfn.REGEXTEST(C154, "Host Network Frame Error Percentage"), "ホストのネットワークフレームエラー割合（%）", _xlfn.REGEXTEST(C154, "Network Interfaces Slow Link Modes"), "ホストのネットワークインターフェースの低速リンクモード検出", _xlfn.REGEXTEST(C154, "Host Memory Swapping"), "ホストのメモリのスワップ発生状態", TRUE, "要手動確認")</f>
        <v>カスタムアラート条件（トリガー設定）</v>
      </c>
      <c r="H154" s="479" t="s">
        <v>754</v>
      </c>
    </row>
    <row r="155" spans="1:8" ht="16.899999999999999">
      <c r="A155" s="514"/>
      <c r="B155" s="473"/>
      <c r="C155" s="471" t="s">
        <v>752</v>
      </c>
      <c r="D155" s="471" t="s">
        <v>753</v>
      </c>
      <c r="E155" s="471" t="s">
        <v>787</v>
      </c>
      <c r="F155" s="471" t="s">
        <v>942</v>
      </c>
      <c r="G155" s="471" t="str" cm="1">
        <f t="array" ref="G155">_xlfn.IFS(C155 = "", "", _xlfn.REGEXTEST(C155, "Service Metric Migrator Minimum Consecutive Successful Checks"), "サービスメトリック移行ツールの連続正常チェック最小回数", _xlfn.REGEXTEST(C155, "Rebalancing"), "リバランシング（データ再配置）状態", _xlfn.REGEXTEST(C155, "Temporary Dump Directory"), "一時ダンプディレクトリの監視", _xlfn.REGEXTEST(C155, "Safemode Extension"), "セーフモード延長状態", _xlfn.REGEXTEST(C155, "Client Idle"), "クライアントのアイドル（待機）状態", _xlfn.REGEXTEST(C155, "Available Space Policy Balanced"), "空き容量ポリシーの分散バランス状態", _xlfn.REGEXTEST(C155, "Filesystem Checkpoint Transaction"), "ファイルシステムのチェックポイントトランザクション", _xlfn.REGEXTEST(C155, "Blocks With Corrupt Replicas Monitoring"), "破損レプリカを持つブロックの監視", _xlfn.REGEXTEST(C155, "Missing Block Monitoring"), "消失（ミッシング）ブロックの監視", _xlfn.REGEXTEST(C155, "Under-replicated Block Monitoring"), "レプリカ数不足ブロックの監視", _xlfn.REGEXTEST(C155, "HDFS Free Space Monitoring"), "HDFSの空き容量監視", _xlfn.REGEXTEST(C155, "DataNode Monitoring"), "DataNodeの稼働状態監視", _xlfn.REGEXTEST(C155, "Rules to Extract Events from Log Files"), "ログファイルからのイベント抽出ルール設定", _xlfn.REGEXTEST(C155, "Free Space Monitoring$"), "空き容量監視（一般設定）", _xlfn.REGEXTEST(C155, "Transceivers Usage"), "トランシーバー使用量（データ転送スレッド数）", _xlfn.REGEXTEST(C155, "Volume Failures"), "ボリューム障害（ディスクエラー）数", _xlfn.REGEXTEST(C155, "Block Count"), "ブロック総数", _xlfn.REGEXTEST(C155, "Audit Failure"), "監査（オーディット）ログの失敗イベント", _xlfn.REGEXTEST(C155, "Web Metric Collection Duration"), "Webメトリック収集の所要時間", _xlfn.REGEXTEST(C155, "Pause Duration"), "一時停止（ポーズ）の所要時間", _xlfn.REGEXTEST(C155, "Fsync Latency"), "Fsync（ディスク同期）のレイテンシ", _xlfn.REGEXTEST(C155, "Free Space Monitoring Absolute"), "空き容量（絶対値）", _xlfn.REGEXTEST(C155, "Free Space Monitoring Percentage"), "空き容量割合（%）", _xlfn.REGEXTEST(C155, "Age Monitoring"), "経過時間の監視", _xlfn.REGEXTEST(C155, "Transactions Monitoring"), "トランザクション数の監視", _xlfn.REGEXTEST(C155, "RPC Latency"), "RPC（遠隔手続き呼出し）のレイテンシ", _xlfn.REGEXTEST(C155, "Directory Failures"), "ディレクトリ障害数", _xlfn.REGEXTEST(C155, "Out-Of-Sync JournalNodes"), "同期ズレが発生しているJournalNode数", _xlfn.REGEXTEST(C155, "Safemode Threshold Percentage"), "セーフモード解除閾値の割合（%）", _xlfn.REGEXTEST(C155, "Kerberos Ticket Renewer Monitoring"), "Kerberosチケット更新プロセスの稼働状態監視", _xlfn.REGEXTEST(C155, "Load Balancer Monitoring"), "ロードバランサーの稼働状態監視", _xlfn.REGEXTEST(C155, "Navigator Audit Failure"), "Cloudera Navigator監査ログの失敗イベント", _xlfn.REGEXTEST(C155, "Schema Registry Server Monitoring"), "Schema Registry Serverの稼働状態監視", _xlfn.REGEXTEST(C155, "SRM Service Monitoring"), "SRMサービスの稼働状態監視", _xlfn.REGEXTEST(C155, "SRM Driver Monitoring"), "SRMドライバーの稼働状態監視", _xlfn.REGEXTEST(C155, "Loggin"), "ログ出力状態・設定監視", _xlfn.REGEXTEST(C155, "Server Monitoring"), "サーバーの稼働状態監視", _xlfn.REGEXTEST(C155, "Server Connection Count"), "サーバーの接続数（コネクション数）", _xlfn.REGEXTEST(C155, "Server Outstanding Requests"), "サーバーの未処理リクエスト数（滞留要求数）", _xlfn.REGEXTEST(C155, "Repository Status"), "リポジトリのステータス状態", _xlfn.REGEXTEST(C155, "Monitor Long Running Task"), "長時間実行タスク（ジョブ）の監視", _xlfn.REGEXTEST(C155, "Token requests per second"), "1秒あたりのトークンリクエスト数（要求レート）", _xlfn.REGEXTEST(C155, "Connection Model Score"), "接続モデルスコア（コネクション品質）", _xlfn.REGEXTEST(C155, "Queue swap"), "キューのスワップ発生状態", _xlfn.REGEXTEST(C155, "NiFi Node Monitoring"), "NiFiノードの稼働状態監視", _xlfn.REGEXTEST(C155, "Host Clock Offset"), "ホストのクロックオフセット（時刻同期のズレ）", _xlfn.REGEXTEST(C155, "Memory Overcommit Validation"), "メモリオーバーコミット設定の検証", _xlfn.REGEXTEST(C155, "Gateway Logging"), "ゲートウェイのログ出力設定", _xlfn.REGEXTEST(C155, "CPU Balance"), "CPU使用率の分散バランス状態", _xlfn.REGEXTEST(C155, "Disk Balance"), "ディスク使用量の分散バランス状態", _xlfn.REGEXTEST(C155, "Network Inbound Balance"), "ネットワークインバウンド（受信）の分散バランス状態", _xlfn.REGEXTEST(C155, "Network Outbound Balance"), "ネットワークアウトバウンド（送信）の分散バランス状態", _xlfn.REGEXTEST(C155, "Replica Count Balance"), "レプリカ数の分散バランス状態", _xlfn.REGEXTEST(C155, "Disk Capacity"), "ディスク総容量の限界・使用容量", _xlfn.REGEXTEST(C155, "CPU Capacity"), "CPU総処理能力の限界・使用量", _xlfn.REGEXTEST(C155, "Network Inbound Capacity"), "ネットワークインバウンド（受信）帯域の限界・使用量", _xlfn.REGEXTEST(C155, "Network Outbound Capacity"), "ネットワークアウトバウンド（送信）帯域の限界・使用量", _xlfn.REGEXTEST(C155, "Leader Replica Count Balance"), "リーダーレプリカ数の分散バランス状態", _xlfn.REGEXTEST(C155, "Host DNS Resolution Duration"), "ホストのDNS名前解決の所要時間", _xlfn.REGEXTEST(C155, "TLS Certificate Expiry"), "TLS証明書の有効期限切れ", _xlfn.REGEXTEST(C155, "Host Entropy"), "ホストのエントロピー（乱数生成能力）の不足", _xlfn.REGEXTEST(C155, "File Descriptor"), "プロセスのファイルディスクリプタ使用率", _xlfn.REGEXTEST(C155, "Unexpected Exits"), "プロセスの異常終了（予期せぬ停止）", _xlfn.REGEXTEST(C155, "Swap Memory Thresholds"), "プロセスのスワップメモリ使用量", _xlfn.REGEXTEST(C155, "Swap Memory Usage Rate"), "スワップメモリ使用量の変化率（増加速度）", _xlfn.REGEXTEST(C155, "Log Directory Free Space.*Absolute"), "ログディレクトリの空き容量（絶対値）", _xlfn.REGEXTEST(C155, "Log Directory Free Space.*Percentage"), "ログディレクトリの空き容量割合（%）", _xlfn.REGEXTEST(C155, "Heap Dump Directory Free Space.*Absolute"), "ヒープダンプディレクトリの空き容量（絶対値）", _xlfn.REGEXTEST(C155, "Heap Dump Directory Free Space.*Percentage"), "ヒープダンプディレクトリの空き容量割合（%）", _xlfn.REGEXTEST(C155, "Data Directory Free Space.*Absolute"), "データディレクトリの空き容量（絶対値）", _xlfn.REGEXTEST(C155, "Data Directory Free Space.*Percentage"), "データディレクトリの空き容量割合（%）", _xlfn.REGEXTEST(C155, "Transaction Log Directory Free Space.*Absolute"), "トランザクションログディレクトリの空き容量（絶対値）", _xlfn.REGEXTEST(C155, "Logging Threshold|Logger Threshold"), "ログ出力レベルの閾値設定", _xlfn.REGEXTEST(C155, "Enable.*Alerts"), "ヘルスアラートの有効化状態", _xlfn.REGEXTEST(C155, "Triggers"), "カスタムアラート条件（トリガー設定）", _xlfn.REGEXTEST(C155, "Healthy Kafka Broker"), "Kafka Brokerの健全ノード割合（稼働率）", _xlfn.REGEXTEST(C155, "Healthy Kafka Connect"), "Kafka Connectの健全ノード割合（稼働率）", _xlfn.REGEXTEST(C155, "Healthy KRaft Controller"), "KRaft Controllerの健全ノード割合（稼働率）", _xlfn.REGEXTEST(C155, "Healthy Knox IDBroker"), "Knox IDBrokerの健全ノード割合（稼働率）", _xlfn.REGEXTEST(C155, "Healthy Knox Gateway"), "Knox Gatewayの健全ノード割合（稼働率）", _xlfn.REGEXTEST(C155, "Healthy ZooKeeper Server"), "ZooKeeper Serverの健全ノード割合（稼働率）", _xlfn.REGEXTEST(C155, "Healthy NodeManager"), "NodeManagerの健全ノード割合（稼働率）", _xlfn.REGEXTEST(C155, "Maximum Latency"), "リクエストの最大レイテンシ（処理遅延）", _xlfn.REGEXTEST(C155, "Garbage Collection Duration"), "Javaのガベージコレクション（GC）の所要時間", _xlfn.REGEXTEST(C155, "Spool Directory Usage"), "Rangerプラグインのスプールディレクトリ使用量", _xlfn.REGEXTEST(C155, "Process Directory Free Space Monitoring Absolute"), "プロセスディレクトリの空き容量（絶対値)", _xlfn.REGEXTEST(C155, "Process Directory Free Space.*Percentage"), "プロセスディレクトリの空き容量割合（%）", _xlfn.REGEXTEST(C155, "Parcel Directory Free Space.*Absolute"), "パーセルディレクトリの空き容量（絶対値）", _xlfn.REGEXTEST(C155, "Parcel Directory Free Space.*Percentage"), "パーセルディレクトリの空き容量割合（%）", _xlfn.REGEXTEST(C155, "Host Network Frame Error Percentage"), "ホストのネットワークフレームエラー割合（%）", _xlfn.REGEXTEST(C155, "Network Interfaces Slow Link Modes"), "ホストのネットワークインターフェースの低速リンクモード検出", _xlfn.REGEXTEST(C155, "Host Memory Swapping"), "ホストのメモリのスワップ発生状態", TRUE, "要手動確認")</f>
        <v>カスタムアラート条件（トリガー設定）</v>
      </c>
      <c r="H155" s="479" t="s">
        <v>754</v>
      </c>
    </row>
    <row r="156" spans="1:8" ht="33.6">
      <c r="A156" s="514"/>
      <c r="B156" s="473"/>
      <c r="C156" s="471" t="s">
        <v>755</v>
      </c>
      <c r="D156" s="471" t="s">
        <v>756</v>
      </c>
      <c r="E156" s="471" t="s">
        <v>785</v>
      </c>
      <c r="F156" s="471" t="s">
        <v>943</v>
      </c>
      <c r="G156" s="471" t="str" cm="1">
        <f t="array" ref="G156">_xlfn.IFS(C156 = "", "", _xlfn.REGEXTEST(C156, "Service Metric Migrator Minimum Consecutive Successful Checks"), "サービスメトリック移行ツールの連続正常チェック最小回数", _xlfn.REGEXTEST(C156, "Rebalancing"), "リバランシング（データ再配置）状態", _xlfn.REGEXTEST(C156, "Temporary Dump Directory"), "一時ダンプディレクトリの監視", _xlfn.REGEXTEST(C156, "Safemode Extension"), "セーフモード延長状態", _xlfn.REGEXTEST(C156, "Client Idle"), "クライアントのアイドル（待機）状態", _xlfn.REGEXTEST(C156, "Available Space Policy Balanced"), "空き容量ポリシーの分散バランス状態", _xlfn.REGEXTEST(C156, "Filesystem Checkpoint Transaction"), "ファイルシステムのチェックポイントトランザクション", _xlfn.REGEXTEST(C156, "Blocks With Corrupt Replicas Monitoring"), "破損レプリカを持つブロックの監視", _xlfn.REGEXTEST(C156, "Missing Block Monitoring"), "消失（ミッシング）ブロックの監視", _xlfn.REGEXTEST(C156, "Under-replicated Block Monitoring"), "レプリカ数不足ブロックの監視", _xlfn.REGEXTEST(C156, "HDFS Free Space Monitoring"), "HDFSの空き容量監視", _xlfn.REGEXTEST(C156, "DataNode Monitoring"), "DataNodeの稼働状態監視", _xlfn.REGEXTEST(C156, "Rules to Extract Events from Log Files"), "ログファイルからのイベント抽出ルール設定", _xlfn.REGEXTEST(C156, "Free Space Monitoring$"), "空き容量監視（一般設定）", _xlfn.REGEXTEST(C156, "Transceivers Usage"), "トランシーバー使用量（データ転送スレッド数）", _xlfn.REGEXTEST(C156, "Volume Failures"), "ボリューム障害（ディスクエラー）数", _xlfn.REGEXTEST(C156, "Block Count"), "ブロック総数", _xlfn.REGEXTEST(C156, "Audit Failure"), "監査（オーディット）ログの失敗イベント", _xlfn.REGEXTEST(C156, "Web Metric Collection Duration"), "Webメトリック収集の所要時間", _xlfn.REGEXTEST(C156, "Pause Duration"), "一時停止（ポーズ）の所要時間", _xlfn.REGEXTEST(C156, "Fsync Latency"), "Fsync（ディスク同期）のレイテンシ", _xlfn.REGEXTEST(C156, "Free Space Monitoring Absolute"), "空き容量（絶対値）", _xlfn.REGEXTEST(C156, "Free Space Monitoring Percentage"), "空き容量割合（%）", _xlfn.REGEXTEST(C156, "Age Monitoring"), "経過時間の監視", _xlfn.REGEXTEST(C156, "Transactions Monitoring"), "トランザクション数の監視", _xlfn.REGEXTEST(C156, "RPC Latency"), "RPC（遠隔手続き呼出し）のレイテンシ", _xlfn.REGEXTEST(C156, "Directory Failures"), "ディレクトリ障害数", _xlfn.REGEXTEST(C156, "Out-Of-Sync JournalNodes"), "同期ズレが発生しているJournalNode数", _xlfn.REGEXTEST(C156, "Safemode Threshold Percentage"), "セーフモード解除閾値の割合（%）", _xlfn.REGEXTEST(C156, "Kerberos Ticket Renewer Monitoring"), "Kerberosチケット更新プロセスの稼働状態監視", _xlfn.REGEXTEST(C156, "Load Balancer Monitoring"), "ロードバランサーの稼働状態監視", _xlfn.REGEXTEST(C156, "Navigator Audit Failure"), "Cloudera Navigator監査ログの失敗イベント", _xlfn.REGEXTEST(C156, "Schema Registry Server Monitoring"), "Schema Registry Serverの稼働状態監視", _xlfn.REGEXTEST(C156, "SRM Service Monitoring"), "SRMサービスの稼働状態監視", _xlfn.REGEXTEST(C156, "SRM Driver Monitoring"), "SRMドライバーの稼働状態監視", _xlfn.REGEXTEST(C156, "Loggin"), "ログ出力状態・設定監視", _xlfn.REGEXTEST(C156, "Server Monitoring"), "サーバーの稼働状態監視", _xlfn.REGEXTEST(C156, "Server Connection Count"), "サーバーの接続数（コネクション数）", _xlfn.REGEXTEST(C156, "Server Outstanding Requests"), "サーバーの未処理リクエスト数（滞留要求数）", _xlfn.REGEXTEST(C156, "Repository Status"), "リポジトリのステータス状態", _xlfn.REGEXTEST(C156, "Monitor Long Running Task"), "長時間実行タスク（ジョブ）の監視", _xlfn.REGEXTEST(C156, "Token requests per second"), "1秒あたりのトークンリクエスト数（要求レート）", _xlfn.REGEXTEST(C156, "Connection Model Score"), "接続モデルスコア（コネクション品質）", _xlfn.REGEXTEST(C156, "Queue swap"), "キューのスワップ発生状態", _xlfn.REGEXTEST(C156, "NiFi Node Monitoring"), "NiFiノードの稼働状態監視", _xlfn.REGEXTEST(C156, "Host Clock Offset"), "ホストのクロックオフセット（時刻同期のズレ）", _xlfn.REGEXTEST(C156, "Memory Overcommit Validation"), "メモリオーバーコミット設定の検証", _xlfn.REGEXTEST(C156, "Gateway Logging"), "ゲートウェイのログ出力設定", _xlfn.REGEXTEST(C156, "CPU Balance"), "CPU使用率の分散バランス状態", _xlfn.REGEXTEST(C156, "Disk Balance"), "ディスク使用量の分散バランス状態", _xlfn.REGEXTEST(C156, "Network Inbound Balance"), "ネットワークインバウンド（受信）の分散バランス状態", _xlfn.REGEXTEST(C156, "Network Outbound Balance"), "ネットワークアウトバウンド（送信）の分散バランス状態", _xlfn.REGEXTEST(C156, "Replica Count Balance"), "レプリカ数の分散バランス状態", _xlfn.REGEXTEST(C156, "Disk Capacity"), "ディスク総容量の限界・使用容量", _xlfn.REGEXTEST(C156, "CPU Capacity"), "CPU総処理能力の限界・使用量", _xlfn.REGEXTEST(C156, "Network Inbound Capacity"), "ネットワークインバウンド（受信）帯域の限界・使用量", _xlfn.REGEXTEST(C156, "Network Outbound Capacity"), "ネットワークアウトバウンド（送信）帯域の限界・使用量", _xlfn.REGEXTEST(C156, "Leader Replica Count Balance"), "リーダーレプリカ数の分散バランス状態", _xlfn.REGEXTEST(C156, "Host DNS Resolution Duration"), "ホストのDNS名前解決の所要時間", _xlfn.REGEXTEST(C156, "TLS Certificate Expiry"), "TLS証明書の有効期限切れ", _xlfn.REGEXTEST(C156, "Host Entropy"), "ホストのエントロピー（乱数生成能力）の不足", _xlfn.REGEXTEST(C156, "File Descriptor"), "プロセスのファイルディスクリプタ使用率", _xlfn.REGEXTEST(C156, "Unexpected Exits"), "プロセスの異常終了（予期せぬ停止）", _xlfn.REGEXTEST(C156, "Swap Memory Thresholds"), "プロセスのスワップメモリ使用量", _xlfn.REGEXTEST(C156, "Swap Memory Usage Rate"), "スワップメモリ使用量の変化率（増加速度）", _xlfn.REGEXTEST(C156, "Log Directory Free Space.*Absolute"), "ログディレクトリの空き容量（絶対値）", _xlfn.REGEXTEST(C156, "Log Directory Free Space.*Percentage"), "ログディレクトリの空き容量割合（%）", _xlfn.REGEXTEST(C156, "Heap Dump Directory Free Space.*Absolute"), "ヒープダンプディレクトリの空き容量（絶対値）", _xlfn.REGEXTEST(C156, "Heap Dump Directory Free Space.*Percentage"), "ヒープダンプディレクトリの空き容量割合（%）", _xlfn.REGEXTEST(C156, "Data Directory Free Space.*Absolute"), "データディレクトリの空き容量（絶対値）", _xlfn.REGEXTEST(C156, "Data Directory Free Space.*Percentage"), "データディレクトリの空き容量割合（%）", _xlfn.REGEXTEST(C156, "Transaction Log Directory Free Space.*Absolute"), "トランザクションログディレクトリの空き容量（絶対値）", _xlfn.REGEXTEST(C156, "Logging Threshold|Logger Threshold"), "ログ出力レベルの閾値設定", _xlfn.REGEXTEST(C156, "Enable.*Alerts"), "ヘルスアラートの有効化状態", _xlfn.REGEXTEST(C156, "Triggers"), "カスタムアラート条件（トリガー設定）", _xlfn.REGEXTEST(C156, "Healthy Kafka Broker"), "Kafka Brokerの健全ノード割合（稼働率）", _xlfn.REGEXTEST(C156, "Healthy Kafka Connect"), "Kafka Connectの健全ノード割合（稼働率）", _xlfn.REGEXTEST(C156, "Healthy KRaft Controller"), "KRaft Controllerの健全ノード割合（稼働率）", _xlfn.REGEXTEST(C156, "Healthy Knox IDBroker"), "Knox IDBrokerの健全ノード割合（稼働率）", _xlfn.REGEXTEST(C156, "Healthy Knox Gateway"), "Knox Gatewayの健全ノード割合（稼働率）", _xlfn.REGEXTEST(C156, "Healthy ZooKeeper Server"), "ZooKeeper Serverの健全ノード割合（稼働率）", _xlfn.REGEXTEST(C156, "Healthy NodeManager"), "NodeManagerの健全ノード割合（稼働率）", _xlfn.REGEXTEST(C156, "Maximum Latency"), "リクエストの最大レイテンシ（処理遅延）", _xlfn.REGEXTEST(C156, "Garbage Collection Duration"), "Javaのガベージコレクション（GC）の所要時間", _xlfn.REGEXTEST(C156, "Spool Directory Usage"), "Rangerプラグインのスプールディレクトリ使用量", _xlfn.REGEXTEST(C156, "Process Directory Free Space Monitoring Absolute"), "プロセスディレクトリの空き容量（絶対値)", _xlfn.REGEXTEST(C156, "Process Directory Free Space.*Percentage"), "プロセスディレクトリの空き容量割合（%）", _xlfn.REGEXTEST(C156, "Parcel Directory Free Space.*Absolute"), "パーセルディレクトリの空き容量（絶対値）", _xlfn.REGEXTEST(C156, "Parcel Directory Free Space.*Percentage"), "パーセルディレクトリの空き容量割合（%）", _xlfn.REGEXTEST(C156, "Host Network Frame Error Percentage"), "ホストのネットワークフレームエラー割合（%）", _xlfn.REGEXTEST(C156, "Network Interfaces Slow Link Modes"), "ホストのネットワークインターフェースの低速リンクモード検出", _xlfn.REGEXTEST(C156, "Host Memory Swapping"), "ホストのメモリのスワップ発生状態", TRUE, "要手動確認")</f>
        <v>プロセスのスワップメモリ使用量</v>
      </c>
      <c r="H156" s="479" t="s">
        <v>944</v>
      </c>
    </row>
    <row r="157" spans="1:8" ht="33.6">
      <c r="A157" s="514"/>
      <c r="B157" s="473"/>
      <c r="C157" s="471" t="s">
        <v>755</v>
      </c>
      <c r="D157" s="471" t="s">
        <v>756</v>
      </c>
      <c r="E157" s="471" t="s">
        <v>787</v>
      </c>
      <c r="F157" s="471" t="s">
        <v>945</v>
      </c>
      <c r="G157" s="471" t="str" cm="1">
        <f t="array" ref="G157">_xlfn.IFS(C157 = "", "", _xlfn.REGEXTEST(C157, "Service Metric Migrator Minimum Consecutive Successful Checks"), "サービスメトリック移行ツールの連続正常チェック最小回数", _xlfn.REGEXTEST(C157, "Rebalancing"), "リバランシング（データ再配置）状態", _xlfn.REGEXTEST(C157, "Temporary Dump Directory"), "一時ダンプディレクトリの監視", _xlfn.REGEXTEST(C157, "Safemode Extension"), "セーフモード延長状態", _xlfn.REGEXTEST(C157, "Client Idle"), "クライアントのアイドル（待機）状態", _xlfn.REGEXTEST(C157, "Available Space Policy Balanced"), "空き容量ポリシーの分散バランス状態", _xlfn.REGEXTEST(C157, "Filesystem Checkpoint Transaction"), "ファイルシステムのチェックポイントトランザクション", _xlfn.REGEXTEST(C157, "Blocks With Corrupt Replicas Monitoring"), "破損レプリカを持つブロックの監視", _xlfn.REGEXTEST(C157, "Missing Block Monitoring"), "消失（ミッシング）ブロックの監視", _xlfn.REGEXTEST(C157, "Under-replicated Block Monitoring"), "レプリカ数不足ブロックの監視", _xlfn.REGEXTEST(C157, "HDFS Free Space Monitoring"), "HDFSの空き容量監視", _xlfn.REGEXTEST(C157, "DataNode Monitoring"), "DataNodeの稼働状態監視", _xlfn.REGEXTEST(C157, "Rules to Extract Events from Log Files"), "ログファイルからのイベント抽出ルール設定", _xlfn.REGEXTEST(C157, "Free Space Monitoring$"), "空き容量監視（一般設定）", _xlfn.REGEXTEST(C157, "Transceivers Usage"), "トランシーバー使用量（データ転送スレッド数）", _xlfn.REGEXTEST(C157, "Volume Failures"), "ボリューム障害（ディスクエラー）数", _xlfn.REGEXTEST(C157, "Block Count"), "ブロック総数", _xlfn.REGEXTEST(C157, "Audit Failure"), "監査（オーディット）ログの失敗イベント", _xlfn.REGEXTEST(C157, "Web Metric Collection Duration"), "Webメトリック収集の所要時間", _xlfn.REGEXTEST(C157, "Pause Duration"), "一時停止（ポーズ）の所要時間", _xlfn.REGEXTEST(C157, "Fsync Latency"), "Fsync（ディスク同期）のレイテンシ", _xlfn.REGEXTEST(C157, "Free Space Monitoring Absolute"), "空き容量（絶対値）", _xlfn.REGEXTEST(C157, "Free Space Monitoring Percentage"), "空き容量割合（%）", _xlfn.REGEXTEST(C157, "Age Monitoring"), "経過時間の監視", _xlfn.REGEXTEST(C157, "Transactions Monitoring"), "トランザクション数の監視", _xlfn.REGEXTEST(C157, "RPC Latency"), "RPC（遠隔手続き呼出し）のレイテンシ", _xlfn.REGEXTEST(C157, "Directory Failures"), "ディレクトリ障害数", _xlfn.REGEXTEST(C157, "Out-Of-Sync JournalNodes"), "同期ズレが発生しているJournalNode数", _xlfn.REGEXTEST(C157, "Safemode Threshold Percentage"), "セーフモード解除閾値の割合（%）", _xlfn.REGEXTEST(C157, "Kerberos Ticket Renewer Monitoring"), "Kerberosチケット更新プロセスの稼働状態監視", _xlfn.REGEXTEST(C157, "Load Balancer Monitoring"), "ロードバランサーの稼働状態監視", _xlfn.REGEXTEST(C157, "Navigator Audit Failure"), "Cloudera Navigator監査ログの失敗イベント", _xlfn.REGEXTEST(C157, "Schema Registry Server Monitoring"), "Schema Registry Serverの稼働状態監視", _xlfn.REGEXTEST(C157, "SRM Service Monitoring"), "SRMサービスの稼働状態監視", _xlfn.REGEXTEST(C157, "SRM Driver Monitoring"), "SRMドライバーの稼働状態監視", _xlfn.REGEXTEST(C157, "Loggin"), "ログ出力状態・設定監視", _xlfn.REGEXTEST(C157, "Server Monitoring"), "サーバーの稼働状態監視", _xlfn.REGEXTEST(C157, "Server Connection Count"), "サーバーの接続数（コネクション数）", _xlfn.REGEXTEST(C157, "Server Outstanding Requests"), "サーバーの未処理リクエスト数（滞留要求数）", _xlfn.REGEXTEST(C157, "Repository Status"), "リポジトリのステータス状態", _xlfn.REGEXTEST(C157, "Monitor Long Running Task"), "長時間実行タスク（ジョブ）の監視", _xlfn.REGEXTEST(C157, "Token requests per second"), "1秒あたりのトークンリクエスト数（要求レート）", _xlfn.REGEXTEST(C157, "Connection Model Score"), "接続モデルスコア（コネクション品質）", _xlfn.REGEXTEST(C157, "Queue swap"), "キューのスワップ発生状態", _xlfn.REGEXTEST(C157, "NiFi Node Monitoring"), "NiFiノードの稼働状態監視", _xlfn.REGEXTEST(C157, "Host Clock Offset"), "ホストのクロックオフセット（時刻同期のズレ）", _xlfn.REGEXTEST(C157, "Memory Overcommit Validation"), "メモリオーバーコミット設定の検証", _xlfn.REGEXTEST(C157, "Gateway Logging"), "ゲートウェイのログ出力設定", _xlfn.REGEXTEST(C157, "CPU Balance"), "CPU使用率の分散バランス状態", _xlfn.REGEXTEST(C157, "Disk Balance"), "ディスク使用量の分散バランス状態", _xlfn.REGEXTEST(C157, "Network Inbound Balance"), "ネットワークインバウンド（受信）の分散バランス状態", _xlfn.REGEXTEST(C157, "Network Outbound Balance"), "ネットワークアウトバウンド（送信）の分散バランス状態", _xlfn.REGEXTEST(C157, "Replica Count Balance"), "レプリカ数の分散バランス状態", _xlfn.REGEXTEST(C157, "Disk Capacity"), "ディスク総容量の限界・使用容量", _xlfn.REGEXTEST(C157, "CPU Capacity"), "CPU総処理能力の限界・使用量", _xlfn.REGEXTEST(C157, "Network Inbound Capacity"), "ネットワークインバウンド（受信）帯域の限界・使用量", _xlfn.REGEXTEST(C157, "Network Outbound Capacity"), "ネットワークアウトバウンド（送信）帯域の限界・使用量", _xlfn.REGEXTEST(C157, "Leader Replica Count Balance"), "リーダーレプリカ数の分散バランス状態", _xlfn.REGEXTEST(C157, "Host DNS Resolution Duration"), "ホストのDNS名前解決の所要時間", _xlfn.REGEXTEST(C157, "TLS Certificate Expiry"), "TLS証明書の有効期限切れ", _xlfn.REGEXTEST(C157, "Host Entropy"), "ホストのエントロピー（乱数生成能力）の不足", _xlfn.REGEXTEST(C157, "File Descriptor"), "プロセスのファイルディスクリプタ使用率", _xlfn.REGEXTEST(C157, "Unexpected Exits"), "プロセスの異常終了（予期せぬ停止）", _xlfn.REGEXTEST(C157, "Swap Memory Thresholds"), "プロセスのスワップメモリ使用量", _xlfn.REGEXTEST(C157, "Swap Memory Usage Rate"), "スワップメモリ使用量の変化率（増加速度）", _xlfn.REGEXTEST(C157, "Log Directory Free Space.*Absolute"), "ログディレクトリの空き容量（絶対値）", _xlfn.REGEXTEST(C157, "Log Directory Free Space.*Percentage"), "ログディレクトリの空き容量割合（%）", _xlfn.REGEXTEST(C157, "Heap Dump Directory Free Space.*Absolute"), "ヒープダンプディレクトリの空き容量（絶対値）", _xlfn.REGEXTEST(C157, "Heap Dump Directory Free Space.*Percentage"), "ヒープダンプディレクトリの空き容量割合（%）", _xlfn.REGEXTEST(C157, "Data Directory Free Space.*Absolute"), "データディレクトリの空き容量（絶対値）", _xlfn.REGEXTEST(C157, "Data Directory Free Space.*Percentage"), "データディレクトリの空き容量割合（%）", _xlfn.REGEXTEST(C157, "Transaction Log Directory Free Space.*Absolute"), "トランザクションログディレクトリの空き容量（絶対値）", _xlfn.REGEXTEST(C157, "Logging Threshold|Logger Threshold"), "ログ出力レベルの閾値設定", _xlfn.REGEXTEST(C157, "Enable.*Alerts"), "ヘルスアラートの有効化状態", _xlfn.REGEXTEST(C157, "Triggers"), "カスタムアラート条件（トリガー設定）", _xlfn.REGEXTEST(C157, "Healthy Kafka Broker"), "Kafka Brokerの健全ノード割合（稼働率）", _xlfn.REGEXTEST(C157, "Healthy Kafka Connect"), "Kafka Connectの健全ノード割合（稼働率）", _xlfn.REGEXTEST(C157, "Healthy KRaft Controller"), "KRaft Controllerの健全ノード割合（稼働率）", _xlfn.REGEXTEST(C157, "Healthy Knox IDBroker"), "Knox IDBrokerの健全ノード割合（稼働率）", _xlfn.REGEXTEST(C157, "Healthy Knox Gateway"), "Knox Gatewayの健全ノード割合（稼働率）", _xlfn.REGEXTEST(C157, "Healthy ZooKeeper Server"), "ZooKeeper Serverの健全ノード割合（稼働率）", _xlfn.REGEXTEST(C157, "Healthy NodeManager"), "NodeManagerの健全ノード割合（稼働率）", _xlfn.REGEXTEST(C157, "Maximum Latency"), "リクエストの最大レイテンシ（処理遅延）", _xlfn.REGEXTEST(C157, "Garbage Collection Duration"), "Javaのガベージコレクション（GC）の所要時間", _xlfn.REGEXTEST(C157, "Spool Directory Usage"), "Rangerプラグインのスプールディレクトリ使用量", _xlfn.REGEXTEST(C157, "Process Directory Free Space Monitoring Absolute"), "プロセスディレクトリの空き容量（絶対値)", _xlfn.REGEXTEST(C157, "Process Directory Free Space.*Percentage"), "プロセスディレクトリの空き容量割合（%）", _xlfn.REGEXTEST(C157, "Parcel Directory Free Space.*Absolute"), "パーセルディレクトリの空き容量（絶対値）", _xlfn.REGEXTEST(C157, "Parcel Directory Free Space.*Percentage"), "パーセルディレクトリの空き容量割合（%）", _xlfn.REGEXTEST(C157, "Host Network Frame Error Percentage"), "ホストのネットワークフレームエラー割合（%）", _xlfn.REGEXTEST(C157, "Network Interfaces Slow Link Modes"), "ホストのネットワークインターフェースの低速リンクモード検出", _xlfn.REGEXTEST(C157, "Host Memory Swapping"), "ホストのメモリのスワップ発生状態", TRUE, "要手動確認")</f>
        <v>プロセスのスワップメモリ使用量</v>
      </c>
      <c r="H157" s="479" t="s">
        <v>944</v>
      </c>
    </row>
    <row r="158" spans="1:8" ht="33.6">
      <c r="A158" s="514"/>
      <c r="B158" s="473"/>
      <c r="C158" s="471" t="s">
        <v>758</v>
      </c>
      <c r="D158" s="471" t="s">
        <v>759</v>
      </c>
      <c r="E158" s="471" t="s">
        <v>785</v>
      </c>
      <c r="F158" s="471" t="s">
        <v>946</v>
      </c>
      <c r="G158" s="471" t="str" cm="1">
        <f t="array" ref="G158">_xlfn.IFS(C158 = "", "", _xlfn.REGEXTEST(C158, "Service Metric Migrator Minimum Consecutive Successful Checks"), "サービスメトリック移行ツールの連続正常チェック最小回数", _xlfn.REGEXTEST(C158, "Rebalancing"), "リバランシング（データ再配置）状態", _xlfn.REGEXTEST(C158, "Temporary Dump Directory"), "一時ダンプディレクトリの監視", _xlfn.REGEXTEST(C158, "Safemode Extension"), "セーフモード延長状態", _xlfn.REGEXTEST(C158, "Client Idle"), "クライアントのアイドル（待機）状態", _xlfn.REGEXTEST(C158, "Available Space Policy Balanced"), "空き容量ポリシーの分散バランス状態", _xlfn.REGEXTEST(C158, "Filesystem Checkpoint Transaction"), "ファイルシステムのチェックポイントトランザクション", _xlfn.REGEXTEST(C158, "Blocks With Corrupt Replicas Monitoring"), "破損レプリカを持つブロックの監視", _xlfn.REGEXTEST(C158, "Missing Block Monitoring"), "消失（ミッシング）ブロックの監視", _xlfn.REGEXTEST(C158, "Under-replicated Block Monitoring"), "レプリカ数不足ブロックの監視", _xlfn.REGEXTEST(C158, "HDFS Free Space Monitoring"), "HDFSの空き容量監視", _xlfn.REGEXTEST(C158, "DataNode Monitoring"), "DataNodeの稼働状態監視", _xlfn.REGEXTEST(C158, "Rules to Extract Events from Log Files"), "ログファイルからのイベント抽出ルール設定", _xlfn.REGEXTEST(C158, "Free Space Monitoring$"), "空き容量監視（一般設定）", _xlfn.REGEXTEST(C158, "Transceivers Usage"), "トランシーバー使用量（データ転送スレッド数）", _xlfn.REGEXTEST(C158, "Volume Failures"), "ボリューム障害（ディスクエラー）数", _xlfn.REGEXTEST(C158, "Block Count"), "ブロック総数", _xlfn.REGEXTEST(C158, "Audit Failure"), "監査（オーディット）ログの失敗イベント", _xlfn.REGEXTEST(C158, "Web Metric Collection Duration"), "Webメトリック収集の所要時間", _xlfn.REGEXTEST(C158, "Pause Duration"), "一時停止（ポーズ）の所要時間", _xlfn.REGEXTEST(C158, "Fsync Latency"), "Fsync（ディスク同期）のレイテンシ", _xlfn.REGEXTEST(C158, "Free Space Monitoring Absolute"), "空き容量（絶対値）", _xlfn.REGEXTEST(C158, "Free Space Monitoring Percentage"), "空き容量割合（%）", _xlfn.REGEXTEST(C158, "Age Monitoring"), "経過時間の監視", _xlfn.REGEXTEST(C158, "Transactions Monitoring"), "トランザクション数の監視", _xlfn.REGEXTEST(C158, "RPC Latency"), "RPC（遠隔手続き呼出し）のレイテンシ", _xlfn.REGEXTEST(C158, "Directory Failures"), "ディレクトリ障害数", _xlfn.REGEXTEST(C158, "Out-Of-Sync JournalNodes"), "同期ズレが発生しているJournalNode数", _xlfn.REGEXTEST(C158, "Safemode Threshold Percentage"), "セーフモード解除閾値の割合（%）", _xlfn.REGEXTEST(C158, "Kerberos Ticket Renewer Monitoring"), "Kerberosチケット更新プロセスの稼働状態監視", _xlfn.REGEXTEST(C158, "Load Balancer Monitoring"), "ロードバランサーの稼働状態監視", _xlfn.REGEXTEST(C158, "Navigator Audit Failure"), "Cloudera Navigator監査ログの失敗イベント", _xlfn.REGEXTEST(C158, "Schema Registry Server Monitoring"), "Schema Registry Serverの稼働状態監視", _xlfn.REGEXTEST(C158, "SRM Service Monitoring"), "SRMサービスの稼働状態監視", _xlfn.REGEXTEST(C158, "SRM Driver Monitoring"), "SRMドライバーの稼働状態監視", _xlfn.REGEXTEST(C158, "Loggin"), "ログ出力状態・設定監視", _xlfn.REGEXTEST(C158, "Server Monitoring"), "サーバーの稼働状態監視", _xlfn.REGEXTEST(C158, "Server Connection Count"), "サーバーの接続数（コネクション数）", _xlfn.REGEXTEST(C158, "Server Outstanding Requests"), "サーバーの未処理リクエスト数（滞留要求数）", _xlfn.REGEXTEST(C158, "Repository Status"), "リポジトリのステータス状態", _xlfn.REGEXTEST(C158, "Monitor Long Running Task"), "長時間実行タスク（ジョブ）の監視", _xlfn.REGEXTEST(C158, "Token requests per second"), "1秒あたりのトークンリクエスト数（要求レート）", _xlfn.REGEXTEST(C158, "Connection Model Score"), "接続モデルスコア（コネクション品質）", _xlfn.REGEXTEST(C158, "Queue swap"), "キューのスワップ発生状態", _xlfn.REGEXTEST(C158, "NiFi Node Monitoring"), "NiFiノードの稼働状態監視", _xlfn.REGEXTEST(C158, "Host Clock Offset"), "ホストのクロックオフセット（時刻同期のズレ）", _xlfn.REGEXTEST(C158, "Memory Overcommit Validation"), "メモリオーバーコミット設定の検証", _xlfn.REGEXTEST(C158, "Gateway Logging"), "ゲートウェイのログ出力設定", _xlfn.REGEXTEST(C158, "CPU Balance"), "CPU使用率の分散バランス状態", _xlfn.REGEXTEST(C158, "Disk Balance"), "ディスク使用量の分散バランス状態", _xlfn.REGEXTEST(C158, "Network Inbound Balance"), "ネットワークインバウンド（受信）の分散バランス状態", _xlfn.REGEXTEST(C158, "Network Outbound Balance"), "ネットワークアウトバウンド（送信）の分散バランス状態", _xlfn.REGEXTEST(C158, "Replica Count Balance"), "レプリカ数の分散バランス状態", _xlfn.REGEXTEST(C158, "Disk Capacity"), "ディスク総容量の限界・使用容量", _xlfn.REGEXTEST(C158, "CPU Capacity"), "CPU総処理能力の限界・使用量", _xlfn.REGEXTEST(C158, "Network Inbound Capacity"), "ネットワークインバウンド（受信）帯域の限界・使用量", _xlfn.REGEXTEST(C158, "Network Outbound Capacity"), "ネットワークアウトバウンド（送信）帯域の限界・使用量", _xlfn.REGEXTEST(C158, "Leader Replica Count Balance"), "リーダーレプリカ数の分散バランス状態", _xlfn.REGEXTEST(C158, "Host DNS Resolution Duration"), "ホストのDNS名前解決の所要時間", _xlfn.REGEXTEST(C158, "TLS Certificate Expiry"), "TLS証明書の有効期限切れ", _xlfn.REGEXTEST(C158, "Host Entropy"), "ホストのエントロピー（乱数生成能力）の不足", _xlfn.REGEXTEST(C158, "File Descriptor"), "プロセスのファイルディスクリプタ使用率", _xlfn.REGEXTEST(C158, "Unexpected Exits"), "プロセスの異常終了（予期せぬ停止）", _xlfn.REGEXTEST(C158, "Swap Memory Thresholds"), "プロセスのスワップメモリ使用量", _xlfn.REGEXTEST(C158, "Swap Memory Usage Rate"), "スワップメモリ使用量の変化率（増加速度）", _xlfn.REGEXTEST(C158, "Log Directory Free Space.*Absolute"), "ログディレクトリの空き容量（絶対値）", _xlfn.REGEXTEST(C158, "Log Directory Free Space.*Percentage"), "ログディレクトリの空き容量割合（%）", _xlfn.REGEXTEST(C158, "Heap Dump Directory Free Space.*Absolute"), "ヒープダンプディレクトリの空き容量（絶対値）", _xlfn.REGEXTEST(C158, "Heap Dump Directory Free Space.*Percentage"), "ヒープダンプディレクトリの空き容量割合（%）", _xlfn.REGEXTEST(C158, "Data Directory Free Space.*Absolute"), "データディレクトリの空き容量（絶対値）", _xlfn.REGEXTEST(C158, "Data Directory Free Space.*Percentage"), "データディレクトリの空き容量割合（%）", _xlfn.REGEXTEST(C158, "Transaction Log Directory Free Space.*Absolute"), "トランザクションログディレクトリの空き容量（絶対値）", _xlfn.REGEXTEST(C158, "Logging Threshold|Logger Threshold"), "ログ出力レベルの閾値設定", _xlfn.REGEXTEST(C158, "Enable.*Alerts"), "ヘルスアラートの有効化状態", _xlfn.REGEXTEST(C158, "Triggers"), "カスタムアラート条件（トリガー設定）", _xlfn.REGEXTEST(C158, "Healthy Kafka Broker"), "Kafka Brokerの健全ノード割合（稼働率）", _xlfn.REGEXTEST(C158, "Healthy Kafka Connect"), "Kafka Connectの健全ノード割合（稼働率）", _xlfn.REGEXTEST(C158, "Healthy KRaft Controller"), "KRaft Controllerの健全ノード割合（稼働率）", _xlfn.REGEXTEST(C158, "Healthy Knox IDBroker"), "Knox IDBrokerの健全ノード割合（稼働率）", _xlfn.REGEXTEST(C158, "Healthy Knox Gateway"), "Knox Gatewayの健全ノード割合（稼働率）", _xlfn.REGEXTEST(C158, "Healthy ZooKeeper Server"), "ZooKeeper Serverの健全ノード割合（稼働率）", _xlfn.REGEXTEST(C158, "Healthy NodeManager"), "NodeManagerの健全ノード割合（稼働率）", _xlfn.REGEXTEST(C158, "Maximum Latency"), "リクエストの最大レイテンシ（処理遅延）", _xlfn.REGEXTEST(C158, "Garbage Collection Duration"), "Javaのガベージコレクション（GC）の所要時間", _xlfn.REGEXTEST(C158, "Spool Directory Usage"), "Rangerプラグインのスプールディレクトリ使用量", _xlfn.REGEXTEST(C158, "Process Directory Free Space Monitoring Absolute"), "プロセスディレクトリの空き容量（絶対値)", _xlfn.REGEXTEST(C158, "Process Directory Free Space.*Percentage"), "プロセスディレクトリの空き容量割合（%）", _xlfn.REGEXTEST(C158, "Parcel Directory Free Space.*Absolute"), "パーセルディレクトリの空き容量（絶対値）", _xlfn.REGEXTEST(C158, "Parcel Directory Free Space.*Percentage"), "パーセルディレクトリの空き容量割合（%）", _xlfn.REGEXTEST(C158, "Host Network Frame Error Percentage"), "ホストのネットワークフレームエラー割合（%）", _xlfn.REGEXTEST(C158, "Network Interfaces Slow Link Modes"), "ホストのネットワークインターフェースの低速リンクモード検出", _xlfn.REGEXTEST(C158, "Host Memory Swapping"), "ホストのメモリのスワップ発生状態", TRUE, "要手動確認")</f>
        <v>スワップメモリ使用量の変化率（増加速度）</v>
      </c>
      <c r="H158" s="479" t="s">
        <v>683</v>
      </c>
    </row>
    <row r="159" spans="1:8" ht="33.6">
      <c r="A159" s="514"/>
      <c r="B159" s="473"/>
      <c r="C159" s="471" t="s">
        <v>758</v>
      </c>
      <c r="D159" s="471" t="s">
        <v>759</v>
      </c>
      <c r="E159" s="471" t="s">
        <v>787</v>
      </c>
      <c r="F159" s="471" t="s">
        <v>947</v>
      </c>
      <c r="G159" s="471" t="str" cm="1">
        <f t="array" ref="G159">_xlfn.IFS(C159 = "", "", _xlfn.REGEXTEST(C159, "Service Metric Migrator Minimum Consecutive Successful Checks"), "サービスメトリック移行ツールの連続正常チェック最小回数", _xlfn.REGEXTEST(C159, "Rebalancing"), "リバランシング（データ再配置）状態", _xlfn.REGEXTEST(C159, "Temporary Dump Directory"), "一時ダンプディレクトリの監視", _xlfn.REGEXTEST(C159, "Safemode Extension"), "セーフモード延長状態", _xlfn.REGEXTEST(C159, "Client Idle"), "クライアントのアイドル（待機）状態", _xlfn.REGEXTEST(C159, "Available Space Policy Balanced"), "空き容量ポリシーの分散バランス状態", _xlfn.REGEXTEST(C159, "Filesystem Checkpoint Transaction"), "ファイルシステムのチェックポイントトランザクション", _xlfn.REGEXTEST(C159, "Blocks With Corrupt Replicas Monitoring"), "破損レプリカを持つブロックの監視", _xlfn.REGEXTEST(C159, "Missing Block Monitoring"), "消失（ミッシング）ブロックの監視", _xlfn.REGEXTEST(C159, "Under-replicated Block Monitoring"), "レプリカ数不足ブロックの監視", _xlfn.REGEXTEST(C159, "HDFS Free Space Monitoring"), "HDFSの空き容量監視", _xlfn.REGEXTEST(C159, "DataNode Monitoring"), "DataNodeの稼働状態監視", _xlfn.REGEXTEST(C159, "Rules to Extract Events from Log Files"), "ログファイルからのイベント抽出ルール設定", _xlfn.REGEXTEST(C159, "Free Space Monitoring$"), "空き容量監視（一般設定）", _xlfn.REGEXTEST(C159, "Transceivers Usage"), "トランシーバー使用量（データ転送スレッド数）", _xlfn.REGEXTEST(C159, "Volume Failures"), "ボリューム障害（ディスクエラー）数", _xlfn.REGEXTEST(C159, "Block Count"), "ブロック総数", _xlfn.REGEXTEST(C159, "Audit Failure"), "監査（オーディット）ログの失敗イベント", _xlfn.REGEXTEST(C159, "Web Metric Collection Duration"), "Webメトリック収集の所要時間", _xlfn.REGEXTEST(C159, "Pause Duration"), "一時停止（ポーズ）の所要時間", _xlfn.REGEXTEST(C159, "Fsync Latency"), "Fsync（ディスク同期）のレイテンシ", _xlfn.REGEXTEST(C159, "Free Space Monitoring Absolute"), "空き容量（絶対値）", _xlfn.REGEXTEST(C159, "Free Space Monitoring Percentage"), "空き容量割合（%）", _xlfn.REGEXTEST(C159, "Age Monitoring"), "経過時間の監視", _xlfn.REGEXTEST(C159, "Transactions Monitoring"), "トランザクション数の監視", _xlfn.REGEXTEST(C159, "RPC Latency"), "RPC（遠隔手続き呼出し）のレイテンシ", _xlfn.REGEXTEST(C159, "Directory Failures"), "ディレクトリ障害数", _xlfn.REGEXTEST(C159, "Out-Of-Sync JournalNodes"), "同期ズレが発生しているJournalNode数", _xlfn.REGEXTEST(C159, "Safemode Threshold Percentage"), "セーフモード解除閾値の割合（%）", _xlfn.REGEXTEST(C159, "Kerberos Ticket Renewer Monitoring"), "Kerberosチケット更新プロセスの稼働状態監視", _xlfn.REGEXTEST(C159, "Load Balancer Monitoring"), "ロードバランサーの稼働状態監視", _xlfn.REGEXTEST(C159, "Navigator Audit Failure"), "Cloudera Navigator監査ログの失敗イベント", _xlfn.REGEXTEST(C159, "Schema Registry Server Monitoring"), "Schema Registry Serverの稼働状態監視", _xlfn.REGEXTEST(C159, "SRM Service Monitoring"), "SRMサービスの稼働状態監視", _xlfn.REGEXTEST(C159, "SRM Driver Monitoring"), "SRMドライバーの稼働状態監視", _xlfn.REGEXTEST(C159, "Loggin"), "ログ出力状態・設定監視", _xlfn.REGEXTEST(C159, "Server Monitoring"), "サーバーの稼働状態監視", _xlfn.REGEXTEST(C159, "Server Connection Count"), "サーバーの接続数（コネクション数）", _xlfn.REGEXTEST(C159, "Server Outstanding Requests"), "サーバーの未処理リクエスト数（滞留要求数）", _xlfn.REGEXTEST(C159, "Repository Status"), "リポジトリのステータス状態", _xlfn.REGEXTEST(C159, "Monitor Long Running Task"), "長時間実行タスク（ジョブ）の監視", _xlfn.REGEXTEST(C159, "Token requests per second"), "1秒あたりのトークンリクエスト数（要求レート）", _xlfn.REGEXTEST(C159, "Connection Model Score"), "接続モデルスコア（コネクション品質）", _xlfn.REGEXTEST(C159, "Queue swap"), "キューのスワップ発生状態", _xlfn.REGEXTEST(C159, "NiFi Node Monitoring"), "NiFiノードの稼働状態監視", _xlfn.REGEXTEST(C159, "Host Clock Offset"), "ホストのクロックオフセット（時刻同期のズレ）", _xlfn.REGEXTEST(C159, "Memory Overcommit Validation"), "メモリオーバーコミット設定の検証", _xlfn.REGEXTEST(C159, "Gateway Logging"), "ゲートウェイのログ出力設定", _xlfn.REGEXTEST(C159, "CPU Balance"), "CPU使用率の分散バランス状態", _xlfn.REGEXTEST(C159, "Disk Balance"), "ディスク使用量の分散バランス状態", _xlfn.REGEXTEST(C159, "Network Inbound Balance"), "ネットワークインバウンド（受信）の分散バランス状態", _xlfn.REGEXTEST(C159, "Network Outbound Balance"), "ネットワークアウトバウンド（送信）の分散バランス状態", _xlfn.REGEXTEST(C159, "Replica Count Balance"), "レプリカ数の分散バランス状態", _xlfn.REGEXTEST(C159, "Disk Capacity"), "ディスク総容量の限界・使用容量", _xlfn.REGEXTEST(C159, "CPU Capacity"), "CPU総処理能力の限界・使用量", _xlfn.REGEXTEST(C159, "Network Inbound Capacity"), "ネットワークインバウンド（受信）帯域の限界・使用量", _xlfn.REGEXTEST(C159, "Network Outbound Capacity"), "ネットワークアウトバウンド（送信）帯域の限界・使用量", _xlfn.REGEXTEST(C159, "Leader Replica Count Balance"), "リーダーレプリカ数の分散バランス状態", _xlfn.REGEXTEST(C159, "Host DNS Resolution Duration"), "ホストのDNS名前解決の所要時間", _xlfn.REGEXTEST(C159, "TLS Certificate Expiry"), "TLS証明書の有効期限切れ", _xlfn.REGEXTEST(C159, "Host Entropy"), "ホストのエントロピー（乱数生成能力）の不足", _xlfn.REGEXTEST(C159, "File Descriptor"), "プロセスのファイルディスクリプタ使用率", _xlfn.REGEXTEST(C159, "Unexpected Exits"), "プロセスの異常終了（予期せぬ停止）", _xlfn.REGEXTEST(C159, "Swap Memory Thresholds"), "プロセスのスワップメモリ使用量", _xlfn.REGEXTEST(C159, "Swap Memory Usage Rate"), "スワップメモリ使用量の変化率（増加速度）", _xlfn.REGEXTEST(C159, "Log Directory Free Space.*Absolute"), "ログディレクトリの空き容量（絶対値）", _xlfn.REGEXTEST(C159, "Log Directory Free Space.*Percentage"), "ログディレクトリの空き容量割合（%）", _xlfn.REGEXTEST(C159, "Heap Dump Directory Free Space.*Absolute"), "ヒープダンプディレクトリの空き容量（絶対値）", _xlfn.REGEXTEST(C159, "Heap Dump Directory Free Space.*Percentage"), "ヒープダンプディレクトリの空き容量割合（%）", _xlfn.REGEXTEST(C159, "Data Directory Free Space.*Absolute"), "データディレクトリの空き容量（絶対値）", _xlfn.REGEXTEST(C159, "Data Directory Free Space.*Percentage"), "データディレクトリの空き容量割合（%）", _xlfn.REGEXTEST(C159, "Transaction Log Directory Free Space.*Absolute"), "トランザクションログディレクトリの空き容量（絶対値）", _xlfn.REGEXTEST(C159, "Logging Threshold|Logger Threshold"), "ログ出力レベルの閾値設定", _xlfn.REGEXTEST(C159, "Enable.*Alerts"), "ヘルスアラートの有効化状態", _xlfn.REGEXTEST(C159, "Triggers"), "カスタムアラート条件（トリガー設定）", _xlfn.REGEXTEST(C159, "Healthy Kafka Broker"), "Kafka Brokerの健全ノード割合（稼働率）", _xlfn.REGEXTEST(C159, "Healthy Kafka Connect"), "Kafka Connectの健全ノード割合（稼働率）", _xlfn.REGEXTEST(C159, "Healthy KRaft Controller"), "KRaft Controllerの健全ノード割合（稼働率）", _xlfn.REGEXTEST(C159, "Healthy Knox IDBroker"), "Knox IDBrokerの健全ノード割合（稼働率）", _xlfn.REGEXTEST(C159, "Healthy Knox Gateway"), "Knox Gatewayの健全ノード割合（稼働率）", _xlfn.REGEXTEST(C159, "Healthy ZooKeeper Server"), "ZooKeeper Serverの健全ノード割合（稼働率）", _xlfn.REGEXTEST(C159, "Healthy NodeManager"), "NodeManagerの健全ノード割合（稼働率）", _xlfn.REGEXTEST(C159, "Maximum Latency"), "リクエストの最大レイテンシ（処理遅延）", _xlfn.REGEXTEST(C159, "Garbage Collection Duration"), "Javaのガベージコレクション（GC）の所要時間", _xlfn.REGEXTEST(C159, "Spool Directory Usage"), "Rangerプラグインのスプールディレクトリ使用量", _xlfn.REGEXTEST(C159, "Process Directory Free Space Monitoring Absolute"), "プロセスディレクトリの空き容量（絶対値)", _xlfn.REGEXTEST(C159, "Process Directory Free Space.*Percentage"), "プロセスディレクトリの空き容量割合（%）", _xlfn.REGEXTEST(C159, "Parcel Directory Free Space.*Absolute"), "パーセルディレクトリの空き容量（絶対値）", _xlfn.REGEXTEST(C159, "Parcel Directory Free Space.*Percentage"), "パーセルディレクトリの空き容量割合（%）", _xlfn.REGEXTEST(C159, "Host Network Frame Error Percentage"), "ホストのネットワークフレームエラー割合（%）", _xlfn.REGEXTEST(C159, "Network Interfaces Slow Link Modes"), "ホストのネットワークインターフェースの低速リンクモード検出", _xlfn.REGEXTEST(C159, "Host Memory Swapping"), "ホストのメモリのスワップ発生状態", TRUE, "要手動確認")</f>
        <v>スワップメモリ使用量の変化率（増加速度）</v>
      </c>
      <c r="H159" s="479" t="s">
        <v>683</v>
      </c>
    </row>
    <row r="160" spans="1:8" ht="33.6">
      <c r="A160" s="514"/>
      <c r="B160" s="473"/>
      <c r="C160" s="471" t="s">
        <v>801</v>
      </c>
      <c r="D160" s="471" t="s">
        <v>764</v>
      </c>
      <c r="E160" s="471" t="s">
        <v>785</v>
      </c>
      <c r="F160" s="471" t="s">
        <v>948</v>
      </c>
      <c r="G160" s="471" t="str" cm="1">
        <f t="array" ref="G160">_xlfn.IFS(C160 = "", "", _xlfn.REGEXTEST(C160, "Service Metric Migrator Minimum Consecutive Successful Checks"), "サービスメトリック移行ツールの連続正常チェック最小回数", _xlfn.REGEXTEST(C160, "Rebalancing"), "リバランシング（データ再配置）状態", _xlfn.REGEXTEST(C160, "Temporary Dump Directory"), "一時ダンプディレクトリの監視", _xlfn.REGEXTEST(C160, "Safemode Extension"), "セーフモード延長状態", _xlfn.REGEXTEST(C160, "Client Idle"), "クライアントのアイドル（待機）状態", _xlfn.REGEXTEST(C160, "Available Space Policy Balanced"), "空き容量ポリシーの分散バランス状態", _xlfn.REGEXTEST(C160, "Filesystem Checkpoint Transaction"), "ファイルシステムのチェックポイントトランザクション", _xlfn.REGEXTEST(C160, "Blocks With Corrupt Replicas Monitoring"), "破損レプリカを持つブロックの監視", _xlfn.REGEXTEST(C160, "Missing Block Monitoring"), "消失（ミッシング）ブロックの監視", _xlfn.REGEXTEST(C160, "Under-replicated Block Monitoring"), "レプリカ数不足ブロックの監視", _xlfn.REGEXTEST(C160, "HDFS Free Space Monitoring"), "HDFSの空き容量監視", _xlfn.REGEXTEST(C160, "DataNode Monitoring"), "DataNodeの稼働状態監視", _xlfn.REGEXTEST(C160, "Rules to Extract Events from Log Files"), "ログファイルからのイベント抽出ルール設定", _xlfn.REGEXTEST(C160, "Free Space Monitoring$"), "空き容量監視（一般設定）", _xlfn.REGEXTEST(C160, "Transceivers Usage"), "トランシーバー使用量（データ転送スレッド数）", _xlfn.REGEXTEST(C160, "Volume Failures"), "ボリューム障害（ディスクエラー）数", _xlfn.REGEXTEST(C160, "Block Count"), "ブロック総数", _xlfn.REGEXTEST(C160, "Audit Failure"), "監査（オーディット）ログの失敗イベント", _xlfn.REGEXTEST(C160, "Web Metric Collection Duration"), "Webメトリック収集の所要時間", _xlfn.REGEXTEST(C160, "Pause Duration"), "一時停止（ポーズ）の所要時間", _xlfn.REGEXTEST(C160, "Fsync Latency"), "Fsync（ディスク同期）のレイテンシ", _xlfn.REGEXTEST(C160, "Free Space Monitoring Absolute"), "空き容量（絶対値）", _xlfn.REGEXTEST(C160, "Free Space Monitoring Percentage"), "空き容量割合（%）", _xlfn.REGEXTEST(C160, "Age Monitoring"), "経過時間の監視", _xlfn.REGEXTEST(C160, "Transactions Monitoring"), "トランザクション数の監視", _xlfn.REGEXTEST(C160, "RPC Latency"), "RPC（遠隔手続き呼出し）のレイテンシ", _xlfn.REGEXTEST(C160, "Directory Failures"), "ディレクトリ障害数", _xlfn.REGEXTEST(C160, "Out-Of-Sync JournalNodes"), "同期ズレが発生しているJournalNode数", _xlfn.REGEXTEST(C160, "Safemode Threshold Percentage"), "セーフモード解除閾値の割合（%）", _xlfn.REGEXTEST(C160, "Kerberos Ticket Renewer Monitoring"), "Kerberosチケット更新プロセスの稼働状態監視", _xlfn.REGEXTEST(C160, "Load Balancer Monitoring"), "ロードバランサーの稼働状態監視", _xlfn.REGEXTEST(C160, "Navigator Audit Failure"), "Cloudera Navigator監査ログの失敗イベント", _xlfn.REGEXTEST(C160, "Schema Registry Server Monitoring"), "Schema Registry Serverの稼働状態監視", _xlfn.REGEXTEST(C160, "SRM Service Monitoring"), "SRMサービスの稼働状態監視", _xlfn.REGEXTEST(C160, "SRM Driver Monitoring"), "SRMドライバーの稼働状態監視", _xlfn.REGEXTEST(C160, "Loggin"), "ログ出力状態・設定監視", _xlfn.REGEXTEST(C160, "Server Monitoring"), "サーバーの稼働状態監視", _xlfn.REGEXTEST(C160, "Server Connection Count"), "サーバーの接続数（コネクション数）", _xlfn.REGEXTEST(C160, "Server Outstanding Requests"), "サーバーの未処理リクエスト数（滞留要求数）", _xlfn.REGEXTEST(C160, "Repository Status"), "リポジトリのステータス状態", _xlfn.REGEXTEST(C160, "Monitor Long Running Task"), "長時間実行タスク（ジョブ）の監視", _xlfn.REGEXTEST(C160, "Token requests per second"), "1秒あたりのトークンリクエスト数（要求レート）", _xlfn.REGEXTEST(C160, "Connection Model Score"), "接続モデルスコア（コネクション品質）", _xlfn.REGEXTEST(C160, "Queue swap"), "キューのスワップ発生状態", _xlfn.REGEXTEST(C160, "NiFi Node Monitoring"), "NiFiノードの稼働状態監視", _xlfn.REGEXTEST(C160, "Host Clock Offset"), "ホストのクロックオフセット（時刻同期のズレ）", _xlfn.REGEXTEST(C160, "Memory Overcommit Validation"), "メモリオーバーコミット設定の検証", _xlfn.REGEXTEST(C160, "Gateway Logging"), "ゲートウェイのログ出力設定", _xlfn.REGEXTEST(C160, "CPU Balance"), "CPU使用率の分散バランス状態", _xlfn.REGEXTEST(C160, "Disk Balance"), "ディスク使用量の分散バランス状態", _xlfn.REGEXTEST(C160, "Network Inbound Balance"), "ネットワークインバウンド（受信）の分散バランス状態", _xlfn.REGEXTEST(C160, "Network Outbound Balance"), "ネットワークアウトバウンド（送信）の分散バランス状態", _xlfn.REGEXTEST(C160, "Replica Count Balance"), "レプリカ数の分散バランス状態", _xlfn.REGEXTEST(C160, "Disk Capacity"), "ディスク総容量の限界・使用容量", _xlfn.REGEXTEST(C160, "CPU Capacity"), "CPU総処理能力の限界・使用量", _xlfn.REGEXTEST(C160, "Network Inbound Capacity"), "ネットワークインバウンド（受信）帯域の限界・使用量", _xlfn.REGEXTEST(C160, "Network Outbound Capacity"), "ネットワークアウトバウンド（送信）帯域の限界・使用量", _xlfn.REGEXTEST(C160, "Leader Replica Count Balance"), "リーダーレプリカ数の分散バランス状態", _xlfn.REGEXTEST(C160, "Host DNS Resolution Duration"), "ホストのDNS名前解決の所要時間", _xlfn.REGEXTEST(C160, "TLS Certificate Expiry"), "TLS証明書の有効期限切れ", _xlfn.REGEXTEST(C160, "Host Entropy"), "ホストのエントロピー（乱数生成能力）の不足", _xlfn.REGEXTEST(C160, "File Descriptor"), "プロセスのファイルディスクリプタ使用率", _xlfn.REGEXTEST(C160, "Unexpected Exits"), "プロセスの異常終了（予期せぬ停止）", _xlfn.REGEXTEST(C160, "Swap Memory Thresholds"), "プロセスのスワップメモリ使用量", _xlfn.REGEXTEST(C160, "Swap Memory Usage Rate"), "スワップメモリ使用量の変化率（増加速度）", _xlfn.REGEXTEST(C160, "Log Directory Free Space.*Absolute"), "ログディレクトリの空き容量（絶対値）", _xlfn.REGEXTEST(C160, "Log Directory Free Space.*Percentage"), "ログディレクトリの空き容量割合（%）", _xlfn.REGEXTEST(C160, "Heap Dump Directory Free Space.*Absolute"), "ヒープダンプディレクトリの空き容量（絶対値）", _xlfn.REGEXTEST(C160, "Heap Dump Directory Free Space.*Percentage"), "ヒープダンプディレクトリの空き容量割合（%）", _xlfn.REGEXTEST(C160, "Data Directory Free Space.*Absolute"), "データディレクトリの空き容量（絶対値）", _xlfn.REGEXTEST(C160, "Data Directory Free Space.*Percentage"), "データディレクトリの空き容量割合（%）", _xlfn.REGEXTEST(C160, "Transaction Log Directory Free Space.*Absolute"), "トランザクションログディレクトリの空き容量（絶対値）", _xlfn.REGEXTEST(C160, "Logging Threshold|Logger Threshold"), "ログ出力レベルの閾値設定", _xlfn.REGEXTEST(C160, "Enable.*Alerts"), "ヘルスアラートの有効化状態", _xlfn.REGEXTEST(C160, "Triggers"), "カスタムアラート条件（トリガー設定）", _xlfn.REGEXTEST(C160, "Healthy Kafka Broker"), "Kafka Brokerの健全ノード割合（稼働率）", _xlfn.REGEXTEST(C160, "Healthy Kafka Connect"), "Kafka Connectの健全ノード割合（稼働率）", _xlfn.REGEXTEST(C160, "Healthy KRaft Controller"), "KRaft Controllerの健全ノード割合（稼働率）", _xlfn.REGEXTEST(C160, "Healthy Knox IDBroker"), "Knox IDBrokerの健全ノード割合（稼働率）", _xlfn.REGEXTEST(C160, "Healthy Knox Gateway"), "Knox Gatewayの健全ノード割合（稼働率）", _xlfn.REGEXTEST(C160, "Healthy ZooKeeper Server"), "ZooKeeper Serverの健全ノード割合（稼働率）", _xlfn.REGEXTEST(C160, "Healthy NodeManager"), "NodeManagerの健全ノード割合（稼働率）", _xlfn.REGEXTEST(C160, "Maximum Latency"), "リクエストの最大レイテンシ（処理遅延）", _xlfn.REGEXTEST(C160, "Garbage Collection Duration"), "Javaのガベージコレクション（GC）の所要時間", _xlfn.REGEXTEST(C160, "Spool Directory Usage"), "Rangerプラグインのスプールディレクトリ使用量", _xlfn.REGEXTEST(C160, "Process Directory Free Space Monitoring Absolute"), "プロセスディレクトリの空き容量（絶対値)", _xlfn.REGEXTEST(C160, "Process Directory Free Space.*Percentage"), "プロセスディレクトリの空き容量割合（%）", _xlfn.REGEXTEST(C160, "Parcel Directory Free Space.*Absolute"), "パーセルディレクトリの空き容量（絶対値）", _xlfn.REGEXTEST(C160, "Parcel Directory Free Space.*Percentage"), "パーセルディレクトリの空き容量割合（%）", _xlfn.REGEXTEST(C160, "Host Network Frame Error Percentage"), "ホストのネットワークフレームエラー割合（%）", _xlfn.REGEXTEST(C160, "Network Interfaces Slow Link Modes"), "ホストのネットワークインターフェースの低速リンクモード検出", _xlfn.REGEXTEST(C160, "Host Memory Swapping"), "ホストのメモリのスワップ発生状態", TRUE, "要手動確認")</f>
        <v>Rangerプラグインのスプールディレクトリ使用量</v>
      </c>
      <c r="H160" s="479" t="s">
        <v>949</v>
      </c>
    </row>
    <row r="161" spans="1:8" ht="33.6">
      <c r="A161" s="514"/>
      <c r="B161" s="470"/>
      <c r="C161" s="471" t="s">
        <v>736</v>
      </c>
      <c r="D161" s="471" t="s">
        <v>802</v>
      </c>
      <c r="E161" s="471" t="s">
        <v>787</v>
      </c>
      <c r="F161" s="471" t="s">
        <v>950</v>
      </c>
      <c r="G161" s="471" t="str" cm="1">
        <f t="array" ref="G161">_xlfn.IFS(C161 = "", "", _xlfn.REGEXTEST(C161, "Service Metric Migrator Minimum Consecutive Successful Checks"), "サービスメトリック移行ツールの連続正常チェック最小回数", _xlfn.REGEXTEST(C161, "Rebalancing"), "リバランシング（データ再配置）状態", _xlfn.REGEXTEST(C161, "Temporary Dump Directory"), "一時ダンプディレクトリの監視", _xlfn.REGEXTEST(C161, "Safemode Extension"), "セーフモード延長状態", _xlfn.REGEXTEST(C161, "Client Idle"), "クライアントのアイドル（待機）状態", _xlfn.REGEXTEST(C161, "Available Space Policy Balanced"), "空き容量ポリシーの分散バランス状態", _xlfn.REGEXTEST(C161, "Filesystem Checkpoint Transaction"), "ファイルシステムのチェックポイントトランザクション", _xlfn.REGEXTEST(C161, "Blocks With Corrupt Replicas Monitoring"), "破損レプリカを持つブロックの監視", _xlfn.REGEXTEST(C161, "Missing Block Monitoring"), "消失（ミッシング）ブロックの監視", _xlfn.REGEXTEST(C161, "Under-replicated Block Monitoring"), "レプリカ数不足ブロックの監視", _xlfn.REGEXTEST(C161, "HDFS Free Space Monitoring"), "HDFSの空き容量監視", _xlfn.REGEXTEST(C161, "DataNode Monitoring"), "DataNodeの稼働状態監視", _xlfn.REGEXTEST(C161, "Rules to Extract Events from Log Files"), "ログファイルからのイベント抽出ルール設定", _xlfn.REGEXTEST(C161, "Free Space Monitoring$"), "空き容量監視（一般設定）", _xlfn.REGEXTEST(C161, "Transceivers Usage"), "トランシーバー使用量（データ転送スレッド数）", _xlfn.REGEXTEST(C161, "Volume Failures"), "ボリューム障害（ディスクエラー）数", _xlfn.REGEXTEST(C161, "Block Count"), "ブロック総数", _xlfn.REGEXTEST(C161, "Audit Failure"), "監査（オーディット）ログの失敗イベント", _xlfn.REGEXTEST(C161, "Web Metric Collection Duration"), "Webメトリック収集の所要時間", _xlfn.REGEXTEST(C161, "Pause Duration"), "一時停止（ポーズ）の所要時間", _xlfn.REGEXTEST(C161, "Fsync Latency"), "Fsync（ディスク同期）のレイテンシ", _xlfn.REGEXTEST(C161, "Free Space Monitoring Absolute"), "空き容量（絶対値）", _xlfn.REGEXTEST(C161, "Free Space Monitoring Percentage"), "空き容量割合（%）", _xlfn.REGEXTEST(C161, "Age Monitoring"), "経過時間の監視", _xlfn.REGEXTEST(C161, "Transactions Monitoring"), "トランザクション数の監視", _xlfn.REGEXTEST(C161, "RPC Latency"), "RPC（遠隔手続き呼出し）のレイテンシ", _xlfn.REGEXTEST(C161, "Directory Failures"), "ディレクトリ障害数", _xlfn.REGEXTEST(C161, "Out-Of-Sync JournalNodes"), "同期ズレが発生しているJournalNode数", _xlfn.REGEXTEST(C161, "Safemode Threshold Percentage"), "セーフモード解除閾値の割合（%）", _xlfn.REGEXTEST(C161, "Kerberos Ticket Renewer Monitoring"), "Kerberosチケット更新プロセスの稼働状態監視", _xlfn.REGEXTEST(C161, "Load Balancer Monitoring"), "ロードバランサーの稼働状態監視", _xlfn.REGEXTEST(C161, "Navigator Audit Failure"), "Cloudera Navigator監査ログの失敗イベント", _xlfn.REGEXTEST(C161, "Schema Registry Server Monitoring"), "Schema Registry Serverの稼働状態監視", _xlfn.REGEXTEST(C161, "SRM Service Monitoring"), "SRMサービスの稼働状態監視", _xlfn.REGEXTEST(C161, "SRM Driver Monitoring"), "SRMドライバーの稼働状態監視", _xlfn.REGEXTEST(C161, "Loggin"), "ログ出力状態・設定監視", _xlfn.REGEXTEST(C161, "Server Monitoring"), "サーバーの稼働状態監視", _xlfn.REGEXTEST(C161, "Server Connection Count"), "サーバーの接続数（コネクション数）", _xlfn.REGEXTEST(C161, "Server Outstanding Requests"), "サーバーの未処理リクエスト数（滞留要求数）", _xlfn.REGEXTEST(C161, "Repository Status"), "リポジトリのステータス状態", _xlfn.REGEXTEST(C161, "Monitor Long Running Task"), "長時間実行タスク（ジョブ）の監視", _xlfn.REGEXTEST(C161, "Token requests per second"), "1秒あたりのトークンリクエスト数（要求レート）", _xlfn.REGEXTEST(C161, "Connection Model Score"), "接続モデルスコア（コネクション品質）", _xlfn.REGEXTEST(C161, "Queue swap"), "キューのスワップ発生状態", _xlfn.REGEXTEST(C161, "NiFi Node Monitoring"), "NiFiノードの稼働状態監視", _xlfn.REGEXTEST(C161, "Host Clock Offset"), "ホストのクロックオフセット（時刻同期のズレ）", _xlfn.REGEXTEST(C161, "Memory Overcommit Validation"), "メモリオーバーコミット設定の検証", _xlfn.REGEXTEST(C161, "Gateway Logging"), "ゲートウェイのログ出力設定", _xlfn.REGEXTEST(C161, "CPU Balance"), "CPU使用率の分散バランス状態", _xlfn.REGEXTEST(C161, "Disk Balance"), "ディスク使用量の分散バランス状態", _xlfn.REGEXTEST(C161, "Network Inbound Balance"), "ネットワークインバウンド（受信）の分散バランス状態", _xlfn.REGEXTEST(C161, "Network Outbound Balance"), "ネットワークアウトバウンド（送信）の分散バランス状態", _xlfn.REGEXTEST(C161, "Replica Count Balance"), "レプリカ数の分散バランス状態", _xlfn.REGEXTEST(C161, "Disk Capacity"), "ディスク総容量の限界・使用容量", _xlfn.REGEXTEST(C161, "CPU Capacity"), "CPU総処理能力の限界・使用量", _xlfn.REGEXTEST(C161, "Network Inbound Capacity"), "ネットワークインバウンド（受信）帯域の限界・使用量", _xlfn.REGEXTEST(C161, "Network Outbound Capacity"), "ネットワークアウトバウンド（送信）帯域の限界・使用量", _xlfn.REGEXTEST(C161, "Leader Replica Count Balance"), "リーダーレプリカ数の分散バランス状態", _xlfn.REGEXTEST(C161, "Host DNS Resolution Duration"), "ホストのDNS名前解決の所要時間", _xlfn.REGEXTEST(C161, "TLS Certificate Expiry"), "TLS証明書の有効期限切れ", _xlfn.REGEXTEST(C161, "Host Entropy"), "ホストのエントロピー（乱数生成能力）の不足", _xlfn.REGEXTEST(C161, "File Descriptor"), "プロセスのファイルディスクリプタ使用率", _xlfn.REGEXTEST(C161, "Unexpected Exits"), "プロセスの異常終了（予期せぬ停止）", _xlfn.REGEXTEST(C161, "Swap Memory Thresholds"), "プロセスのスワップメモリ使用量", _xlfn.REGEXTEST(C161, "Swap Memory Usage Rate"), "スワップメモリ使用量の変化率（増加速度）", _xlfn.REGEXTEST(C161, "Log Directory Free Space.*Absolute"), "ログディレクトリの空き容量（絶対値）", _xlfn.REGEXTEST(C161, "Log Directory Free Space.*Percentage"), "ログディレクトリの空き容量割合（%）", _xlfn.REGEXTEST(C161, "Heap Dump Directory Free Space.*Absolute"), "ヒープダンプディレクトリの空き容量（絶対値）", _xlfn.REGEXTEST(C161, "Heap Dump Directory Free Space.*Percentage"), "ヒープダンプディレクトリの空き容量割合（%）", _xlfn.REGEXTEST(C161, "Data Directory Free Space.*Absolute"), "データディレクトリの空き容量（絶対値）", _xlfn.REGEXTEST(C161, "Data Directory Free Space.*Percentage"), "データディレクトリの空き容量割合（%）", _xlfn.REGEXTEST(C161, "Transaction Log Directory Free Space.*Absolute"), "トランザクションログディレクトリの空き容量（絶対値）", _xlfn.REGEXTEST(C161, "Logging Threshold|Logger Threshold"), "ログ出力レベルの閾値設定", _xlfn.REGEXTEST(C161, "Enable.*Alerts"), "ヘルスアラートの有効化状態", _xlfn.REGEXTEST(C161, "Triggers"), "カスタムアラート条件（トリガー設定）", _xlfn.REGEXTEST(C161, "Healthy Kafka Broker"), "Kafka Brokerの健全ノード割合（稼働率）", _xlfn.REGEXTEST(C161, "Healthy Kafka Connect"), "Kafka Connectの健全ノード割合（稼働率）", _xlfn.REGEXTEST(C161, "Healthy KRaft Controller"), "KRaft Controllerの健全ノード割合（稼働率）", _xlfn.REGEXTEST(C161, "Healthy Knox IDBroker"), "Knox IDBrokerの健全ノード割合（稼働率）", _xlfn.REGEXTEST(C161, "Healthy Knox Gateway"), "Knox Gatewayの健全ノード割合（稼働率）", _xlfn.REGEXTEST(C161, "Healthy ZooKeeper Server"), "ZooKeeper Serverの健全ノード割合（稼働率）", _xlfn.REGEXTEST(C161, "Healthy NodeManager"), "NodeManagerの健全ノード割合（稼働率）", _xlfn.REGEXTEST(C161, "Maximum Latency"), "リクエストの最大レイテンシ（処理遅延）", _xlfn.REGEXTEST(C161, "Garbage Collection Duration"), "Javaのガベージコレクション（GC）の所要時間", _xlfn.REGEXTEST(C161, "Spool Directory Usage"), "Rangerプラグインのスプールディレクトリ使用量", _xlfn.REGEXTEST(C161, "Process Directory Free Space Monitoring Absolute"), "プロセスディレクトリの空き容量（絶対値)", _xlfn.REGEXTEST(C161, "Process Directory Free Space.*Percentage"), "プロセスディレクトリの空き容量割合（%）", _xlfn.REGEXTEST(C161, "Parcel Directory Free Space.*Absolute"), "パーセルディレクトリの空き容量（絶対値）", _xlfn.REGEXTEST(C161, "Parcel Directory Free Space.*Percentage"), "パーセルディレクトリの空き容量割合（%）", _xlfn.REGEXTEST(C161, "Host Network Frame Error Percentage"), "ホストのネットワークフレームエラー割合（%）", _xlfn.REGEXTEST(C161, "Network Interfaces Slow Link Modes"), "ホストのネットワークインターフェースの低速リンクモード検出", _xlfn.REGEXTEST(C161, "Host Memory Swapping"), "ホストのメモリのスワップ発生状態", TRUE, "要手動確認")</f>
        <v>プロセスのファイルディスクリプタ使用率</v>
      </c>
      <c r="H161" s="479" t="s">
        <v>933</v>
      </c>
    </row>
    <row r="162" spans="1:8" ht="33.6">
      <c r="A162" s="514"/>
      <c r="B162" s="473" t="s">
        <v>803</v>
      </c>
      <c r="C162" s="471" t="s">
        <v>951</v>
      </c>
      <c r="D162" s="471" t="s">
        <v>805</v>
      </c>
      <c r="E162" s="471" t="s">
        <v>806</v>
      </c>
      <c r="F162" s="471" t="s">
        <v>952</v>
      </c>
      <c r="G162" s="471" t="str" cm="1">
        <f t="array" ref="G162">_xlfn.IFS(C162 = "", "", _xlfn.REGEXTEST(C162, "Service Metric Migrator Minimum Consecutive Successful Checks"), "サービスメトリック移行ツールの連続正常チェック最小回数", _xlfn.REGEXTEST(C162, "Rebalancing"), "リバランシング（データ再配置）状態", _xlfn.REGEXTEST(C162, "Temporary Dump Directory"), "一時ダンプディレクトリの監視", _xlfn.REGEXTEST(C162, "Safemode Extension"), "セーフモード延長状態", _xlfn.REGEXTEST(C162, "Client Idle"), "クライアントのアイドル（待機）状態", _xlfn.REGEXTEST(C162, "Available Space Policy Balanced"), "空き容量ポリシーの分散バランス状態", _xlfn.REGEXTEST(C162, "Filesystem Checkpoint Transaction"), "ファイルシステムのチェックポイントトランザクション", _xlfn.REGEXTEST(C162, "Blocks With Corrupt Replicas Monitoring"), "破損レプリカを持つブロックの監視", _xlfn.REGEXTEST(C162, "Missing Block Monitoring"), "消失（ミッシング）ブロックの監視", _xlfn.REGEXTEST(C162, "Under-replicated Block Monitoring"), "レプリカ数不足ブロックの監視", _xlfn.REGEXTEST(C162, "HDFS Free Space Monitoring"), "HDFSの空き容量監視", _xlfn.REGEXTEST(C162, "DataNode Monitoring"), "DataNodeの稼働状態監視", _xlfn.REGEXTEST(C162, "Rules to Extract Events from Log Files"), "ログファイルからのイベント抽出ルール設定", _xlfn.REGEXTEST(C162, "Free Space Monitoring$"), "空き容量監視（一般設定）", _xlfn.REGEXTEST(C162, "Transceivers Usage"), "トランシーバー使用量（データ転送スレッド数）", _xlfn.REGEXTEST(C162, "Volume Failures"), "ボリューム障害（ディスクエラー）数", _xlfn.REGEXTEST(C162, "Block Count"), "ブロック総数", _xlfn.REGEXTEST(C162, "Audit Failure"), "監査（オーディット）ログの失敗イベント", _xlfn.REGEXTEST(C162, "Web Metric Collection Duration"), "Webメトリック収集の所要時間", _xlfn.REGEXTEST(C162, "Pause Duration"), "一時停止（ポーズ）の所要時間", _xlfn.REGEXTEST(C162, "Fsync Latency"), "Fsync（ディスク同期）のレイテンシ", _xlfn.REGEXTEST(C162, "Free Space Monitoring Absolute"), "空き容量（絶対値）", _xlfn.REGEXTEST(C162, "Free Space Monitoring Percentage"), "空き容量割合（%）", _xlfn.REGEXTEST(C162, "Age Monitoring"), "経過時間の監視", _xlfn.REGEXTEST(C162, "Transactions Monitoring"), "トランザクション数の監視", _xlfn.REGEXTEST(C162, "RPC Latency"), "RPC（遠隔手続き呼出し）のレイテンシ", _xlfn.REGEXTEST(C162, "Directory Failures"), "ディレクトリ障害数", _xlfn.REGEXTEST(C162, "Out-Of-Sync JournalNodes"), "同期ズレが発生しているJournalNode数", _xlfn.REGEXTEST(C162, "Safemode Threshold Percentage"), "セーフモード解除閾値の割合（%）", _xlfn.REGEXTEST(C162, "Kerberos Ticket Renewer Monitoring"), "Kerberosチケット更新プロセスの稼働状態監視", _xlfn.REGEXTEST(C162, "Load Balancer Monitoring"), "ロードバランサーの稼働状態監視", _xlfn.REGEXTEST(C162, "Navigator Audit Failure"), "Cloudera Navigator監査ログの失敗イベント", _xlfn.REGEXTEST(C162, "Schema Registry Server Monitoring"), "Schema Registry Serverの稼働状態監視", _xlfn.REGEXTEST(C162, "SRM Service Monitoring"), "SRMサービスの稼働状態監視", _xlfn.REGEXTEST(C162, "SRM Driver Monitoring"), "SRMドライバーの稼働状態監視", _xlfn.REGEXTEST(C162, "Loggin"), "ログ出力状態・設定監視", _xlfn.REGEXTEST(C162, "Server Monitoring"), "サーバーの稼働状態監視", _xlfn.REGEXTEST(C162, "Server Connection Count"), "サーバーの接続数（コネクション数）", _xlfn.REGEXTEST(C162, "Server Outstanding Requests"), "サーバーの未処理リクエスト数（滞留要求数）", _xlfn.REGEXTEST(C162, "Repository Status"), "リポジトリのステータス状態", _xlfn.REGEXTEST(C162, "Monitor Long Running Task"), "長時間実行タスク（ジョブ）の監視", _xlfn.REGEXTEST(C162, "Token requests per second"), "1秒あたりのトークンリクエスト数（要求レート）", _xlfn.REGEXTEST(C162, "Connection Model Score"), "接続モデルスコア（コネクション品質）", _xlfn.REGEXTEST(C162, "Queue swap"), "キューのスワップ発生状態", _xlfn.REGEXTEST(C162, "NiFi Node Monitoring"), "NiFiノードの稼働状態監視", _xlfn.REGEXTEST(C162, "Host Clock Offset"), "ホストのクロックオフセット（時刻同期のズレ）", _xlfn.REGEXTEST(C162, "Memory Overcommit Validation"), "メモリオーバーコミット設定の検証", _xlfn.REGEXTEST(C162, "Gateway Logging"), "ゲートウェイのログ出力設定", _xlfn.REGEXTEST(C162, "CPU Balance"), "CPU使用率の分散バランス状態", _xlfn.REGEXTEST(C162, "Disk Balance"), "ディスク使用量の分散バランス状態", _xlfn.REGEXTEST(C162, "Network Inbound Balance"), "ネットワークインバウンド（受信）の分散バランス状態", _xlfn.REGEXTEST(C162, "Network Outbound Balance"), "ネットワークアウトバウンド（送信）の分散バランス状態", _xlfn.REGEXTEST(C162, "Replica Count Balance"), "レプリカ数の分散バランス状態", _xlfn.REGEXTEST(C162, "Disk Capacity"), "ディスク総容量の限界・使用容量", _xlfn.REGEXTEST(C162, "CPU Capacity"), "CPU総処理能力の限界・使用量", _xlfn.REGEXTEST(C162, "Network Inbound Capacity"), "ネットワークインバウンド（受信）帯域の限界・使用量", _xlfn.REGEXTEST(C162, "Network Outbound Capacity"), "ネットワークアウトバウンド（送信）帯域の限界・使用量", _xlfn.REGEXTEST(C162, "Leader Replica Count Balance"), "リーダーレプリカ数の分散バランス状態", _xlfn.REGEXTEST(C162, "Host DNS Resolution Duration"), "ホストのDNS名前解決の所要時間", _xlfn.REGEXTEST(C162, "TLS Certificate Expiry"), "TLS証明書の有効期限切れ", _xlfn.REGEXTEST(C162, "Host Entropy"), "ホストのエントロピー（乱数生成能力）の不足", _xlfn.REGEXTEST(C162, "File Descriptor"), "プロセスのファイルディスクリプタ使用率", _xlfn.REGEXTEST(C162, "Unexpected Exits"), "プロセスの異常終了（予期せぬ停止）", _xlfn.REGEXTEST(C162, "Swap Memory Thresholds"), "プロセスのスワップメモリ使用量", _xlfn.REGEXTEST(C162, "Swap Memory Usage Rate"), "スワップメモリ使用量の変化率（増加速度）", _xlfn.REGEXTEST(C162, "Log Directory Free Space.*Absolute"), "ログディレクトリの空き容量（絶対値）", _xlfn.REGEXTEST(C162, "Log Directory Free Space.*Percentage"), "ログディレクトリの空き容量割合（%）", _xlfn.REGEXTEST(C162, "Heap Dump Directory Free Space.*Absolute"), "ヒープダンプディレクトリの空き容量（絶対値）", _xlfn.REGEXTEST(C162, "Heap Dump Directory Free Space.*Percentage"), "ヒープダンプディレクトリの空き容量割合（%）", _xlfn.REGEXTEST(C162, "Data Directory Free Space.*Absolute"), "データディレクトリの空き容量（絶対値）", _xlfn.REGEXTEST(C162, "Data Directory Free Space.*Percentage"), "データディレクトリの空き容量割合（%）", _xlfn.REGEXTEST(C162, "Transaction Log Directory Free Space.*Absolute"), "トランザクションログディレクトリの空き容量（絶対値）", _xlfn.REGEXTEST(C162, "Logging Threshold|Logger Threshold"), "ログ出力レベルの閾値設定", _xlfn.REGEXTEST(C162, "Enable.*Alerts"), "ヘルスアラートの有効化状態", _xlfn.REGEXTEST(C162, "Triggers"), "カスタムアラート条件（トリガー設定）", _xlfn.REGEXTEST(C162, "Healthy Kafka Broker"), "Kafka Brokerの健全ノード割合（稼働率）", _xlfn.REGEXTEST(C162, "Healthy Kafka Connect"), "Kafka Connectの健全ノード割合（稼働率）", _xlfn.REGEXTEST(C162, "Healthy KRaft Controller"), "KRaft Controllerの健全ノード割合（稼働率）", _xlfn.REGEXTEST(C162, "Healthy Knox IDBroker"), "Knox IDBrokerの健全ノード割合（稼働率）", _xlfn.REGEXTEST(C162, "Healthy Knox Gateway"), "Knox Gatewayの健全ノード割合（稼働率）", _xlfn.REGEXTEST(C162, "Healthy ZooKeeper Server"), "ZooKeeper Serverの健全ノード割合（稼働率）", _xlfn.REGEXTEST(C162, "Healthy NodeManager"), "NodeManagerの健全ノード割合（稼働率）", _xlfn.REGEXTEST(C162, "Maximum Latency"), "リクエストの最大レイテンシ（処理遅延）", _xlfn.REGEXTEST(C162, "Garbage Collection Duration"), "Javaのガベージコレクション（GC）の所要時間", _xlfn.REGEXTEST(C162, "Spool Directory Usage"), "Rangerプラグインのスプールディレクトリ使用量", _xlfn.REGEXTEST(C162, "Process Directory Free Space Monitoring Absolute"), "プロセスディレクトリの空き容量（絶対値)", _xlfn.REGEXTEST(C162, "Process Directory Free Space.*Percentage"), "プロセスディレクトリの空き容量割合（%）", _xlfn.REGEXTEST(C162, "Parcel Directory Free Space.*Absolute"), "パーセルディレクトリの空き容量（絶対値）", _xlfn.REGEXTEST(C162, "Parcel Directory Free Space.*Percentage"), "パーセルディレクトリの空き容量割合（%）", _xlfn.REGEXTEST(C162, "Host Network Frame Error Percentage"), "ホストのネットワークフレームエラー割合（%）", _xlfn.REGEXTEST(C162, "Network Interfaces Slow Link Modes"), "ホストのネットワークインターフェースの低速リンクモード検出", _xlfn.REGEXTEST(C162, "Host Memory Swapping"), "ホストのメモリのスワップ発生状態", TRUE, "要手動確認")</f>
        <v>サーバーの稼働状態監視</v>
      </c>
      <c r="H162" s="479" t="s">
        <v>953</v>
      </c>
    </row>
    <row r="163" spans="1:8" ht="33.6">
      <c r="A163" s="514"/>
      <c r="B163" s="473"/>
      <c r="C163" s="471" t="s">
        <v>808</v>
      </c>
      <c r="D163" s="471" t="s">
        <v>809</v>
      </c>
      <c r="E163" s="471" t="s">
        <v>954</v>
      </c>
      <c r="F163" s="471" t="s">
        <v>955</v>
      </c>
      <c r="G163" s="471" t="str" cm="1">
        <f t="array" ref="G163">_xlfn.IFS(C163 = "", "", _xlfn.REGEXTEST(C163, "Service Metric Migrator Minimum Consecutive Successful Checks"), "サービスメトリック移行ツールの連続正常チェック最小回数", _xlfn.REGEXTEST(C163, "Rebalancing"), "リバランシング（データ再配置）状態", _xlfn.REGEXTEST(C163, "Temporary Dump Directory"), "一時ダンプディレクトリの監視", _xlfn.REGEXTEST(C163, "Safemode Extension"), "セーフモード延長状態", _xlfn.REGEXTEST(C163, "Client Idle"), "クライアントのアイドル（待機）状態", _xlfn.REGEXTEST(C163, "Available Space Policy Balanced"), "空き容量ポリシーの分散バランス状態", _xlfn.REGEXTEST(C163, "Filesystem Checkpoint Transaction"), "ファイルシステムのチェックポイントトランザクション", _xlfn.REGEXTEST(C163, "Blocks With Corrupt Replicas Monitoring"), "破損レプリカを持つブロックの監視", _xlfn.REGEXTEST(C163, "Missing Block Monitoring"), "消失（ミッシング）ブロックの監視", _xlfn.REGEXTEST(C163, "Under-replicated Block Monitoring"), "レプリカ数不足ブロックの監視", _xlfn.REGEXTEST(C163, "HDFS Free Space Monitoring"), "HDFSの空き容量監視", _xlfn.REGEXTEST(C163, "DataNode Monitoring"), "DataNodeの稼働状態監視", _xlfn.REGEXTEST(C163, "Rules to Extract Events from Log Files"), "ログファイルからのイベント抽出ルール設定", _xlfn.REGEXTEST(C163, "Free Space Monitoring$"), "空き容量監視（一般設定）", _xlfn.REGEXTEST(C163, "Transceivers Usage"), "トランシーバー使用量（データ転送スレッド数）", _xlfn.REGEXTEST(C163, "Volume Failures"), "ボリューム障害（ディスクエラー）数", _xlfn.REGEXTEST(C163, "Block Count"), "ブロック総数", _xlfn.REGEXTEST(C163, "Audit Failure"), "監査（オーディット）ログの失敗イベント", _xlfn.REGEXTEST(C163, "Web Metric Collection Duration"), "Webメトリック収集の所要時間", _xlfn.REGEXTEST(C163, "Pause Duration"), "一時停止（ポーズ）の所要時間", _xlfn.REGEXTEST(C163, "Fsync Latency"), "Fsync（ディスク同期）のレイテンシ", _xlfn.REGEXTEST(C163, "Free Space Monitoring Absolute"), "空き容量（絶対値）", _xlfn.REGEXTEST(C163, "Free Space Monitoring Percentage"), "空き容量割合（%）", _xlfn.REGEXTEST(C163, "Age Monitoring"), "経過時間の監視", _xlfn.REGEXTEST(C163, "Transactions Monitoring"), "トランザクション数の監視", _xlfn.REGEXTEST(C163, "RPC Latency"), "RPC（遠隔手続き呼出し）のレイテンシ", _xlfn.REGEXTEST(C163, "Directory Failures"), "ディレクトリ障害数", _xlfn.REGEXTEST(C163, "Out-Of-Sync JournalNodes"), "同期ズレが発生しているJournalNode数", _xlfn.REGEXTEST(C163, "Safemode Threshold Percentage"), "セーフモード解除閾値の割合（%）", _xlfn.REGEXTEST(C163, "Kerberos Ticket Renewer Monitoring"), "Kerberosチケット更新プロセスの稼働状態監視", _xlfn.REGEXTEST(C163, "Load Balancer Monitoring"), "ロードバランサーの稼働状態監視", _xlfn.REGEXTEST(C163, "Navigator Audit Failure"), "Cloudera Navigator監査ログの失敗イベント", _xlfn.REGEXTEST(C163, "Schema Registry Server Monitoring"), "Schema Registry Serverの稼働状態監視", _xlfn.REGEXTEST(C163, "SRM Service Monitoring"), "SRMサービスの稼働状態監視", _xlfn.REGEXTEST(C163, "SRM Driver Monitoring"), "SRMドライバーの稼働状態監視", _xlfn.REGEXTEST(C163, "Loggin"), "ログ出力状態・設定監視", _xlfn.REGEXTEST(C163, "Server Monitoring"), "サーバーの稼働状態監視", _xlfn.REGEXTEST(C163, "Server Connection Count"), "サーバーの接続数（コネクション数）", _xlfn.REGEXTEST(C163, "Server Outstanding Requests"), "サーバーの未処理リクエスト数（滞留要求数）", _xlfn.REGEXTEST(C163, "Repository Status"), "リポジトリのステータス状態", _xlfn.REGEXTEST(C163, "Monitor Long Running Task"), "長時間実行タスク（ジョブ）の監視", _xlfn.REGEXTEST(C163, "Token requests per second"), "1秒あたりのトークンリクエスト数（要求レート）", _xlfn.REGEXTEST(C163, "Connection Model Score"), "接続モデルスコア（コネクション品質）", _xlfn.REGEXTEST(C163, "Queue swap"), "キューのスワップ発生状態", _xlfn.REGEXTEST(C163, "NiFi Node Monitoring"), "NiFiノードの稼働状態監視", _xlfn.REGEXTEST(C163, "Host Clock Offset"), "ホストのクロックオフセット（時刻同期のズレ）", _xlfn.REGEXTEST(C163, "Memory Overcommit Validation"), "メモリオーバーコミット設定の検証", _xlfn.REGEXTEST(C163, "Gateway Logging"), "ゲートウェイのログ出力設定", _xlfn.REGEXTEST(C163, "CPU Balance"), "CPU使用率の分散バランス状態", _xlfn.REGEXTEST(C163, "Disk Balance"), "ディスク使用量の分散バランス状態", _xlfn.REGEXTEST(C163, "Network Inbound Balance"), "ネットワークインバウンド（受信）の分散バランス状態", _xlfn.REGEXTEST(C163, "Network Outbound Balance"), "ネットワークアウトバウンド（送信）の分散バランス状態", _xlfn.REGEXTEST(C163, "Replica Count Balance"), "レプリカ数の分散バランス状態", _xlfn.REGEXTEST(C163, "Disk Capacity"), "ディスク総容量の限界・使用容量", _xlfn.REGEXTEST(C163, "CPU Capacity"), "CPU総処理能力の限界・使用量", _xlfn.REGEXTEST(C163, "Network Inbound Capacity"), "ネットワークインバウンド（受信）帯域の限界・使用量", _xlfn.REGEXTEST(C163, "Network Outbound Capacity"), "ネットワークアウトバウンド（送信）帯域の限界・使用量", _xlfn.REGEXTEST(C163, "Leader Replica Count Balance"), "リーダーレプリカ数の分散バランス状態", _xlfn.REGEXTEST(C163, "Host DNS Resolution Duration"), "ホストのDNS名前解決の所要時間", _xlfn.REGEXTEST(C163, "TLS Certificate Expiry"), "TLS証明書の有効期限切れ", _xlfn.REGEXTEST(C163, "Host Entropy"), "ホストのエントロピー（乱数生成能力）の不足", _xlfn.REGEXTEST(C163, "File Descriptor"), "プロセスのファイルディスクリプタ使用率", _xlfn.REGEXTEST(C163, "Unexpected Exits"), "プロセスの異常終了（予期せぬ停止）", _xlfn.REGEXTEST(C163, "Swap Memory Thresholds"), "プロセスのスワップメモリ使用量", _xlfn.REGEXTEST(C163, "Swap Memory Usage Rate"), "スワップメモリ使用量の変化率（増加速度）", _xlfn.REGEXTEST(C163, "Log Directory Free Space.*Absolute"), "ログディレクトリの空き容量（絶対値）", _xlfn.REGEXTEST(C163, "Log Directory Free Space.*Percentage"), "ログディレクトリの空き容量割合（%）", _xlfn.REGEXTEST(C163, "Heap Dump Directory Free Space.*Absolute"), "ヒープダンプディレクトリの空き容量（絶対値）", _xlfn.REGEXTEST(C163, "Heap Dump Directory Free Space.*Percentage"), "ヒープダンプディレクトリの空き容量割合（%）", _xlfn.REGEXTEST(C163, "Data Directory Free Space.*Absolute"), "データディレクトリの空き容量（絶対値）", _xlfn.REGEXTEST(C163, "Data Directory Free Space.*Percentage"), "データディレクトリの空き容量割合（%）", _xlfn.REGEXTEST(C163, "Transaction Log Directory Free Space.*Absolute"), "トランザクションログディレクトリの空き容量（絶対値）", _xlfn.REGEXTEST(C163, "Logging Threshold|Logger Threshold"), "ログ出力レベルの閾値設定", _xlfn.REGEXTEST(C163, "Enable.*Alerts"), "ヘルスアラートの有効化状態", _xlfn.REGEXTEST(C163, "Triggers"), "カスタムアラート条件（トリガー設定）", _xlfn.REGEXTEST(C163, "Healthy Kafka Broker"), "Kafka Brokerの健全ノード割合（稼働率）", _xlfn.REGEXTEST(C163, "Healthy Kafka Connect"), "Kafka Connectの健全ノード割合（稼働率）", _xlfn.REGEXTEST(C163, "Healthy KRaft Controller"), "KRaft Controllerの健全ノード割合（稼働率）", _xlfn.REGEXTEST(C163, "Healthy Knox IDBroker"), "Knox IDBrokerの健全ノード割合（稼働率）", _xlfn.REGEXTEST(C163, "Healthy Knox Gateway"), "Knox Gatewayの健全ノード割合（稼働率）", _xlfn.REGEXTEST(C163, "Healthy ZooKeeper Server"), "ZooKeeper Serverの健全ノード割合（稼働率）", _xlfn.REGEXTEST(C163, "Healthy NodeManager"), "NodeManagerの健全ノード割合（稼働率）", _xlfn.REGEXTEST(C163, "Maximum Latency"), "リクエストの最大レイテンシ（処理遅延）", _xlfn.REGEXTEST(C163, "Garbage Collection Duration"), "Javaのガベージコレクション（GC）の所要時間", _xlfn.REGEXTEST(C163, "Spool Directory Usage"), "Rangerプラグインのスプールディレクトリ使用量", _xlfn.REGEXTEST(C163, "Process Directory Free Space Monitoring Absolute"), "プロセスディレクトリの空き容量（絶対値)", _xlfn.REGEXTEST(C163, "Process Directory Free Space.*Percentage"), "プロセスディレクトリの空き容量割合（%）", _xlfn.REGEXTEST(C163, "Parcel Directory Free Space.*Absolute"), "パーセルディレクトリの空き容量（絶対値）", _xlfn.REGEXTEST(C163, "Parcel Directory Free Space.*Percentage"), "パーセルディレクトリの空き容量割合（%）", _xlfn.REGEXTEST(C163, "Host Network Frame Error Percentage"), "ホストのネットワークフレームエラー割合（%）", _xlfn.REGEXTEST(C163, "Network Interfaces Slow Link Modes"), "ホストのネットワークインターフェースの低速リンクモード検出", _xlfn.REGEXTEST(C163, "Host Memory Swapping"), "ホストのメモリのスワップ発生状態", TRUE, "要手動確認")</f>
        <v>リクエストの最大レイテンシ（処理遅延）</v>
      </c>
      <c r="H163" s="479" t="s">
        <v>956</v>
      </c>
    </row>
    <row r="164" spans="1:8" ht="33.6">
      <c r="A164" s="514"/>
      <c r="B164" s="473"/>
      <c r="C164" s="471" t="s">
        <v>957</v>
      </c>
      <c r="D164" s="471" t="s">
        <v>958</v>
      </c>
      <c r="E164" s="471" t="s">
        <v>954</v>
      </c>
      <c r="F164" s="471" t="s">
        <v>959</v>
      </c>
      <c r="G164" s="471" t="str" cm="1">
        <f t="array" ref="G164">_xlfn.IFS(C164 = "", "", _xlfn.REGEXTEST(C164, "Service Metric Migrator Minimum Consecutive Successful Checks"), "サービスメトリック移行ツールの連続正常チェック最小回数", _xlfn.REGEXTEST(C164, "Rebalancing"), "リバランシング（データ再配置）状態", _xlfn.REGEXTEST(C164, "Temporary Dump Directory"), "一時ダンプディレクトリの監視", _xlfn.REGEXTEST(C164, "Safemode Extension"), "セーフモード延長状態", _xlfn.REGEXTEST(C164, "Client Idle"), "クライアントのアイドル（待機）状態", _xlfn.REGEXTEST(C164, "Available Space Policy Balanced"), "空き容量ポリシーの分散バランス状態", _xlfn.REGEXTEST(C164, "Filesystem Checkpoint Transaction"), "ファイルシステムのチェックポイントトランザクション", _xlfn.REGEXTEST(C164, "Blocks With Corrupt Replicas Monitoring"), "破損レプリカを持つブロックの監視", _xlfn.REGEXTEST(C164, "Missing Block Monitoring"), "消失（ミッシング）ブロックの監視", _xlfn.REGEXTEST(C164, "Under-replicated Block Monitoring"), "レプリカ数不足ブロックの監視", _xlfn.REGEXTEST(C164, "HDFS Free Space Monitoring"), "HDFSの空き容量監視", _xlfn.REGEXTEST(C164, "DataNode Monitoring"), "DataNodeの稼働状態監視", _xlfn.REGEXTEST(C164, "Rules to Extract Events from Log Files"), "ログファイルからのイベント抽出ルール設定", _xlfn.REGEXTEST(C164, "Free Space Monitoring$"), "空き容量監視（一般設定）", _xlfn.REGEXTEST(C164, "Transceivers Usage"), "トランシーバー使用量（データ転送スレッド数）", _xlfn.REGEXTEST(C164, "Volume Failures"), "ボリューム障害（ディスクエラー）数", _xlfn.REGEXTEST(C164, "Block Count"), "ブロック総数", _xlfn.REGEXTEST(C164, "Audit Failure"), "監査（オーディット）ログの失敗イベント", _xlfn.REGEXTEST(C164, "Web Metric Collection Duration"), "Webメトリック収集の所要時間", _xlfn.REGEXTEST(C164, "Pause Duration"), "一時停止（ポーズ）の所要時間", _xlfn.REGEXTEST(C164, "Fsync Latency"), "Fsync（ディスク同期）のレイテンシ", _xlfn.REGEXTEST(C164, "Free Space Monitoring Absolute"), "空き容量（絶対値）", _xlfn.REGEXTEST(C164, "Free Space Monitoring Percentage"), "空き容量割合（%）", _xlfn.REGEXTEST(C164, "Age Monitoring"), "経過時間の監視", _xlfn.REGEXTEST(C164, "Transactions Monitoring"), "トランザクション数の監視", _xlfn.REGEXTEST(C164, "RPC Latency"), "RPC（遠隔手続き呼出し）のレイテンシ", _xlfn.REGEXTEST(C164, "Directory Failures"), "ディレクトリ障害数", _xlfn.REGEXTEST(C164, "Out-Of-Sync JournalNodes"), "同期ズレが発生しているJournalNode数", _xlfn.REGEXTEST(C164, "Safemode Threshold Percentage"), "セーフモード解除閾値の割合（%）", _xlfn.REGEXTEST(C164, "Kerberos Ticket Renewer Monitoring"), "Kerberosチケット更新プロセスの稼働状態監視", _xlfn.REGEXTEST(C164, "Load Balancer Monitoring"), "ロードバランサーの稼働状態監視", _xlfn.REGEXTEST(C164, "Navigator Audit Failure"), "Cloudera Navigator監査ログの失敗イベント", _xlfn.REGEXTEST(C164, "Schema Registry Server Monitoring"), "Schema Registry Serverの稼働状態監視", _xlfn.REGEXTEST(C164, "SRM Service Monitoring"), "SRMサービスの稼働状態監視", _xlfn.REGEXTEST(C164, "SRM Driver Monitoring"), "SRMドライバーの稼働状態監視", _xlfn.REGEXTEST(C164, "Loggin"), "ログ出力状態・設定監視", _xlfn.REGEXTEST(C164, "Server Monitoring"), "サーバーの稼働状態監視", _xlfn.REGEXTEST(C164, "Server Connection Count"), "サーバーの接続数（コネクション数）", _xlfn.REGEXTEST(C164, "Server Outstanding Requests"), "サーバーの未処理リクエスト数（滞留要求数）", _xlfn.REGEXTEST(C164, "Repository Status"), "リポジトリのステータス状態", _xlfn.REGEXTEST(C164, "Monitor Long Running Task"), "長時間実行タスク（ジョブ）の監視", _xlfn.REGEXTEST(C164, "Token requests per second"), "1秒あたりのトークンリクエスト数（要求レート）", _xlfn.REGEXTEST(C164, "Connection Model Score"), "接続モデルスコア（コネクション品質）", _xlfn.REGEXTEST(C164, "Queue swap"), "キューのスワップ発生状態", _xlfn.REGEXTEST(C164, "NiFi Node Monitoring"), "NiFiノードの稼働状態監視", _xlfn.REGEXTEST(C164, "Host Clock Offset"), "ホストのクロックオフセット（時刻同期のズレ）", _xlfn.REGEXTEST(C164, "Memory Overcommit Validation"), "メモリオーバーコミット設定の検証", _xlfn.REGEXTEST(C164, "Gateway Logging"), "ゲートウェイのログ出力設定", _xlfn.REGEXTEST(C164, "CPU Balance"), "CPU使用率の分散バランス状態", _xlfn.REGEXTEST(C164, "Disk Balance"), "ディスク使用量の分散バランス状態", _xlfn.REGEXTEST(C164, "Network Inbound Balance"), "ネットワークインバウンド（受信）の分散バランス状態", _xlfn.REGEXTEST(C164, "Network Outbound Balance"), "ネットワークアウトバウンド（送信）の分散バランス状態", _xlfn.REGEXTEST(C164, "Replica Count Balance"), "レプリカ数の分散バランス状態", _xlfn.REGEXTEST(C164, "Disk Capacity"), "ディスク総容量の限界・使用容量", _xlfn.REGEXTEST(C164, "CPU Capacity"), "CPU総処理能力の限界・使用量", _xlfn.REGEXTEST(C164, "Network Inbound Capacity"), "ネットワークインバウンド（受信）帯域の限界・使用量", _xlfn.REGEXTEST(C164, "Network Outbound Capacity"), "ネットワークアウトバウンド（送信）帯域の限界・使用量", _xlfn.REGEXTEST(C164, "Leader Replica Count Balance"), "リーダーレプリカ数の分散バランス状態", _xlfn.REGEXTEST(C164, "Host DNS Resolution Duration"), "ホストのDNS名前解決の所要時間", _xlfn.REGEXTEST(C164, "TLS Certificate Expiry"), "TLS証明書の有効期限切れ", _xlfn.REGEXTEST(C164, "Host Entropy"), "ホストのエントロピー（乱数生成能力）の不足", _xlfn.REGEXTEST(C164, "File Descriptor"), "プロセスのファイルディスクリプタ使用率", _xlfn.REGEXTEST(C164, "Unexpected Exits"), "プロセスの異常終了（予期せぬ停止）", _xlfn.REGEXTEST(C164, "Swap Memory Thresholds"), "プロセスのスワップメモリ使用量", _xlfn.REGEXTEST(C164, "Swap Memory Usage Rate"), "スワップメモリ使用量の変化率（増加速度）", _xlfn.REGEXTEST(C164, "Log Directory Free Space.*Absolute"), "ログディレクトリの空き容量（絶対値）", _xlfn.REGEXTEST(C164, "Log Directory Free Space.*Percentage"), "ログディレクトリの空き容量割合（%）", _xlfn.REGEXTEST(C164, "Heap Dump Directory Free Space.*Absolute"), "ヒープダンプディレクトリの空き容量（絶対値）", _xlfn.REGEXTEST(C164, "Heap Dump Directory Free Space.*Percentage"), "ヒープダンプディレクトリの空き容量割合（%）", _xlfn.REGEXTEST(C164, "Data Directory Free Space.*Absolute"), "データディレクトリの空き容量（絶対値）", _xlfn.REGEXTEST(C164, "Data Directory Free Space.*Percentage"), "データディレクトリの空き容量割合（%）", _xlfn.REGEXTEST(C164, "Transaction Log Directory Free Space.*Absolute"), "トランザクションログディレクトリの空き容量（絶対値）", _xlfn.REGEXTEST(C164, "Logging Threshold|Logger Threshold"), "ログ出力レベルの閾値設定", _xlfn.REGEXTEST(C164, "Enable.*Alerts"), "ヘルスアラートの有効化状態", _xlfn.REGEXTEST(C164, "Triggers"), "カスタムアラート条件（トリガー設定）", _xlfn.REGEXTEST(C164, "Healthy Kafka Broker"), "Kafka Brokerの健全ノード割合（稼働率）", _xlfn.REGEXTEST(C164, "Healthy Kafka Connect"), "Kafka Connectの健全ノード割合（稼働率）", _xlfn.REGEXTEST(C164, "Healthy KRaft Controller"), "KRaft Controllerの健全ノード割合（稼働率）", _xlfn.REGEXTEST(C164, "Healthy Knox IDBroker"), "Knox IDBrokerの健全ノード割合（稼働率）", _xlfn.REGEXTEST(C164, "Healthy Knox Gateway"), "Knox Gatewayの健全ノード割合（稼働率）", _xlfn.REGEXTEST(C164, "Healthy ZooKeeper Server"), "ZooKeeper Serverの健全ノード割合（稼働率）", _xlfn.REGEXTEST(C164, "Healthy NodeManager"), "NodeManagerの健全ノード割合（稼働率）", _xlfn.REGEXTEST(C164, "Maximum Latency"), "リクエストの最大レイテンシ（処理遅延）", _xlfn.REGEXTEST(C164, "Garbage Collection Duration"), "Javaのガベージコレクション（GC）の所要時間", _xlfn.REGEXTEST(C164, "Spool Directory Usage"), "Rangerプラグインのスプールディレクトリ使用量", _xlfn.REGEXTEST(C164, "Process Directory Free Space Monitoring Absolute"), "プロセスディレクトリの空き容量（絶対値)", _xlfn.REGEXTEST(C164, "Process Directory Free Space.*Percentage"), "プロセスディレクトリの空き容量割合（%）", _xlfn.REGEXTEST(C164, "Parcel Directory Free Space.*Absolute"), "パーセルディレクトリの空き容量（絶対値）", _xlfn.REGEXTEST(C164, "Parcel Directory Free Space.*Percentage"), "パーセルディレクトリの空き容量割合（%）", _xlfn.REGEXTEST(C164, "Host Network Frame Error Percentage"), "ホストのネットワークフレームエラー割合（%）", _xlfn.REGEXTEST(C164, "Network Interfaces Slow Link Modes"), "ホストのネットワークインターフェースの低速リンクモード検出", _xlfn.REGEXTEST(C164, "Host Memory Swapping"), "ホストのメモリのスワップ発生状態", TRUE, "要手動確認")</f>
        <v>サーバーの接続数（コネクション数）</v>
      </c>
      <c r="H164" s="479" t="s">
        <v>683</v>
      </c>
    </row>
    <row r="165" spans="1:8" ht="33.6">
      <c r="A165" s="514"/>
      <c r="B165" s="473"/>
      <c r="C165" s="471" t="s">
        <v>960</v>
      </c>
      <c r="D165" s="471" t="s">
        <v>961</v>
      </c>
      <c r="E165" s="471" t="s">
        <v>954</v>
      </c>
      <c r="F165" s="471" t="s">
        <v>962</v>
      </c>
      <c r="G165" s="471" t="str" cm="1">
        <f t="array" ref="G165">_xlfn.IFS(C165 = "", "", _xlfn.REGEXTEST(C165, "Service Metric Migrator Minimum Consecutive Successful Checks"), "サービスメトリック移行ツールの連続正常チェック最小回数", _xlfn.REGEXTEST(C165, "Rebalancing"), "リバランシング（データ再配置）状態", _xlfn.REGEXTEST(C165, "Temporary Dump Directory"), "一時ダンプディレクトリの監視", _xlfn.REGEXTEST(C165, "Safemode Extension"), "セーフモード延長状態", _xlfn.REGEXTEST(C165, "Client Idle"), "クライアントのアイドル（待機）状態", _xlfn.REGEXTEST(C165, "Available Space Policy Balanced"), "空き容量ポリシーの分散バランス状態", _xlfn.REGEXTEST(C165, "Filesystem Checkpoint Transaction"), "ファイルシステムのチェックポイントトランザクション", _xlfn.REGEXTEST(C165, "Blocks With Corrupt Replicas Monitoring"), "破損レプリカを持つブロックの監視", _xlfn.REGEXTEST(C165, "Missing Block Monitoring"), "消失（ミッシング）ブロックの監視", _xlfn.REGEXTEST(C165, "Under-replicated Block Monitoring"), "レプリカ数不足ブロックの監視", _xlfn.REGEXTEST(C165, "HDFS Free Space Monitoring"), "HDFSの空き容量監視", _xlfn.REGEXTEST(C165, "DataNode Monitoring"), "DataNodeの稼働状態監視", _xlfn.REGEXTEST(C165, "Rules to Extract Events from Log Files"), "ログファイルからのイベント抽出ルール設定", _xlfn.REGEXTEST(C165, "Free Space Monitoring$"), "空き容量監視（一般設定）", _xlfn.REGEXTEST(C165, "Transceivers Usage"), "トランシーバー使用量（データ転送スレッド数）", _xlfn.REGEXTEST(C165, "Volume Failures"), "ボリューム障害（ディスクエラー）数", _xlfn.REGEXTEST(C165, "Block Count"), "ブロック総数", _xlfn.REGEXTEST(C165, "Audit Failure"), "監査（オーディット）ログの失敗イベント", _xlfn.REGEXTEST(C165, "Web Metric Collection Duration"), "Webメトリック収集の所要時間", _xlfn.REGEXTEST(C165, "Pause Duration"), "一時停止（ポーズ）の所要時間", _xlfn.REGEXTEST(C165, "Fsync Latency"), "Fsync（ディスク同期）のレイテンシ", _xlfn.REGEXTEST(C165, "Free Space Monitoring Absolute"), "空き容量（絶対値）", _xlfn.REGEXTEST(C165, "Free Space Monitoring Percentage"), "空き容量割合（%）", _xlfn.REGEXTEST(C165, "Age Monitoring"), "経過時間の監視", _xlfn.REGEXTEST(C165, "Transactions Monitoring"), "トランザクション数の監視", _xlfn.REGEXTEST(C165, "RPC Latency"), "RPC（遠隔手続き呼出し）のレイテンシ", _xlfn.REGEXTEST(C165, "Directory Failures"), "ディレクトリ障害数", _xlfn.REGEXTEST(C165, "Out-Of-Sync JournalNodes"), "同期ズレが発生しているJournalNode数", _xlfn.REGEXTEST(C165, "Safemode Threshold Percentage"), "セーフモード解除閾値の割合（%）", _xlfn.REGEXTEST(C165, "Kerberos Ticket Renewer Monitoring"), "Kerberosチケット更新プロセスの稼働状態監視", _xlfn.REGEXTEST(C165, "Load Balancer Monitoring"), "ロードバランサーの稼働状態監視", _xlfn.REGEXTEST(C165, "Navigator Audit Failure"), "Cloudera Navigator監査ログの失敗イベント", _xlfn.REGEXTEST(C165, "Schema Registry Server Monitoring"), "Schema Registry Serverの稼働状態監視", _xlfn.REGEXTEST(C165, "SRM Service Monitoring"), "SRMサービスの稼働状態監視", _xlfn.REGEXTEST(C165, "SRM Driver Monitoring"), "SRMドライバーの稼働状態監視", _xlfn.REGEXTEST(C165, "Loggin"), "ログ出力状態・設定監視", _xlfn.REGEXTEST(C165, "Server Monitoring"), "サーバーの稼働状態監視", _xlfn.REGEXTEST(C165, "Server Connection Count"), "サーバーの接続数（コネクション数）", _xlfn.REGEXTEST(C165, "Server Outstanding Requests"), "サーバーの未処理リクエスト数（滞留要求数）", _xlfn.REGEXTEST(C165, "Repository Status"), "リポジトリのステータス状態", _xlfn.REGEXTEST(C165, "Monitor Long Running Task"), "長時間実行タスク（ジョブ）の監視", _xlfn.REGEXTEST(C165, "Token requests per second"), "1秒あたりのトークンリクエスト数（要求レート）", _xlfn.REGEXTEST(C165, "Connection Model Score"), "接続モデルスコア（コネクション品質）", _xlfn.REGEXTEST(C165, "Queue swap"), "キューのスワップ発生状態", _xlfn.REGEXTEST(C165, "NiFi Node Monitoring"), "NiFiノードの稼働状態監視", _xlfn.REGEXTEST(C165, "Host Clock Offset"), "ホストのクロックオフセット（時刻同期のズレ）", _xlfn.REGEXTEST(C165, "Memory Overcommit Validation"), "メモリオーバーコミット設定の検証", _xlfn.REGEXTEST(C165, "Gateway Logging"), "ゲートウェイのログ出力設定", _xlfn.REGEXTEST(C165, "CPU Balance"), "CPU使用率の分散バランス状態", _xlfn.REGEXTEST(C165, "Disk Balance"), "ディスク使用量の分散バランス状態", _xlfn.REGEXTEST(C165, "Network Inbound Balance"), "ネットワークインバウンド（受信）の分散バランス状態", _xlfn.REGEXTEST(C165, "Network Outbound Balance"), "ネットワークアウトバウンド（送信）の分散バランス状態", _xlfn.REGEXTEST(C165, "Replica Count Balance"), "レプリカ数の分散バランス状態", _xlfn.REGEXTEST(C165, "Disk Capacity"), "ディスク総容量の限界・使用容量", _xlfn.REGEXTEST(C165, "CPU Capacity"), "CPU総処理能力の限界・使用量", _xlfn.REGEXTEST(C165, "Network Inbound Capacity"), "ネットワークインバウンド（受信）帯域の限界・使用量", _xlfn.REGEXTEST(C165, "Network Outbound Capacity"), "ネットワークアウトバウンド（送信）帯域の限界・使用量", _xlfn.REGEXTEST(C165, "Leader Replica Count Balance"), "リーダーレプリカ数の分散バランス状態", _xlfn.REGEXTEST(C165, "Host DNS Resolution Duration"), "ホストのDNS名前解決の所要時間", _xlfn.REGEXTEST(C165, "TLS Certificate Expiry"), "TLS証明書の有効期限切れ", _xlfn.REGEXTEST(C165, "Host Entropy"), "ホストのエントロピー（乱数生成能力）の不足", _xlfn.REGEXTEST(C165, "File Descriptor"), "プロセスのファイルディスクリプタ使用率", _xlfn.REGEXTEST(C165, "Unexpected Exits"), "プロセスの異常終了（予期せぬ停止）", _xlfn.REGEXTEST(C165, "Swap Memory Thresholds"), "プロセスのスワップメモリ使用量", _xlfn.REGEXTEST(C165, "Swap Memory Usage Rate"), "スワップメモリ使用量の変化率（増加速度）", _xlfn.REGEXTEST(C165, "Log Directory Free Space.*Absolute"), "ログディレクトリの空き容量（絶対値）", _xlfn.REGEXTEST(C165, "Log Directory Free Space.*Percentage"), "ログディレクトリの空き容量割合（%）", _xlfn.REGEXTEST(C165, "Heap Dump Directory Free Space.*Absolute"), "ヒープダンプディレクトリの空き容量（絶対値）", _xlfn.REGEXTEST(C165, "Heap Dump Directory Free Space.*Percentage"), "ヒープダンプディレクトリの空き容量割合（%）", _xlfn.REGEXTEST(C165, "Data Directory Free Space.*Absolute"), "データディレクトリの空き容量（絶対値）", _xlfn.REGEXTEST(C165, "Data Directory Free Space.*Percentage"), "データディレクトリの空き容量割合（%）", _xlfn.REGEXTEST(C165, "Transaction Log Directory Free Space.*Absolute"), "トランザクションログディレクトリの空き容量（絶対値）", _xlfn.REGEXTEST(C165, "Logging Threshold|Logger Threshold"), "ログ出力レベルの閾値設定", _xlfn.REGEXTEST(C165, "Enable.*Alerts"), "ヘルスアラートの有効化状態", _xlfn.REGEXTEST(C165, "Triggers"), "カスタムアラート条件（トリガー設定）", _xlfn.REGEXTEST(C165, "Healthy Kafka Broker"), "Kafka Brokerの健全ノード割合（稼働率）", _xlfn.REGEXTEST(C165, "Healthy Kafka Connect"), "Kafka Connectの健全ノード割合（稼働率）", _xlfn.REGEXTEST(C165, "Healthy KRaft Controller"), "KRaft Controllerの健全ノード割合（稼働率）", _xlfn.REGEXTEST(C165, "Healthy Knox IDBroker"), "Knox IDBrokerの健全ノード割合（稼働率）", _xlfn.REGEXTEST(C165, "Healthy Knox Gateway"), "Knox Gatewayの健全ノード割合（稼働率）", _xlfn.REGEXTEST(C165, "Healthy ZooKeeper Server"), "ZooKeeper Serverの健全ノード割合（稼働率）", _xlfn.REGEXTEST(C165, "Healthy NodeManager"), "NodeManagerの健全ノード割合（稼働率）", _xlfn.REGEXTEST(C165, "Maximum Latency"), "リクエストの最大レイテンシ（処理遅延）", _xlfn.REGEXTEST(C165, "Garbage Collection Duration"), "Javaのガベージコレクション（GC）の所要時間", _xlfn.REGEXTEST(C165, "Spool Directory Usage"), "Rangerプラグインのスプールディレクトリ使用量", _xlfn.REGEXTEST(C165, "Process Directory Free Space Monitoring Absolute"), "プロセスディレクトリの空き容量（絶対値)", _xlfn.REGEXTEST(C165, "Process Directory Free Space.*Percentage"), "プロセスディレクトリの空き容量割合（%）", _xlfn.REGEXTEST(C165, "Parcel Directory Free Space.*Absolute"), "パーセルディレクトリの空き容量（絶対値）", _xlfn.REGEXTEST(C165, "Parcel Directory Free Space.*Percentage"), "パーセルディレクトリの空き容量割合（%）", _xlfn.REGEXTEST(C165, "Host Network Frame Error Percentage"), "ホストのネットワークフレームエラー割合（%）", _xlfn.REGEXTEST(C165, "Network Interfaces Slow Link Modes"), "ホストのネットワークインターフェースの低速リンクモード検出", _xlfn.REGEXTEST(C165, "Host Memory Swapping"), "ホストのメモリのスワップ発生状態", TRUE, "要手動確認")</f>
        <v>サーバーの未処理リクエスト数（滞留要求数）</v>
      </c>
      <c r="H165" s="479" t="s">
        <v>683</v>
      </c>
    </row>
    <row r="166" spans="1:8" ht="33.6">
      <c r="A166" s="514"/>
      <c r="B166" s="473"/>
      <c r="C166" s="471" t="s">
        <v>736</v>
      </c>
      <c r="D166" s="471" t="s">
        <v>963</v>
      </c>
      <c r="E166" s="471" t="s">
        <v>954</v>
      </c>
      <c r="F166" s="471" t="s">
        <v>964</v>
      </c>
      <c r="G166" s="471" t="str" cm="1">
        <f t="array" ref="G166">_xlfn.IFS(C166 = "", "", _xlfn.REGEXTEST(C166, "Service Metric Migrator Minimum Consecutive Successful Checks"), "サービスメトリック移行ツールの連続正常チェック最小回数", _xlfn.REGEXTEST(C166, "Rebalancing"), "リバランシング（データ再配置）状態", _xlfn.REGEXTEST(C166, "Temporary Dump Directory"), "一時ダンプディレクトリの監視", _xlfn.REGEXTEST(C166, "Safemode Extension"), "セーフモード延長状態", _xlfn.REGEXTEST(C166, "Client Idle"), "クライアントのアイドル（待機）状態", _xlfn.REGEXTEST(C166, "Available Space Policy Balanced"), "空き容量ポリシーの分散バランス状態", _xlfn.REGEXTEST(C166, "Filesystem Checkpoint Transaction"), "ファイルシステムのチェックポイントトランザクション", _xlfn.REGEXTEST(C166, "Blocks With Corrupt Replicas Monitoring"), "破損レプリカを持つブロックの監視", _xlfn.REGEXTEST(C166, "Missing Block Monitoring"), "消失（ミッシング）ブロックの監視", _xlfn.REGEXTEST(C166, "Under-replicated Block Monitoring"), "レプリカ数不足ブロックの監視", _xlfn.REGEXTEST(C166, "HDFS Free Space Monitoring"), "HDFSの空き容量監視", _xlfn.REGEXTEST(C166, "DataNode Monitoring"), "DataNodeの稼働状態監視", _xlfn.REGEXTEST(C166, "Rules to Extract Events from Log Files"), "ログファイルからのイベント抽出ルール設定", _xlfn.REGEXTEST(C166, "Free Space Monitoring$"), "空き容量監視（一般設定）", _xlfn.REGEXTEST(C166, "Transceivers Usage"), "トランシーバー使用量（データ転送スレッド数）", _xlfn.REGEXTEST(C166, "Volume Failures"), "ボリューム障害（ディスクエラー）数", _xlfn.REGEXTEST(C166, "Block Count"), "ブロック総数", _xlfn.REGEXTEST(C166, "Audit Failure"), "監査（オーディット）ログの失敗イベント", _xlfn.REGEXTEST(C166, "Web Metric Collection Duration"), "Webメトリック収集の所要時間", _xlfn.REGEXTEST(C166, "Pause Duration"), "一時停止（ポーズ）の所要時間", _xlfn.REGEXTEST(C166, "Fsync Latency"), "Fsync（ディスク同期）のレイテンシ", _xlfn.REGEXTEST(C166, "Free Space Monitoring Absolute"), "空き容量（絶対値）", _xlfn.REGEXTEST(C166, "Free Space Monitoring Percentage"), "空き容量割合（%）", _xlfn.REGEXTEST(C166, "Age Monitoring"), "経過時間の監視", _xlfn.REGEXTEST(C166, "Transactions Monitoring"), "トランザクション数の監視", _xlfn.REGEXTEST(C166, "RPC Latency"), "RPC（遠隔手続き呼出し）のレイテンシ", _xlfn.REGEXTEST(C166, "Directory Failures"), "ディレクトリ障害数", _xlfn.REGEXTEST(C166, "Out-Of-Sync JournalNodes"), "同期ズレが発生しているJournalNode数", _xlfn.REGEXTEST(C166, "Safemode Threshold Percentage"), "セーフモード解除閾値の割合（%）", _xlfn.REGEXTEST(C166, "Kerberos Ticket Renewer Monitoring"), "Kerberosチケット更新プロセスの稼働状態監視", _xlfn.REGEXTEST(C166, "Load Balancer Monitoring"), "ロードバランサーの稼働状態監視", _xlfn.REGEXTEST(C166, "Navigator Audit Failure"), "Cloudera Navigator監査ログの失敗イベント", _xlfn.REGEXTEST(C166, "Schema Registry Server Monitoring"), "Schema Registry Serverの稼働状態監視", _xlfn.REGEXTEST(C166, "SRM Service Monitoring"), "SRMサービスの稼働状態監視", _xlfn.REGEXTEST(C166, "SRM Driver Monitoring"), "SRMドライバーの稼働状態監視", _xlfn.REGEXTEST(C166, "Loggin"), "ログ出力状態・設定監視", _xlfn.REGEXTEST(C166, "Server Monitoring"), "サーバーの稼働状態監視", _xlfn.REGEXTEST(C166, "Server Connection Count"), "サーバーの接続数（コネクション数）", _xlfn.REGEXTEST(C166, "Server Outstanding Requests"), "サーバーの未処理リクエスト数（滞留要求数）", _xlfn.REGEXTEST(C166, "Repository Status"), "リポジトリのステータス状態", _xlfn.REGEXTEST(C166, "Monitor Long Running Task"), "長時間実行タスク（ジョブ）の監視", _xlfn.REGEXTEST(C166, "Token requests per second"), "1秒あたりのトークンリクエスト数（要求レート）", _xlfn.REGEXTEST(C166, "Connection Model Score"), "接続モデルスコア（コネクション品質）", _xlfn.REGEXTEST(C166, "Queue swap"), "キューのスワップ発生状態", _xlfn.REGEXTEST(C166, "NiFi Node Monitoring"), "NiFiノードの稼働状態監視", _xlfn.REGEXTEST(C166, "Host Clock Offset"), "ホストのクロックオフセット（時刻同期のズレ）", _xlfn.REGEXTEST(C166, "Memory Overcommit Validation"), "メモリオーバーコミット設定の検証", _xlfn.REGEXTEST(C166, "Gateway Logging"), "ゲートウェイのログ出力設定", _xlfn.REGEXTEST(C166, "CPU Balance"), "CPU使用率の分散バランス状態", _xlfn.REGEXTEST(C166, "Disk Balance"), "ディスク使用量の分散バランス状態", _xlfn.REGEXTEST(C166, "Network Inbound Balance"), "ネットワークインバウンド（受信）の分散バランス状態", _xlfn.REGEXTEST(C166, "Network Outbound Balance"), "ネットワークアウトバウンド（送信）の分散バランス状態", _xlfn.REGEXTEST(C166, "Replica Count Balance"), "レプリカ数の分散バランス状態", _xlfn.REGEXTEST(C166, "Disk Capacity"), "ディスク総容量の限界・使用容量", _xlfn.REGEXTEST(C166, "CPU Capacity"), "CPU総処理能力の限界・使用量", _xlfn.REGEXTEST(C166, "Network Inbound Capacity"), "ネットワークインバウンド（受信）帯域の限界・使用量", _xlfn.REGEXTEST(C166, "Network Outbound Capacity"), "ネットワークアウトバウンド（送信）帯域の限界・使用量", _xlfn.REGEXTEST(C166, "Leader Replica Count Balance"), "リーダーレプリカ数の分散バランス状態", _xlfn.REGEXTEST(C166, "Host DNS Resolution Duration"), "ホストのDNS名前解決の所要時間", _xlfn.REGEXTEST(C166, "TLS Certificate Expiry"), "TLS証明書の有効期限切れ", _xlfn.REGEXTEST(C166, "Host Entropy"), "ホストのエントロピー（乱数生成能力）の不足", _xlfn.REGEXTEST(C166, "File Descriptor"), "プロセスのファイルディスクリプタ使用率", _xlfn.REGEXTEST(C166, "Unexpected Exits"), "プロセスの異常終了（予期せぬ停止）", _xlfn.REGEXTEST(C166, "Swap Memory Thresholds"), "プロセスのスワップメモリ使用量", _xlfn.REGEXTEST(C166, "Swap Memory Usage Rate"), "スワップメモリ使用量の変化率（増加速度）", _xlfn.REGEXTEST(C166, "Log Directory Free Space.*Absolute"), "ログディレクトリの空き容量（絶対値）", _xlfn.REGEXTEST(C166, "Log Directory Free Space.*Percentage"), "ログディレクトリの空き容量割合（%）", _xlfn.REGEXTEST(C166, "Heap Dump Directory Free Space.*Absolute"), "ヒープダンプディレクトリの空き容量（絶対値）", _xlfn.REGEXTEST(C166, "Heap Dump Directory Free Space.*Percentage"), "ヒープダンプディレクトリの空き容量割合（%）", _xlfn.REGEXTEST(C166, "Data Directory Free Space.*Absolute"), "データディレクトリの空き容量（絶対値）", _xlfn.REGEXTEST(C166, "Data Directory Free Space.*Percentage"), "データディレクトリの空き容量割合（%）", _xlfn.REGEXTEST(C166, "Transaction Log Directory Free Space.*Absolute"), "トランザクションログディレクトリの空き容量（絶対値）", _xlfn.REGEXTEST(C166, "Logging Threshold|Logger Threshold"), "ログ出力レベルの閾値設定", _xlfn.REGEXTEST(C166, "Enable.*Alerts"), "ヘルスアラートの有効化状態", _xlfn.REGEXTEST(C166, "Triggers"), "カスタムアラート条件（トリガー設定）", _xlfn.REGEXTEST(C166, "Healthy Kafka Broker"), "Kafka Brokerの健全ノード割合（稼働率）", _xlfn.REGEXTEST(C166, "Healthy Kafka Connect"), "Kafka Connectの健全ノード割合（稼働率）", _xlfn.REGEXTEST(C166, "Healthy KRaft Controller"), "KRaft Controllerの健全ノード割合（稼働率）", _xlfn.REGEXTEST(C166, "Healthy Knox IDBroker"), "Knox IDBrokerの健全ノード割合（稼働率）", _xlfn.REGEXTEST(C166, "Healthy Knox Gateway"), "Knox Gatewayの健全ノード割合（稼働率）", _xlfn.REGEXTEST(C166, "Healthy ZooKeeper Server"), "ZooKeeper Serverの健全ノード割合（稼働率）", _xlfn.REGEXTEST(C166, "Healthy NodeManager"), "NodeManagerの健全ノード割合（稼働率）", _xlfn.REGEXTEST(C166, "Maximum Latency"), "リクエストの最大レイテンシ（処理遅延）", _xlfn.REGEXTEST(C166, "Garbage Collection Duration"), "Javaのガベージコレクション（GC）の所要時間", _xlfn.REGEXTEST(C166, "Spool Directory Usage"), "Rangerプラグインのスプールディレクトリ使用量", _xlfn.REGEXTEST(C166, "Process Directory Free Space Monitoring Absolute"), "プロセスディレクトリの空き容量（絶対値)", _xlfn.REGEXTEST(C166, "Process Directory Free Space.*Percentage"), "プロセスディレクトリの空き容量割合（%）", _xlfn.REGEXTEST(C166, "Parcel Directory Free Space.*Absolute"), "パーセルディレクトリの空き容量（絶対値）", _xlfn.REGEXTEST(C166, "Parcel Directory Free Space.*Percentage"), "パーセルディレクトリの空き容量割合（%）", _xlfn.REGEXTEST(C166, "Host Network Frame Error Percentage"), "ホストのネットワークフレームエラー割合（%）", _xlfn.REGEXTEST(C166, "Network Interfaces Slow Link Modes"), "ホストのネットワークインターフェースの低速リンクモード検出", _xlfn.REGEXTEST(C166, "Host Memory Swapping"), "ホストのメモリのスワップ発生状態", TRUE, "要手動確認")</f>
        <v>プロセスのファイルディスクリプタ使用率</v>
      </c>
      <c r="H166" s="479" t="s">
        <v>933</v>
      </c>
    </row>
    <row r="167" spans="1:8" ht="33.6">
      <c r="A167" s="514"/>
      <c r="B167" s="473"/>
      <c r="C167" s="471" t="s">
        <v>741</v>
      </c>
      <c r="D167" s="471" t="s">
        <v>742</v>
      </c>
      <c r="E167" s="471" t="s">
        <v>954</v>
      </c>
      <c r="F167" s="471" t="s">
        <v>965</v>
      </c>
      <c r="G167" s="471" t="str" cm="1">
        <f t="array" ref="G167">_xlfn.IFS(C167 = "", "", _xlfn.REGEXTEST(C167, "Service Metric Migrator Minimum Consecutive Successful Checks"), "サービスメトリック移行ツールの連続正常チェック最小回数", _xlfn.REGEXTEST(C167, "Rebalancing"), "リバランシング（データ再配置）状態", _xlfn.REGEXTEST(C167, "Temporary Dump Directory"), "一時ダンプディレクトリの監視", _xlfn.REGEXTEST(C167, "Safemode Extension"), "セーフモード延長状態", _xlfn.REGEXTEST(C167, "Client Idle"), "クライアントのアイドル（待機）状態", _xlfn.REGEXTEST(C167, "Available Space Policy Balanced"), "空き容量ポリシーの分散バランス状態", _xlfn.REGEXTEST(C167, "Filesystem Checkpoint Transaction"), "ファイルシステムのチェックポイントトランザクション", _xlfn.REGEXTEST(C167, "Blocks With Corrupt Replicas Monitoring"), "破損レプリカを持つブロックの監視", _xlfn.REGEXTEST(C167, "Missing Block Monitoring"), "消失（ミッシング）ブロックの監視", _xlfn.REGEXTEST(C167, "Under-replicated Block Monitoring"), "レプリカ数不足ブロックの監視", _xlfn.REGEXTEST(C167, "HDFS Free Space Monitoring"), "HDFSの空き容量監視", _xlfn.REGEXTEST(C167, "DataNode Monitoring"), "DataNodeの稼働状態監視", _xlfn.REGEXTEST(C167, "Rules to Extract Events from Log Files"), "ログファイルからのイベント抽出ルール設定", _xlfn.REGEXTEST(C167, "Free Space Monitoring$"), "空き容量監視（一般設定）", _xlfn.REGEXTEST(C167, "Transceivers Usage"), "トランシーバー使用量（データ転送スレッド数）", _xlfn.REGEXTEST(C167, "Volume Failures"), "ボリューム障害（ディスクエラー）数", _xlfn.REGEXTEST(C167, "Block Count"), "ブロック総数", _xlfn.REGEXTEST(C167, "Audit Failure"), "監査（オーディット）ログの失敗イベント", _xlfn.REGEXTEST(C167, "Web Metric Collection Duration"), "Webメトリック収集の所要時間", _xlfn.REGEXTEST(C167, "Pause Duration"), "一時停止（ポーズ）の所要時間", _xlfn.REGEXTEST(C167, "Fsync Latency"), "Fsync（ディスク同期）のレイテンシ", _xlfn.REGEXTEST(C167, "Free Space Monitoring Absolute"), "空き容量（絶対値）", _xlfn.REGEXTEST(C167, "Free Space Monitoring Percentage"), "空き容量割合（%）", _xlfn.REGEXTEST(C167, "Age Monitoring"), "経過時間の監視", _xlfn.REGEXTEST(C167, "Transactions Monitoring"), "トランザクション数の監視", _xlfn.REGEXTEST(C167, "RPC Latency"), "RPC（遠隔手続き呼出し）のレイテンシ", _xlfn.REGEXTEST(C167, "Directory Failures"), "ディレクトリ障害数", _xlfn.REGEXTEST(C167, "Out-Of-Sync JournalNodes"), "同期ズレが発生しているJournalNode数", _xlfn.REGEXTEST(C167, "Safemode Threshold Percentage"), "セーフモード解除閾値の割合（%）", _xlfn.REGEXTEST(C167, "Kerberos Ticket Renewer Monitoring"), "Kerberosチケット更新プロセスの稼働状態監視", _xlfn.REGEXTEST(C167, "Load Balancer Monitoring"), "ロードバランサーの稼働状態監視", _xlfn.REGEXTEST(C167, "Navigator Audit Failure"), "Cloudera Navigator監査ログの失敗イベント", _xlfn.REGEXTEST(C167, "Schema Registry Server Monitoring"), "Schema Registry Serverの稼働状態監視", _xlfn.REGEXTEST(C167, "SRM Service Monitoring"), "SRMサービスの稼働状態監視", _xlfn.REGEXTEST(C167, "SRM Driver Monitoring"), "SRMドライバーの稼働状態監視", _xlfn.REGEXTEST(C167, "Loggin"), "ログ出力状態・設定監視", _xlfn.REGEXTEST(C167, "Server Monitoring"), "サーバーの稼働状態監視", _xlfn.REGEXTEST(C167, "Server Connection Count"), "サーバーの接続数（コネクション数）", _xlfn.REGEXTEST(C167, "Server Outstanding Requests"), "サーバーの未処理リクエスト数（滞留要求数）", _xlfn.REGEXTEST(C167, "Repository Status"), "リポジトリのステータス状態", _xlfn.REGEXTEST(C167, "Monitor Long Running Task"), "長時間実行タスク（ジョブ）の監視", _xlfn.REGEXTEST(C167, "Token requests per second"), "1秒あたりのトークンリクエスト数（要求レート）", _xlfn.REGEXTEST(C167, "Connection Model Score"), "接続モデルスコア（コネクション品質）", _xlfn.REGEXTEST(C167, "Queue swap"), "キューのスワップ発生状態", _xlfn.REGEXTEST(C167, "NiFi Node Monitoring"), "NiFiノードの稼働状態監視", _xlfn.REGEXTEST(C167, "Host Clock Offset"), "ホストのクロックオフセット（時刻同期のズレ）", _xlfn.REGEXTEST(C167, "Memory Overcommit Validation"), "メモリオーバーコミット設定の検証", _xlfn.REGEXTEST(C167, "Gateway Logging"), "ゲートウェイのログ出力設定", _xlfn.REGEXTEST(C167, "CPU Balance"), "CPU使用率の分散バランス状態", _xlfn.REGEXTEST(C167, "Disk Balance"), "ディスク使用量の分散バランス状態", _xlfn.REGEXTEST(C167, "Network Inbound Balance"), "ネットワークインバウンド（受信）の分散バランス状態", _xlfn.REGEXTEST(C167, "Network Outbound Balance"), "ネットワークアウトバウンド（送信）の分散バランス状態", _xlfn.REGEXTEST(C167, "Replica Count Balance"), "レプリカ数の分散バランス状態", _xlfn.REGEXTEST(C167, "Disk Capacity"), "ディスク総容量の限界・使用容量", _xlfn.REGEXTEST(C167, "CPU Capacity"), "CPU総処理能力の限界・使用量", _xlfn.REGEXTEST(C167, "Network Inbound Capacity"), "ネットワークインバウンド（受信）帯域の限界・使用量", _xlfn.REGEXTEST(C167, "Network Outbound Capacity"), "ネットワークアウトバウンド（送信）帯域の限界・使用量", _xlfn.REGEXTEST(C167, "Leader Replica Count Balance"), "リーダーレプリカ数の分散バランス状態", _xlfn.REGEXTEST(C167, "Host DNS Resolution Duration"), "ホストのDNS名前解決の所要時間", _xlfn.REGEXTEST(C167, "TLS Certificate Expiry"), "TLS証明書の有効期限切れ", _xlfn.REGEXTEST(C167, "Host Entropy"), "ホストのエントロピー（乱数生成能力）の不足", _xlfn.REGEXTEST(C167, "File Descriptor"), "プロセスのファイルディスクリプタ使用率", _xlfn.REGEXTEST(C167, "Unexpected Exits"), "プロセスの異常終了（予期せぬ停止）", _xlfn.REGEXTEST(C167, "Swap Memory Thresholds"), "プロセスのスワップメモリ使用量", _xlfn.REGEXTEST(C167, "Swap Memory Usage Rate"), "スワップメモリ使用量の変化率（増加速度）", _xlfn.REGEXTEST(C167, "Log Directory Free Space.*Absolute"), "ログディレクトリの空き容量（絶対値）", _xlfn.REGEXTEST(C167, "Log Directory Free Space.*Percentage"), "ログディレクトリの空き容量割合（%）", _xlfn.REGEXTEST(C167, "Heap Dump Directory Free Space.*Absolute"), "ヒープダンプディレクトリの空き容量（絶対値）", _xlfn.REGEXTEST(C167, "Heap Dump Directory Free Space.*Percentage"), "ヒープダンプディレクトリの空き容量割合（%）", _xlfn.REGEXTEST(C167, "Data Directory Free Space.*Absolute"), "データディレクトリの空き容量（絶対値）", _xlfn.REGEXTEST(C167, "Data Directory Free Space.*Percentage"), "データディレクトリの空き容量割合（%）", _xlfn.REGEXTEST(C167, "Transaction Log Directory Free Space.*Absolute"), "トランザクションログディレクトリの空き容量（絶対値）", _xlfn.REGEXTEST(C167, "Logging Threshold|Logger Threshold"), "ログ出力レベルの閾値設定", _xlfn.REGEXTEST(C167, "Enable.*Alerts"), "ヘルスアラートの有効化状態", _xlfn.REGEXTEST(C167, "Triggers"), "カスタムアラート条件（トリガー設定）", _xlfn.REGEXTEST(C167, "Healthy Kafka Broker"), "Kafka Brokerの健全ノード割合（稼働率）", _xlfn.REGEXTEST(C167, "Healthy Kafka Connect"), "Kafka Connectの健全ノード割合（稼働率）", _xlfn.REGEXTEST(C167, "Healthy KRaft Controller"), "KRaft Controllerの健全ノード割合（稼働率）", _xlfn.REGEXTEST(C167, "Healthy Knox IDBroker"), "Knox IDBrokerの健全ノード割合（稼働率）", _xlfn.REGEXTEST(C167, "Healthy Knox Gateway"), "Knox Gatewayの健全ノード割合（稼働率）", _xlfn.REGEXTEST(C167, "Healthy ZooKeeper Server"), "ZooKeeper Serverの健全ノード割合（稼働率）", _xlfn.REGEXTEST(C167, "Healthy NodeManager"), "NodeManagerの健全ノード割合（稼働率）", _xlfn.REGEXTEST(C167, "Maximum Latency"), "リクエストの最大レイテンシ（処理遅延）", _xlfn.REGEXTEST(C167, "Garbage Collection Duration"), "Javaのガベージコレクション（GC）の所要時間", _xlfn.REGEXTEST(C167, "Spool Directory Usage"), "Rangerプラグインのスプールディレクトリ使用量", _xlfn.REGEXTEST(C167, "Process Directory Free Space Monitoring Absolute"), "プロセスディレクトリの空き容量（絶対値)", _xlfn.REGEXTEST(C167, "Process Directory Free Space.*Percentage"), "プロセスディレクトリの空き容量割合（%）", _xlfn.REGEXTEST(C167, "Parcel Directory Free Space.*Absolute"), "パーセルディレクトリの空き容量（絶対値）", _xlfn.REGEXTEST(C167, "Parcel Directory Free Space.*Percentage"), "パーセルディレクトリの空き容量割合（%）", _xlfn.REGEXTEST(C167, "Host Network Frame Error Percentage"), "ホストのネットワークフレームエラー割合（%）", _xlfn.REGEXTEST(C167, "Network Interfaces Slow Link Modes"), "ホストのネットワークインターフェースの低速リンクモード検出", _xlfn.REGEXTEST(C167, "Host Memory Swapping"), "ホストのメモリのスワップ発生状態", TRUE, "要手動確認")</f>
        <v>空き容量（絶対値）</v>
      </c>
      <c r="H167" s="479" t="s">
        <v>935</v>
      </c>
    </row>
    <row r="168" spans="1:8" ht="33.6">
      <c r="A168" s="514"/>
      <c r="B168" s="473"/>
      <c r="C168" s="471" t="s">
        <v>746</v>
      </c>
      <c r="D168" s="471" t="s">
        <v>747</v>
      </c>
      <c r="E168" s="471" t="s">
        <v>954</v>
      </c>
      <c r="F168" s="471" t="s">
        <v>966</v>
      </c>
      <c r="G168" s="471" t="str" cm="1">
        <f t="array" ref="G168">_xlfn.IFS(C168 = "", "", _xlfn.REGEXTEST(C168, "Service Metric Migrator Minimum Consecutive Successful Checks"), "サービスメトリック移行ツールの連続正常チェック最小回数", _xlfn.REGEXTEST(C168, "Rebalancing"), "リバランシング（データ再配置）状態", _xlfn.REGEXTEST(C168, "Temporary Dump Directory"), "一時ダンプディレクトリの監視", _xlfn.REGEXTEST(C168, "Safemode Extension"), "セーフモード延長状態", _xlfn.REGEXTEST(C168, "Client Idle"), "クライアントのアイドル（待機）状態", _xlfn.REGEXTEST(C168, "Available Space Policy Balanced"), "空き容量ポリシーの分散バランス状態", _xlfn.REGEXTEST(C168, "Filesystem Checkpoint Transaction"), "ファイルシステムのチェックポイントトランザクション", _xlfn.REGEXTEST(C168, "Blocks With Corrupt Replicas Monitoring"), "破損レプリカを持つブロックの監視", _xlfn.REGEXTEST(C168, "Missing Block Monitoring"), "消失（ミッシング）ブロックの監視", _xlfn.REGEXTEST(C168, "Under-replicated Block Monitoring"), "レプリカ数不足ブロックの監視", _xlfn.REGEXTEST(C168, "HDFS Free Space Monitoring"), "HDFSの空き容量監視", _xlfn.REGEXTEST(C168, "DataNode Monitoring"), "DataNodeの稼働状態監視", _xlfn.REGEXTEST(C168, "Rules to Extract Events from Log Files"), "ログファイルからのイベント抽出ルール設定", _xlfn.REGEXTEST(C168, "Free Space Monitoring$"), "空き容量監視（一般設定）", _xlfn.REGEXTEST(C168, "Transceivers Usage"), "トランシーバー使用量（データ転送スレッド数）", _xlfn.REGEXTEST(C168, "Volume Failures"), "ボリューム障害（ディスクエラー）数", _xlfn.REGEXTEST(C168, "Block Count"), "ブロック総数", _xlfn.REGEXTEST(C168, "Audit Failure"), "監査（オーディット）ログの失敗イベント", _xlfn.REGEXTEST(C168, "Web Metric Collection Duration"), "Webメトリック収集の所要時間", _xlfn.REGEXTEST(C168, "Pause Duration"), "一時停止（ポーズ）の所要時間", _xlfn.REGEXTEST(C168, "Fsync Latency"), "Fsync（ディスク同期）のレイテンシ", _xlfn.REGEXTEST(C168, "Free Space Monitoring Absolute"), "空き容量（絶対値）", _xlfn.REGEXTEST(C168, "Free Space Monitoring Percentage"), "空き容量割合（%）", _xlfn.REGEXTEST(C168, "Age Monitoring"), "経過時間の監視", _xlfn.REGEXTEST(C168, "Transactions Monitoring"), "トランザクション数の監視", _xlfn.REGEXTEST(C168, "RPC Latency"), "RPC（遠隔手続き呼出し）のレイテンシ", _xlfn.REGEXTEST(C168, "Directory Failures"), "ディレクトリ障害数", _xlfn.REGEXTEST(C168, "Out-Of-Sync JournalNodes"), "同期ズレが発生しているJournalNode数", _xlfn.REGEXTEST(C168, "Safemode Threshold Percentage"), "セーフモード解除閾値の割合（%）", _xlfn.REGEXTEST(C168, "Kerberos Ticket Renewer Monitoring"), "Kerberosチケット更新プロセスの稼働状態監視", _xlfn.REGEXTEST(C168, "Load Balancer Monitoring"), "ロードバランサーの稼働状態監視", _xlfn.REGEXTEST(C168, "Navigator Audit Failure"), "Cloudera Navigator監査ログの失敗イベント", _xlfn.REGEXTEST(C168, "Schema Registry Server Monitoring"), "Schema Registry Serverの稼働状態監視", _xlfn.REGEXTEST(C168, "SRM Service Monitoring"), "SRMサービスの稼働状態監視", _xlfn.REGEXTEST(C168, "SRM Driver Monitoring"), "SRMドライバーの稼働状態監視", _xlfn.REGEXTEST(C168, "Loggin"), "ログ出力状態・設定監視", _xlfn.REGEXTEST(C168, "Server Monitoring"), "サーバーの稼働状態監視", _xlfn.REGEXTEST(C168, "Server Connection Count"), "サーバーの接続数（コネクション数）", _xlfn.REGEXTEST(C168, "Server Outstanding Requests"), "サーバーの未処理リクエスト数（滞留要求数）", _xlfn.REGEXTEST(C168, "Repository Status"), "リポジトリのステータス状態", _xlfn.REGEXTEST(C168, "Monitor Long Running Task"), "長時間実行タスク（ジョブ）の監視", _xlfn.REGEXTEST(C168, "Token requests per second"), "1秒あたりのトークンリクエスト数（要求レート）", _xlfn.REGEXTEST(C168, "Connection Model Score"), "接続モデルスコア（コネクション品質）", _xlfn.REGEXTEST(C168, "Queue swap"), "キューのスワップ発生状態", _xlfn.REGEXTEST(C168, "NiFi Node Monitoring"), "NiFiノードの稼働状態監視", _xlfn.REGEXTEST(C168, "Host Clock Offset"), "ホストのクロックオフセット（時刻同期のズレ）", _xlfn.REGEXTEST(C168, "Memory Overcommit Validation"), "メモリオーバーコミット設定の検証", _xlfn.REGEXTEST(C168, "Gateway Logging"), "ゲートウェイのログ出力設定", _xlfn.REGEXTEST(C168, "CPU Balance"), "CPU使用率の分散バランス状態", _xlfn.REGEXTEST(C168, "Disk Balance"), "ディスク使用量の分散バランス状態", _xlfn.REGEXTEST(C168, "Network Inbound Balance"), "ネットワークインバウンド（受信）の分散バランス状態", _xlfn.REGEXTEST(C168, "Network Outbound Balance"), "ネットワークアウトバウンド（送信）の分散バランス状態", _xlfn.REGEXTEST(C168, "Replica Count Balance"), "レプリカ数の分散バランス状態", _xlfn.REGEXTEST(C168, "Disk Capacity"), "ディスク総容量の限界・使用容量", _xlfn.REGEXTEST(C168, "CPU Capacity"), "CPU総処理能力の限界・使用量", _xlfn.REGEXTEST(C168, "Network Inbound Capacity"), "ネットワークインバウンド（受信）帯域の限界・使用量", _xlfn.REGEXTEST(C168, "Network Outbound Capacity"), "ネットワークアウトバウンド（送信）帯域の限界・使用量", _xlfn.REGEXTEST(C168, "Leader Replica Count Balance"), "リーダーレプリカ数の分散バランス状態", _xlfn.REGEXTEST(C168, "Host DNS Resolution Duration"), "ホストのDNS名前解決の所要時間", _xlfn.REGEXTEST(C168, "TLS Certificate Expiry"), "TLS証明書の有効期限切れ", _xlfn.REGEXTEST(C168, "Host Entropy"), "ホストのエントロピー（乱数生成能力）の不足", _xlfn.REGEXTEST(C168, "File Descriptor"), "プロセスのファイルディスクリプタ使用率", _xlfn.REGEXTEST(C168, "Unexpected Exits"), "プロセスの異常終了（予期せぬ停止）", _xlfn.REGEXTEST(C168, "Swap Memory Thresholds"), "プロセスのスワップメモリ使用量", _xlfn.REGEXTEST(C168, "Swap Memory Usage Rate"), "スワップメモリ使用量の変化率（増加速度）", _xlfn.REGEXTEST(C168, "Log Directory Free Space.*Absolute"), "ログディレクトリの空き容量（絶対値）", _xlfn.REGEXTEST(C168, "Log Directory Free Space.*Percentage"), "ログディレクトリの空き容量割合（%）", _xlfn.REGEXTEST(C168, "Heap Dump Directory Free Space.*Absolute"), "ヒープダンプディレクトリの空き容量（絶対値）", _xlfn.REGEXTEST(C168, "Heap Dump Directory Free Space.*Percentage"), "ヒープダンプディレクトリの空き容量割合（%）", _xlfn.REGEXTEST(C168, "Data Directory Free Space.*Absolute"), "データディレクトリの空き容量（絶対値）", _xlfn.REGEXTEST(C168, "Data Directory Free Space.*Percentage"), "データディレクトリの空き容量割合（%）", _xlfn.REGEXTEST(C168, "Transaction Log Directory Free Space.*Absolute"), "トランザクションログディレクトリの空き容量（絶対値）", _xlfn.REGEXTEST(C168, "Logging Threshold|Logger Threshold"), "ログ出力レベルの閾値設定", _xlfn.REGEXTEST(C168, "Enable.*Alerts"), "ヘルスアラートの有効化状態", _xlfn.REGEXTEST(C168, "Triggers"), "カスタムアラート条件（トリガー設定）", _xlfn.REGEXTEST(C168, "Healthy Kafka Broker"), "Kafka Brokerの健全ノード割合（稼働率）", _xlfn.REGEXTEST(C168, "Healthy Kafka Connect"), "Kafka Connectの健全ノード割合（稼働率）", _xlfn.REGEXTEST(C168, "Healthy KRaft Controller"), "KRaft Controllerの健全ノード割合（稼働率）", _xlfn.REGEXTEST(C168, "Healthy Knox IDBroker"), "Knox IDBrokerの健全ノード割合（稼働率）", _xlfn.REGEXTEST(C168, "Healthy Knox Gateway"), "Knox Gatewayの健全ノード割合（稼働率）", _xlfn.REGEXTEST(C168, "Healthy ZooKeeper Server"), "ZooKeeper Serverの健全ノード割合（稼働率）", _xlfn.REGEXTEST(C168, "Healthy NodeManager"), "NodeManagerの健全ノード割合（稼働率）", _xlfn.REGEXTEST(C168, "Maximum Latency"), "リクエストの最大レイテンシ（処理遅延）", _xlfn.REGEXTEST(C168, "Garbage Collection Duration"), "Javaのガベージコレクション（GC）の所要時間", _xlfn.REGEXTEST(C168, "Spool Directory Usage"), "Rangerプラグインのスプールディレクトリ使用量", _xlfn.REGEXTEST(C168, "Process Directory Free Space Monitoring Absolute"), "プロセスディレクトリの空き容量（絶対値)", _xlfn.REGEXTEST(C168, "Process Directory Free Space.*Percentage"), "プロセスディレクトリの空き容量割合（%）", _xlfn.REGEXTEST(C168, "Parcel Directory Free Space.*Absolute"), "パーセルディレクトリの空き容量（絶対値）", _xlfn.REGEXTEST(C168, "Parcel Directory Free Space.*Percentage"), "パーセルディレクトリの空き容量割合（%）", _xlfn.REGEXTEST(C168, "Host Network Frame Error Percentage"), "ホストのネットワークフレームエラー割合（%）", _xlfn.REGEXTEST(C168, "Network Interfaces Slow Link Modes"), "ホストのネットワークインターフェースの低速リンクモード検出", _xlfn.REGEXTEST(C168, "Host Memory Swapping"), "ホストのメモリのスワップ発生状態", TRUE, "要手動確認")</f>
        <v>空き容量割合（%）</v>
      </c>
      <c r="H168" s="479" t="s">
        <v>683</v>
      </c>
    </row>
    <row r="169" spans="1:8" ht="33.6">
      <c r="A169" s="514"/>
      <c r="B169" s="473"/>
      <c r="C169" s="471" t="s">
        <v>814</v>
      </c>
      <c r="D169" s="471" t="s">
        <v>815</v>
      </c>
      <c r="E169" s="471" t="s">
        <v>954</v>
      </c>
      <c r="F169" s="471" t="s">
        <v>967</v>
      </c>
      <c r="G169" s="471" t="str" cm="1">
        <f t="array" ref="G169">_xlfn.IFS(C169 = "", "", _xlfn.REGEXTEST(C169, "Service Metric Migrator Minimum Consecutive Successful Checks"), "サービスメトリック移行ツールの連続正常チェック最小回数", _xlfn.REGEXTEST(C169, "Rebalancing"), "リバランシング（データ再配置）状態", _xlfn.REGEXTEST(C169, "Temporary Dump Directory"), "一時ダンプディレクトリの監視", _xlfn.REGEXTEST(C169, "Safemode Extension"), "セーフモード延長状態", _xlfn.REGEXTEST(C169, "Client Idle"), "クライアントのアイドル（待機）状態", _xlfn.REGEXTEST(C169, "Available Space Policy Balanced"), "空き容量ポリシーの分散バランス状態", _xlfn.REGEXTEST(C169, "Filesystem Checkpoint Transaction"), "ファイルシステムのチェックポイントトランザクション", _xlfn.REGEXTEST(C169, "Blocks With Corrupt Replicas Monitoring"), "破損レプリカを持つブロックの監視", _xlfn.REGEXTEST(C169, "Missing Block Monitoring"), "消失（ミッシング）ブロックの監視", _xlfn.REGEXTEST(C169, "Under-replicated Block Monitoring"), "レプリカ数不足ブロックの監視", _xlfn.REGEXTEST(C169, "HDFS Free Space Monitoring"), "HDFSの空き容量監視", _xlfn.REGEXTEST(C169, "DataNode Monitoring"), "DataNodeの稼働状態監視", _xlfn.REGEXTEST(C169, "Rules to Extract Events from Log Files"), "ログファイルからのイベント抽出ルール設定", _xlfn.REGEXTEST(C169, "Free Space Monitoring$"), "空き容量監視（一般設定）", _xlfn.REGEXTEST(C169, "Transceivers Usage"), "トランシーバー使用量（データ転送スレッド数）", _xlfn.REGEXTEST(C169, "Volume Failures"), "ボリューム障害（ディスクエラー）数", _xlfn.REGEXTEST(C169, "Block Count"), "ブロック総数", _xlfn.REGEXTEST(C169, "Audit Failure"), "監査（オーディット）ログの失敗イベント", _xlfn.REGEXTEST(C169, "Web Metric Collection Duration"), "Webメトリック収集の所要時間", _xlfn.REGEXTEST(C169, "Pause Duration"), "一時停止（ポーズ）の所要時間", _xlfn.REGEXTEST(C169, "Fsync Latency"), "Fsync（ディスク同期）のレイテンシ", _xlfn.REGEXTEST(C169, "Free Space Monitoring Absolute"), "空き容量（絶対値）", _xlfn.REGEXTEST(C169, "Free Space Monitoring Percentage"), "空き容量割合（%）", _xlfn.REGEXTEST(C169, "Age Monitoring"), "経過時間の監視", _xlfn.REGEXTEST(C169, "Transactions Monitoring"), "トランザクション数の監視", _xlfn.REGEXTEST(C169, "RPC Latency"), "RPC（遠隔手続き呼出し）のレイテンシ", _xlfn.REGEXTEST(C169, "Directory Failures"), "ディレクトリ障害数", _xlfn.REGEXTEST(C169, "Out-Of-Sync JournalNodes"), "同期ズレが発生しているJournalNode数", _xlfn.REGEXTEST(C169, "Safemode Threshold Percentage"), "セーフモード解除閾値の割合（%）", _xlfn.REGEXTEST(C169, "Kerberos Ticket Renewer Monitoring"), "Kerberosチケット更新プロセスの稼働状態監視", _xlfn.REGEXTEST(C169, "Load Balancer Monitoring"), "ロードバランサーの稼働状態監視", _xlfn.REGEXTEST(C169, "Navigator Audit Failure"), "Cloudera Navigator監査ログの失敗イベント", _xlfn.REGEXTEST(C169, "Schema Registry Server Monitoring"), "Schema Registry Serverの稼働状態監視", _xlfn.REGEXTEST(C169, "SRM Service Monitoring"), "SRMサービスの稼働状態監視", _xlfn.REGEXTEST(C169, "SRM Driver Monitoring"), "SRMドライバーの稼働状態監視", _xlfn.REGEXTEST(C169, "Loggin"), "ログ出力状態・設定監視", _xlfn.REGEXTEST(C169, "Server Monitoring"), "サーバーの稼働状態監視", _xlfn.REGEXTEST(C169, "Server Connection Count"), "サーバーの接続数（コネクション数）", _xlfn.REGEXTEST(C169, "Server Outstanding Requests"), "サーバーの未処理リクエスト数（滞留要求数）", _xlfn.REGEXTEST(C169, "Repository Status"), "リポジトリのステータス状態", _xlfn.REGEXTEST(C169, "Monitor Long Running Task"), "長時間実行タスク（ジョブ）の監視", _xlfn.REGEXTEST(C169, "Token requests per second"), "1秒あたりのトークンリクエスト数（要求レート）", _xlfn.REGEXTEST(C169, "Connection Model Score"), "接続モデルスコア（コネクション品質）", _xlfn.REGEXTEST(C169, "Queue swap"), "キューのスワップ発生状態", _xlfn.REGEXTEST(C169, "NiFi Node Monitoring"), "NiFiノードの稼働状態監視", _xlfn.REGEXTEST(C169, "Host Clock Offset"), "ホストのクロックオフセット（時刻同期のズレ）", _xlfn.REGEXTEST(C169, "Memory Overcommit Validation"), "メモリオーバーコミット設定の検証", _xlfn.REGEXTEST(C169, "Gateway Logging"), "ゲートウェイのログ出力設定", _xlfn.REGEXTEST(C169, "CPU Balance"), "CPU使用率の分散バランス状態", _xlfn.REGEXTEST(C169, "Disk Balance"), "ディスク使用量の分散バランス状態", _xlfn.REGEXTEST(C169, "Network Inbound Balance"), "ネットワークインバウンド（受信）の分散バランス状態", _xlfn.REGEXTEST(C169, "Network Outbound Balance"), "ネットワークアウトバウンド（送信）の分散バランス状態", _xlfn.REGEXTEST(C169, "Replica Count Balance"), "レプリカ数の分散バランス状態", _xlfn.REGEXTEST(C169, "Disk Capacity"), "ディスク総容量の限界・使用容量", _xlfn.REGEXTEST(C169, "CPU Capacity"), "CPU総処理能力の限界・使用量", _xlfn.REGEXTEST(C169, "Network Inbound Capacity"), "ネットワークインバウンド（受信）帯域の限界・使用量", _xlfn.REGEXTEST(C169, "Network Outbound Capacity"), "ネットワークアウトバウンド（送信）帯域の限界・使用量", _xlfn.REGEXTEST(C169, "Leader Replica Count Balance"), "リーダーレプリカ数の分散バランス状態", _xlfn.REGEXTEST(C169, "Host DNS Resolution Duration"), "ホストのDNS名前解決の所要時間", _xlfn.REGEXTEST(C169, "TLS Certificate Expiry"), "TLS証明書の有効期限切れ", _xlfn.REGEXTEST(C169, "Host Entropy"), "ホストのエントロピー（乱数生成能力）の不足", _xlfn.REGEXTEST(C169, "File Descriptor"), "プロセスのファイルディスクリプタ使用率", _xlfn.REGEXTEST(C169, "Unexpected Exits"), "プロセスの異常終了（予期せぬ停止）", _xlfn.REGEXTEST(C169, "Swap Memory Thresholds"), "プロセスのスワップメモリ使用量", _xlfn.REGEXTEST(C169, "Swap Memory Usage Rate"), "スワップメモリ使用量の変化率（増加速度）", _xlfn.REGEXTEST(C169, "Log Directory Free Space.*Absolute"), "ログディレクトリの空き容量（絶対値）", _xlfn.REGEXTEST(C169, "Log Directory Free Space.*Percentage"), "ログディレクトリの空き容量割合（%）", _xlfn.REGEXTEST(C169, "Heap Dump Directory Free Space.*Absolute"), "ヒープダンプディレクトリの空き容量（絶対値）", _xlfn.REGEXTEST(C169, "Heap Dump Directory Free Space.*Percentage"), "ヒープダンプディレクトリの空き容量割合（%）", _xlfn.REGEXTEST(C169, "Data Directory Free Space.*Absolute"), "データディレクトリの空き容量（絶対値）", _xlfn.REGEXTEST(C169, "Data Directory Free Space.*Percentage"), "データディレクトリの空き容量割合（%）", _xlfn.REGEXTEST(C169, "Transaction Log Directory Free Space.*Absolute"), "トランザクションログディレクトリの空き容量（絶対値）", _xlfn.REGEXTEST(C169, "Logging Threshold|Logger Threshold"), "ログ出力レベルの閾値設定", _xlfn.REGEXTEST(C169, "Enable.*Alerts"), "ヘルスアラートの有効化状態", _xlfn.REGEXTEST(C169, "Triggers"), "カスタムアラート条件（トリガー設定）", _xlfn.REGEXTEST(C169, "Healthy Kafka Broker"), "Kafka Brokerの健全ノード割合（稼働率）", _xlfn.REGEXTEST(C169, "Healthy Kafka Connect"), "Kafka Connectの健全ノード割合（稼働率）", _xlfn.REGEXTEST(C169, "Healthy KRaft Controller"), "KRaft Controllerの健全ノード割合（稼働率）", _xlfn.REGEXTEST(C169, "Healthy Knox IDBroker"), "Knox IDBrokerの健全ノード割合（稼働率）", _xlfn.REGEXTEST(C169, "Healthy Knox Gateway"), "Knox Gatewayの健全ノード割合（稼働率）", _xlfn.REGEXTEST(C169, "Healthy ZooKeeper Server"), "ZooKeeper Serverの健全ノード割合（稼働率）", _xlfn.REGEXTEST(C169, "Healthy NodeManager"), "NodeManagerの健全ノード割合（稼働率）", _xlfn.REGEXTEST(C169, "Maximum Latency"), "リクエストの最大レイテンシ（処理遅延）", _xlfn.REGEXTEST(C169, "Garbage Collection Duration"), "Javaのガベージコレクション（GC）の所要時間", _xlfn.REGEXTEST(C169, "Spool Directory Usage"), "Rangerプラグインのスプールディレクトリ使用量", _xlfn.REGEXTEST(C169, "Process Directory Free Space Monitoring Absolute"), "プロセスディレクトリの空き容量（絶対値)", _xlfn.REGEXTEST(C169, "Process Directory Free Space.*Percentage"), "プロセスディレクトリの空き容量割合（%）", _xlfn.REGEXTEST(C169, "Parcel Directory Free Space.*Absolute"), "パーセルディレクトリの空き容量（絶対値）", _xlfn.REGEXTEST(C169, "Parcel Directory Free Space.*Percentage"), "パーセルディレクトリの空き容量割合（%）", _xlfn.REGEXTEST(C169, "Host Network Frame Error Percentage"), "ホストのネットワークフレームエラー割合（%）", _xlfn.REGEXTEST(C169, "Network Interfaces Slow Link Modes"), "ホストのネットワークインターフェースの低速リンクモード検出", _xlfn.REGEXTEST(C169, "Host Memory Swapping"), "ホストのメモリのスワップ発生状態", TRUE, "要手動確認")</f>
        <v>空き容量（絶対値）</v>
      </c>
      <c r="H169" s="479" t="s">
        <v>935</v>
      </c>
    </row>
    <row r="170" spans="1:8" ht="33.6">
      <c r="A170" s="514"/>
      <c r="B170" s="473"/>
      <c r="C170" s="471" t="s">
        <v>816</v>
      </c>
      <c r="D170" s="471" t="s">
        <v>817</v>
      </c>
      <c r="E170" s="471" t="s">
        <v>954</v>
      </c>
      <c r="F170" s="471" t="s">
        <v>968</v>
      </c>
      <c r="G170" s="471" t="str" cm="1">
        <f t="array" ref="G170">_xlfn.IFS(C170 = "", "", _xlfn.REGEXTEST(C170, "Service Metric Migrator Minimum Consecutive Successful Checks"), "サービスメトリック移行ツールの連続正常チェック最小回数", _xlfn.REGEXTEST(C170, "Rebalancing"), "リバランシング（データ再配置）状態", _xlfn.REGEXTEST(C170, "Temporary Dump Directory"), "一時ダンプディレクトリの監視", _xlfn.REGEXTEST(C170, "Safemode Extension"), "セーフモード延長状態", _xlfn.REGEXTEST(C170, "Client Idle"), "クライアントのアイドル（待機）状態", _xlfn.REGEXTEST(C170, "Available Space Policy Balanced"), "空き容量ポリシーの分散バランス状態", _xlfn.REGEXTEST(C170, "Filesystem Checkpoint Transaction"), "ファイルシステムのチェックポイントトランザクション", _xlfn.REGEXTEST(C170, "Blocks With Corrupt Replicas Monitoring"), "破損レプリカを持つブロックの監視", _xlfn.REGEXTEST(C170, "Missing Block Monitoring"), "消失（ミッシング）ブロックの監視", _xlfn.REGEXTEST(C170, "Under-replicated Block Monitoring"), "レプリカ数不足ブロックの監視", _xlfn.REGEXTEST(C170, "HDFS Free Space Monitoring"), "HDFSの空き容量監視", _xlfn.REGEXTEST(C170, "DataNode Monitoring"), "DataNodeの稼働状態監視", _xlfn.REGEXTEST(C170, "Rules to Extract Events from Log Files"), "ログファイルからのイベント抽出ルール設定", _xlfn.REGEXTEST(C170, "Free Space Monitoring$"), "空き容量監視（一般設定）", _xlfn.REGEXTEST(C170, "Transceivers Usage"), "トランシーバー使用量（データ転送スレッド数）", _xlfn.REGEXTEST(C170, "Volume Failures"), "ボリューム障害（ディスクエラー）数", _xlfn.REGEXTEST(C170, "Block Count"), "ブロック総数", _xlfn.REGEXTEST(C170, "Audit Failure"), "監査（オーディット）ログの失敗イベント", _xlfn.REGEXTEST(C170, "Web Metric Collection Duration"), "Webメトリック収集の所要時間", _xlfn.REGEXTEST(C170, "Pause Duration"), "一時停止（ポーズ）の所要時間", _xlfn.REGEXTEST(C170, "Fsync Latency"), "Fsync（ディスク同期）のレイテンシ", _xlfn.REGEXTEST(C170, "Free Space Monitoring Absolute"), "空き容量（絶対値）", _xlfn.REGEXTEST(C170, "Free Space Monitoring Percentage"), "空き容量割合（%）", _xlfn.REGEXTEST(C170, "Age Monitoring"), "経過時間の監視", _xlfn.REGEXTEST(C170, "Transactions Monitoring"), "トランザクション数の監視", _xlfn.REGEXTEST(C170, "RPC Latency"), "RPC（遠隔手続き呼出し）のレイテンシ", _xlfn.REGEXTEST(C170, "Directory Failures"), "ディレクトリ障害数", _xlfn.REGEXTEST(C170, "Out-Of-Sync JournalNodes"), "同期ズレが発生しているJournalNode数", _xlfn.REGEXTEST(C170, "Safemode Threshold Percentage"), "セーフモード解除閾値の割合（%）", _xlfn.REGEXTEST(C170, "Kerberos Ticket Renewer Monitoring"), "Kerberosチケット更新プロセスの稼働状態監視", _xlfn.REGEXTEST(C170, "Load Balancer Monitoring"), "ロードバランサーの稼働状態監視", _xlfn.REGEXTEST(C170, "Navigator Audit Failure"), "Cloudera Navigator監査ログの失敗イベント", _xlfn.REGEXTEST(C170, "Schema Registry Server Monitoring"), "Schema Registry Serverの稼働状態監視", _xlfn.REGEXTEST(C170, "SRM Service Monitoring"), "SRMサービスの稼働状態監視", _xlfn.REGEXTEST(C170, "SRM Driver Monitoring"), "SRMドライバーの稼働状態監視", _xlfn.REGEXTEST(C170, "Loggin"), "ログ出力状態・設定監視", _xlfn.REGEXTEST(C170, "Server Monitoring"), "サーバーの稼働状態監視", _xlfn.REGEXTEST(C170, "Server Connection Count"), "サーバーの接続数（コネクション数）", _xlfn.REGEXTEST(C170, "Server Outstanding Requests"), "サーバーの未処理リクエスト数（滞留要求数）", _xlfn.REGEXTEST(C170, "Repository Status"), "リポジトリのステータス状態", _xlfn.REGEXTEST(C170, "Monitor Long Running Task"), "長時間実行タスク（ジョブ）の監視", _xlfn.REGEXTEST(C170, "Token requests per second"), "1秒あたりのトークンリクエスト数（要求レート）", _xlfn.REGEXTEST(C170, "Connection Model Score"), "接続モデルスコア（コネクション品質）", _xlfn.REGEXTEST(C170, "Queue swap"), "キューのスワップ発生状態", _xlfn.REGEXTEST(C170, "NiFi Node Monitoring"), "NiFiノードの稼働状態監視", _xlfn.REGEXTEST(C170, "Host Clock Offset"), "ホストのクロックオフセット（時刻同期のズレ）", _xlfn.REGEXTEST(C170, "Memory Overcommit Validation"), "メモリオーバーコミット設定の検証", _xlfn.REGEXTEST(C170, "Gateway Logging"), "ゲートウェイのログ出力設定", _xlfn.REGEXTEST(C170, "CPU Balance"), "CPU使用率の分散バランス状態", _xlfn.REGEXTEST(C170, "Disk Balance"), "ディスク使用量の分散バランス状態", _xlfn.REGEXTEST(C170, "Network Inbound Balance"), "ネットワークインバウンド（受信）の分散バランス状態", _xlfn.REGEXTEST(C170, "Network Outbound Balance"), "ネットワークアウトバウンド（送信）の分散バランス状態", _xlfn.REGEXTEST(C170, "Replica Count Balance"), "レプリカ数の分散バランス状態", _xlfn.REGEXTEST(C170, "Disk Capacity"), "ディスク総容量の限界・使用容量", _xlfn.REGEXTEST(C170, "CPU Capacity"), "CPU総処理能力の限界・使用量", _xlfn.REGEXTEST(C170, "Network Inbound Capacity"), "ネットワークインバウンド（受信）帯域の限界・使用量", _xlfn.REGEXTEST(C170, "Network Outbound Capacity"), "ネットワークアウトバウンド（送信）帯域の限界・使用量", _xlfn.REGEXTEST(C170, "Leader Replica Count Balance"), "リーダーレプリカ数の分散バランス状態", _xlfn.REGEXTEST(C170, "Host DNS Resolution Duration"), "ホストのDNS名前解決の所要時間", _xlfn.REGEXTEST(C170, "TLS Certificate Expiry"), "TLS証明書の有効期限切れ", _xlfn.REGEXTEST(C170, "Host Entropy"), "ホストのエントロピー（乱数生成能力）の不足", _xlfn.REGEXTEST(C170, "File Descriptor"), "プロセスのファイルディスクリプタ使用率", _xlfn.REGEXTEST(C170, "Unexpected Exits"), "プロセスの異常終了（予期せぬ停止）", _xlfn.REGEXTEST(C170, "Swap Memory Thresholds"), "プロセスのスワップメモリ使用量", _xlfn.REGEXTEST(C170, "Swap Memory Usage Rate"), "スワップメモリ使用量の変化率（増加速度）", _xlfn.REGEXTEST(C170, "Log Directory Free Space.*Absolute"), "ログディレクトリの空き容量（絶対値）", _xlfn.REGEXTEST(C170, "Log Directory Free Space.*Percentage"), "ログディレクトリの空き容量割合（%）", _xlfn.REGEXTEST(C170, "Heap Dump Directory Free Space.*Absolute"), "ヒープダンプディレクトリの空き容量（絶対値）", _xlfn.REGEXTEST(C170, "Heap Dump Directory Free Space.*Percentage"), "ヒープダンプディレクトリの空き容量割合（%）", _xlfn.REGEXTEST(C170, "Data Directory Free Space.*Absolute"), "データディレクトリの空き容量（絶対値）", _xlfn.REGEXTEST(C170, "Data Directory Free Space.*Percentage"), "データディレクトリの空き容量割合（%）", _xlfn.REGEXTEST(C170, "Transaction Log Directory Free Space.*Absolute"), "トランザクションログディレクトリの空き容量（絶対値）", _xlfn.REGEXTEST(C170, "Logging Threshold|Logger Threshold"), "ログ出力レベルの閾値設定", _xlfn.REGEXTEST(C170, "Enable.*Alerts"), "ヘルスアラートの有効化状態", _xlfn.REGEXTEST(C170, "Triggers"), "カスタムアラート条件（トリガー設定）", _xlfn.REGEXTEST(C170, "Healthy Kafka Broker"), "Kafka Brokerの健全ノード割合（稼働率）", _xlfn.REGEXTEST(C170, "Healthy Kafka Connect"), "Kafka Connectの健全ノード割合（稼働率）", _xlfn.REGEXTEST(C170, "Healthy KRaft Controller"), "KRaft Controllerの健全ノード割合（稼働率）", _xlfn.REGEXTEST(C170, "Healthy Knox IDBroker"), "Knox IDBrokerの健全ノード割合（稼働率）", _xlfn.REGEXTEST(C170, "Healthy Knox Gateway"), "Knox Gatewayの健全ノード割合（稼働率）", _xlfn.REGEXTEST(C170, "Healthy ZooKeeper Server"), "ZooKeeper Serverの健全ノード割合（稼働率）", _xlfn.REGEXTEST(C170, "Healthy NodeManager"), "NodeManagerの健全ノード割合（稼働率）", _xlfn.REGEXTEST(C170, "Maximum Latency"), "リクエストの最大レイテンシ（処理遅延）", _xlfn.REGEXTEST(C170, "Garbage Collection Duration"), "Javaのガベージコレクション（GC）の所要時間", _xlfn.REGEXTEST(C170, "Spool Directory Usage"), "Rangerプラグインのスプールディレクトリ使用量", _xlfn.REGEXTEST(C170, "Process Directory Free Space Monitoring Absolute"), "プロセスディレクトリの空き容量（絶対値)", _xlfn.REGEXTEST(C170, "Process Directory Free Space.*Percentage"), "プロセスディレクトリの空き容量割合（%）", _xlfn.REGEXTEST(C170, "Parcel Directory Free Space.*Absolute"), "パーセルディレクトリの空き容量（絶対値）", _xlfn.REGEXTEST(C170, "Parcel Directory Free Space.*Percentage"), "パーセルディレクトリの空き容量割合（%）", _xlfn.REGEXTEST(C170, "Host Network Frame Error Percentage"), "ホストのネットワークフレームエラー割合（%）", _xlfn.REGEXTEST(C170, "Network Interfaces Slow Link Modes"), "ホストのネットワークインターフェースの低速リンクモード検出", _xlfn.REGEXTEST(C170, "Host Memory Swapping"), "ホストのメモリのスワップ発生状態", TRUE, "要手動確認")</f>
        <v>空き容量割合（%）</v>
      </c>
      <c r="H170" s="479" t="s">
        <v>683</v>
      </c>
    </row>
    <row r="171" spans="1:8" ht="33.6">
      <c r="A171" s="514"/>
      <c r="B171" s="473"/>
      <c r="C171" s="471" t="s">
        <v>749</v>
      </c>
      <c r="D171" s="471" t="s">
        <v>750</v>
      </c>
      <c r="E171" s="471" t="s">
        <v>954</v>
      </c>
      <c r="F171" s="471" t="s">
        <v>969</v>
      </c>
      <c r="G171" s="471" t="str" cm="1">
        <f t="array" ref="G171">_xlfn.IFS(C171 = "", "", _xlfn.REGEXTEST(C171, "Service Metric Migrator Minimum Consecutive Successful Checks"), "サービスメトリック移行ツールの連続正常チェック最小回数", _xlfn.REGEXTEST(C171, "Rebalancing"), "リバランシング（データ再配置）状態", _xlfn.REGEXTEST(C171, "Temporary Dump Directory"), "一時ダンプディレクトリの監視", _xlfn.REGEXTEST(C171, "Safemode Extension"), "セーフモード延長状態", _xlfn.REGEXTEST(C171, "Client Idle"), "クライアントのアイドル（待機）状態", _xlfn.REGEXTEST(C171, "Available Space Policy Balanced"), "空き容量ポリシーの分散バランス状態", _xlfn.REGEXTEST(C171, "Filesystem Checkpoint Transaction"), "ファイルシステムのチェックポイントトランザクション", _xlfn.REGEXTEST(C171, "Blocks With Corrupt Replicas Monitoring"), "破損レプリカを持つブロックの監視", _xlfn.REGEXTEST(C171, "Missing Block Monitoring"), "消失（ミッシング）ブロックの監視", _xlfn.REGEXTEST(C171, "Under-replicated Block Monitoring"), "レプリカ数不足ブロックの監視", _xlfn.REGEXTEST(C171, "HDFS Free Space Monitoring"), "HDFSの空き容量監視", _xlfn.REGEXTEST(C171, "DataNode Monitoring"), "DataNodeの稼働状態監視", _xlfn.REGEXTEST(C171, "Rules to Extract Events from Log Files"), "ログファイルからのイベント抽出ルール設定", _xlfn.REGEXTEST(C171, "Free Space Monitoring$"), "空き容量監視（一般設定）", _xlfn.REGEXTEST(C171, "Transceivers Usage"), "トランシーバー使用量（データ転送スレッド数）", _xlfn.REGEXTEST(C171, "Volume Failures"), "ボリューム障害（ディスクエラー）数", _xlfn.REGEXTEST(C171, "Block Count"), "ブロック総数", _xlfn.REGEXTEST(C171, "Audit Failure"), "監査（オーディット）ログの失敗イベント", _xlfn.REGEXTEST(C171, "Web Metric Collection Duration"), "Webメトリック収集の所要時間", _xlfn.REGEXTEST(C171, "Pause Duration"), "一時停止（ポーズ）の所要時間", _xlfn.REGEXTEST(C171, "Fsync Latency"), "Fsync（ディスク同期）のレイテンシ", _xlfn.REGEXTEST(C171, "Free Space Monitoring Absolute"), "空き容量（絶対値）", _xlfn.REGEXTEST(C171, "Free Space Monitoring Percentage"), "空き容量割合（%）", _xlfn.REGEXTEST(C171, "Age Monitoring"), "経過時間の監視", _xlfn.REGEXTEST(C171, "Transactions Monitoring"), "トランザクション数の監視", _xlfn.REGEXTEST(C171, "RPC Latency"), "RPC（遠隔手続き呼出し）のレイテンシ", _xlfn.REGEXTEST(C171, "Directory Failures"), "ディレクトリ障害数", _xlfn.REGEXTEST(C171, "Out-Of-Sync JournalNodes"), "同期ズレが発生しているJournalNode数", _xlfn.REGEXTEST(C171, "Safemode Threshold Percentage"), "セーフモード解除閾値の割合（%）", _xlfn.REGEXTEST(C171, "Kerberos Ticket Renewer Monitoring"), "Kerberosチケット更新プロセスの稼働状態監視", _xlfn.REGEXTEST(C171, "Load Balancer Monitoring"), "ロードバランサーの稼働状態監視", _xlfn.REGEXTEST(C171, "Navigator Audit Failure"), "Cloudera Navigator監査ログの失敗イベント", _xlfn.REGEXTEST(C171, "Schema Registry Server Monitoring"), "Schema Registry Serverの稼働状態監視", _xlfn.REGEXTEST(C171, "SRM Service Monitoring"), "SRMサービスの稼働状態監視", _xlfn.REGEXTEST(C171, "SRM Driver Monitoring"), "SRMドライバーの稼働状態監視", _xlfn.REGEXTEST(C171, "Loggin"), "ログ出力状態・設定監視", _xlfn.REGEXTEST(C171, "Server Monitoring"), "サーバーの稼働状態監視", _xlfn.REGEXTEST(C171, "Server Connection Count"), "サーバーの接続数（コネクション数）", _xlfn.REGEXTEST(C171, "Server Outstanding Requests"), "サーバーの未処理リクエスト数（滞留要求数）", _xlfn.REGEXTEST(C171, "Repository Status"), "リポジトリのステータス状態", _xlfn.REGEXTEST(C171, "Monitor Long Running Task"), "長時間実行タスク（ジョブ）の監視", _xlfn.REGEXTEST(C171, "Token requests per second"), "1秒あたりのトークンリクエスト数（要求レート）", _xlfn.REGEXTEST(C171, "Connection Model Score"), "接続モデルスコア（コネクション品質）", _xlfn.REGEXTEST(C171, "Queue swap"), "キューのスワップ発生状態", _xlfn.REGEXTEST(C171, "NiFi Node Monitoring"), "NiFiノードの稼働状態監視", _xlfn.REGEXTEST(C171, "Host Clock Offset"), "ホストのクロックオフセット（時刻同期のズレ）", _xlfn.REGEXTEST(C171, "Memory Overcommit Validation"), "メモリオーバーコミット設定の検証", _xlfn.REGEXTEST(C171, "Gateway Logging"), "ゲートウェイのログ出力設定", _xlfn.REGEXTEST(C171, "CPU Balance"), "CPU使用率の分散バランス状態", _xlfn.REGEXTEST(C171, "Disk Balance"), "ディスク使用量の分散バランス状態", _xlfn.REGEXTEST(C171, "Network Inbound Balance"), "ネットワークインバウンド（受信）の分散バランス状態", _xlfn.REGEXTEST(C171, "Network Outbound Balance"), "ネットワークアウトバウンド（送信）の分散バランス状態", _xlfn.REGEXTEST(C171, "Replica Count Balance"), "レプリカ数の分散バランス状態", _xlfn.REGEXTEST(C171, "Disk Capacity"), "ディスク総容量の限界・使用容量", _xlfn.REGEXTEST(C171, "CPU Capacity"), "CPU総処理能力の限界・使用量", _xlfn.REGEXTEST(C171, "Network Inbound Capacity"), "ネットワークインバウンド（受信）帯域の限界・使用量", _xlfn.REGEXTEST(C171, "Network Outbound Capacity"), "ネットワークアウトバウンド（送信）帯域の限界・使用量", _xlfn.REGEXTEST(C171, "Leader Replica Count Balance"), "リーダーレプリカ数の分散バランス状態", _xlfn.REGEXTEST(C171, "Host DNS Resolution Duration"), "ホストのDNS名前解決の所要時間", _xlfn.REGEXTEST(C171, "TLS Certificate Expiry"), "TLS証明書の有効期限切れ", _xlfn.REGEXTEST(C171, "Host Entropy"), "ホストのエントロピー（乱数生成能力）の不足", _xlfn.REGEXTEST(C171, "File Descriptor"), "プロセスのファイルディスクリプタ使用率", _xlfn.REGEXTEST(C171, "Unexpected Exits"), "プロセスの異常終了（予期せぬ停止）", _xlfn.REGEXTEST(C171, "Swap Memory Thresholds"), "プロセスのスワップメモリ使用量", _xlfn.REGEXTEST(C171, "Swap Memory Usage Rate"), "スワップメモリ使用量の変化率（増加速度）", _xlfn.REGEXTEST(C171, "Log Directory Free Space.*Absolute"), "ログディレクトリの空き容量（絶対値）", _xlfn.REGEXTEST(C171, "Log Directory Free Space.*Percentage"), "ログディレクトリの空き容量割合（%）", _xlfn.REGEXTEST(C171, "Heap Dump Directory Free Space.*Absolute"), "ヒープダンプディレクトリの空き容量（絶対値）", _xlfn.REGEXTEST(C171, "Heap Dump Directory Free Space.*Percentage"), "ヒープダンプディレクトリの空き容量割合（%）", _xlfn.REGEXTEST(C171, "Data Directory Free Space.*Absolute"), "データディレクトリの空き容量（絶対値）", _xlfn.REGEXTEST(C171, "Data Directory Free Space.*Percentage"), "データディレクトリの空き容量割合（%）", _xlfn.REGEXTEST(C171, "Transaction Log Directory Free Space.*Absolute"), "トランザクションログディレクトリの空き容量（絶対値）", _xlfn.REGEXTEST(C171, "Logging Threshold|Logger Threshold"), "ログ出力レベルの閾値設定", _xlfn.REGEXTEST(C171, "Enable.*Alerts"), "ヘルスアラートの有効化状態", _xlfn.REGEXTEST(C171, "Triggers"), "カスタムアラート条件（トリガー設定）", _xlfn.REGEXTEST(C171, "Healthy Kafka Broker"), "Kafka Brokerの健全ノード割合（稼働率）", _xlfn.REGEXTEST(C171, "Healthy Kafka Connect"), "Kafka Connectの健全ノード割合（稼働率）", _xlfn.REGEXTEST(C171, "Healthy KRaft Controller"), "KRaft Controllerの健全ノード割合（稼働率）", _xlfn.REGEXTEST(C171, "Healthy Knox IDBroker"), "Knox IDBrokerの健全ノード割合（稼働率）", _xlfn.REGEXTEST(C171, "Healthy Knox Gateway"), "Knox Gatewayの健全ノード割合（稼働率）", _xlfn.REGEXTEST(C171, "Healthy ZooKeeper Server"), "ZooKeeper Serverの健全ノード割合（稼働率）", _xlfn.REGEXTEST(C171, "Healthy NodeManager"), "NodeManagerの健全ノード割合（稼働率）", _xlfn.REGEXTEST(C171, "Maximum Latency"), "リクエストの最大レイテンシ（処理遅延）", _xlfn.REGEXTEST(C171, "Garbage Collection Duration"), "Javaのガベージコレクション（GC）の所要時間", _xlfn.REGEXTEST(C171, "Spool Directory Usage"), "Rangerプラグインのスプールディレクトリ使用量", _xlfn.REGEXTEST(C171, "Process Directory Free Space Monitoring Absolute"), "プロセスディレクトリの空き容量（絶対値)", _xlfn.REGEXTEST(C171, "Process Directory Free Space.*Percentage"), "プロセスディレクトリの空き容量割合（%）", _xlfn.REGEXTEST(C171, "Parcel Directory Free Space.*Absolute"), "パーセルディレクトリの空き容量（絶対値）", _xlfn.REGEXTEST(C171, "Parcel Directory Free Space.*Percentage"), "パーセルディレクトリの空き容量割合（%）", _xlfn.REGEXTEST(C171, "Host Network Frame Error Percentage"), "ホストのネットワークフレームエラー割合（%）", _xlfn.REGEXTEST(C171, "Network Interfaces Slow Link Modes"), "ホストのネットワークインターフェースの低速リンクモード検出", _xlfn.REGEXTEST(C171, "Host Memory Swapping"), "ホストのメモリのスワップ発生状態", TRUE, "要手動確認")</f>
        <v>プロセスの異常終了（予期せぬ停止）</v>
      </c>
      <c r="H171" s="479" t="s">
        <v>751</v>
      </c>
    </row>
    <row r="172" spans="1:8" ht="33.6">
      <c r="A172" s="514"/>
      <c r="B172" s="473"/>
      <c r="C172" s="471" t="s">
        <v>755</v>
      </c>
      <c r="D172" s="471" t="s">
        <v>756</v>
      </c>
      <c r="E172" s="471" t="s">
        <v>954</v>
      </c>
      <c r="F172" s="471" t="s">
        <v>970</v>
      </c>
      <c r="G172" s="471" t="str" cm="1">
        <f t="array" ref="G172">_xlfn.IFS(C172 = "", "", _xlfn.REGEXTEST(C172, "Service Metric Migrator Minimum Consecutive Successful Checks"), "サービスメトリック移行ツールの連続正常チェック最小回数", _xlfn.REGEXTEST(C172, "Rebalancing"), "リバランシング（データ再配置）状態", _xlfn.REGEXTEST(C172, "Temporary Dump Directory"), "一時ダンプディレクトリの監視", _xlfn.REGEXTEST(C172, "Safemode Extension"), "セーフモード延長状態", _xlfn.REGEXTEST(C172, "Client Idle"), "クライアントのアイドル（待機）状態", _xlfn.REGEXTEST(C172, "Available Space Policy Balanced"), "空き容量ポリシーの分散バランス状態", _xlfn.REGEXTEST(C172, "Filesystem Checkpoint Transaction"), "ファイルシステムのチェックポイントトランザクション", _xlfn.REGEXTEST(C172, "Blocks With Corrupt Replicas Monitoring"), "破損レプリカを持つブロックの監視", _xlfn.REGEXTEST(C172, "Missing Block Monitoring"), "消失（ミッシング）ブロックの監視", _xlfn.REGEXTEST(C172, "Under-replicated Block Monitoring"), "レプリカ数不足ブロックの監視", _xlfn.REGEXTEST(C172, "HDFS Free Space Monitoring"), "HDFSの空き容量監視", _xlfn.REGEXTEST(C172, "DataNode Monitoring"), "DataNodeの稼働状態監視", _xlfn.REGEXTEST(C172, "Rules to Extract Events from Log Files"), "ログファイルからのイベント抽出ルール設定", _xlfn.REGEXTEST(C172, "Free Space Monitoring$"), "空き容量監視（一般設定）", _xlfn.REGEXTEST(C172, "Transceivers Usage"), "トランシーバー使用量（データ転送スレッド数）", _xlfn.REGEXTEST(C172, "Volume Failures"), "ボリューム障害（ディスクエラー）数", _xlfn.REGEXTEST(C172, "Block Count"), "ブロック総数", _xlfn.REGEXTEST(C172, "Audit Failure"), "監査（オーディット）ログの失敗イベント", _xlfn.REGEXTEST(C172, "Web Metric Collection Duration"), "Webメトリック収集の所要時間", _xlfn.REGEXTEST(C172, "Pause Duration"), "一時停止（ポーズ）の所要時間", _xlfn.REGEXTEST(C172, "Fsync Latency"), "Fsync（ディスク同期）のレイテンシ", _xlfn.REGEXTEST(C172, "Free Space Monitoring Absolute"), "空き容量（絶対値）", _xlfn.REGEXTEST(C172, "Free Space Monitoring Percentage"), "空き容量割合（%）", _xlfn.REGEXTEST(C172, "Age Monitoring"), "経過時間の監視", _xlfn.REGEXTEST(C172, "Transactions Monitoring"), "トランザクション数の監視", _xlfn.REGEXTEST(C172, "RPC Latency"), "RPC（遠隔手続き呼出し）のレイテンシ", _xlfn.REGEXTEST(C172, "Directory Failures"), "ディレクトリ障害数", _xlfn.REGEXTEST(C172, "Out-Of-Sync JournalNodes"), "同期ズレが発生しているJournalNode数", _xlfn.REGEXTEST(C172, "Safemode Threshold Percentage"), "セーフモード解除閾値の割合（%）", _xlfn.REGEXTEST(C172, "Kerberos Ticket Renewer Monitoring"), "Kerberosチケット更新プロセスの稼働状態監視", _xlfn.REGEXTEST(C172, "Load Balancer Monitoring"), "ロードバランサーの稼働状態監視", _xlfn.REGEXTEST(C172, "Navigator Audit Failure"), "Cloudera Navigator監査ログの失敗イベント", _xlfn.REGEXTEST(C172, "Schema Registry Server Monitoring"), "Schema Registry Serverの稼働状態監視", _xlfn.REGEXTEST(C172, "SRM Service Monitoring"), "SRMサービスの稼働状態監視", _xlfn.REGEXTEST(C172, "SRM Driver Monitoring"), "SRMドライバーの稼働状態監視", _xlfn.REGEXTEST(C172, "Loggin"), "ログ出力状態・設定監視", _xlfn.REGEXTEST(C172, "Server Monitoring"), "サーバーの稼働状態監視", _xlfn.REGEXTEST(C172, "Server Connection Count"), "サーバーの接続数（コネクション数）", _xlfn.REGEXTEST(C172, "Server Outstanding Requests"), "サーバーの未処理リクエスト数（滞留要求数）", _xlfn.REGEXTEST(C172, "Repository Status"), "リポジトリのステータス状態", _xlfn.REGEXTEST(C172, "Monitor Long Running Task"), "長時間実行タスク（ジョブ）の監視", _xlfn.REGEXTEST(C172, "Token requests per second"), "1秒あたりのトークンリクエスト数（要求レート）", _xlfn.REGEXTEST(C172, "Connection Model Score"), "接続モデルスコア（コネクション品質）", _xlfn.REGEXTEST(C172, "Queue swap"), "キューのスワップ発生状態", _xlfn.REGEXTEST(C172, "NiFi Node Monitoring"), "NiFiノードの稼働状態監視", _xlfn.REGEXTEST(C172, "Host Clock Offset"), "ホストのクロックオフセット（時刻同期のズレ）", _xlfn.REGEXTEST(C172, "Memory Overcommit Validation"), "メモリオーバーコミット設定の検証", _xlfn.REGEXTEST(C172, "Gateway Logging"), "ゲートウェイのログ出力設定", _xlfn.REGEXTEST(C172, "CPU Balance"), "CPU使用率の分散バランス状態", _xlfn.REGEXTEST(C172, "Disk Balance"), "ディスク使用量の分散バランス状態", _xlfn.REGEXTEST(C172, "Network Inbound Balance"), "ネットワークインバウンド（受信）の分散バランス状態", _xlfn.REGEXTEST(C172, "Network Outbound Balance"), "ネットワークアウトバウンド（送信）の分散バランス状態", _xlfn.REGEXTEST(C172, "Replica Count Balance"), "レプリカ数の分散バランス状態", _xlfn.REGEXTEST(C172, "Disk Capacity"), "ディスク総容量の限界・使用容量", _xlfn.REGEXTEST(C172, "CPU Capacity"), "CPU総処理能力の限界・使用量", _xlfn.REGEXTEST(C172, "Network Inbound Capacity"), "ネットワークインバウンド（受信）帯域の限界・使用量", _xlfn.REGEXTEST(C172, "Network Outbound Capacity"), "ネットワークアウトバウンド（送信）帯域の限界・使用量", _xlfn.REGEXTEST(C172, "Leader Replica Count Balance"), "リーダーレプリカ数の分散バランス状態", _xlfn.REGEXTEST(C172, "Host DNS Resolution Duration"), "ホストのDNS名前解決の所要時間", _xlfn.REGEXTEST(C172, "TLS Certificate Expiry"), "TLS証明書の有効期限切れ", _xlfn.REGEXTEST(C172, "Host Entropy"), "ホストのエントロピー（乱数生成能力）の不足", _xlfn.REGEXTEST(C172, "File Descriptor"), "プロセスのファイルディスクリプタ使用率", _xlfn.REGEXTEST(C172, "Unexpected Exits"), "プロセスの異常終了（予期せぬ停止）", _xlfn.REGEXTEST(C172, "Swap Memory Thresholds"), "プロセスのスワップメモリ使用量", _xlfn.REGEXTEST(C172, "Swap Memory Usage Rate"), "スワップメモリ使用量の変化率（増加速度）", _xlfn.REGEXTEST(C172, "Log Directory Free Space.*Absolute"), "ログディレクトリの空き容量（絶対値）", _xlfn.REGEXTEST(C172, "Log Directory Free Space.*Percentage"), "ログディレクトリの空き容量割合（%）", _xlfn.REGEXTEST(C172, "Heap Dump Directory Free Space.*Absolute"), "ヒープダンプディレクトリの空き容量（絶対値）", _xlfn.REGEXTEST(C172, "Heap Dump Directory Free Space.*Percentage"), "ヒープダンプディレクトリの空き容量割合（%）", _xlfn.REGEXTEST(C172, "Data Directory Free Space.*Absolute"), "データディレクトリの空き容量（絶対値）", _xlfn.REGEXTEST(C172, "Data Directory Free Space.*Percentage"), "データディレクトリの空き容量割合（%）", _xlfn.REGEXTEST(C172, "Transaction Log Directory Free Space.*Absolute"), "トランザクションログディレクトリの空き容量（絶対値）", _xlfn.REGEXTEST(C172, "Logging Threshold|Logger Threshold"), "ログ出力レベルの閾値設定", _xlfn.REGEXTEST(C172, "Enable.*Alerts"), "ヘルスアラートの有効化状態", _xlfn.REGEXTEST(C172, "Triggers"), "カスタムアラート条件（トリガー設定）", _xlfn.REGEXTEST(C172, "Healthy Kafka Broker"), "Kafka Brokerの健全ノード割合（稼働率）", _xlfn.REGEXTEST(C172, "Healthy Kafka Connect"), "Kafka Connectの健全ノード割合（稼働率）", _xlfn.REGEXTEST(C172, "Healthy KRaft Controller"), "KRaft Controllerの健全ノード割合（稼働率）", _xlfn.REGEXTEST(C172, "Healthy Knox IDBroker"), "Knox IDBrokerの健全ノード割合（稼働率）", _xlfn.REGEXTEST(C172, "Healthy Knox Gateway"), "Knox Gatewayの健全ノード割合（稼働率）", _xlfn.REGEXTEST(C172, "Healthy ZooKeeper Server"), "ZooKeeper Serverの健全ノード割合（稼働率）", _xlfn.REGEXTEST(C172, "Healthy NodeManager"), "NodeManagerの健全ノード割合（稼働率）", _xlfn.REGEXTEST(C172, "Maximum Latency"), "リクエストの最大レイテンシ（処理遅延）", _xlfn.REGEXTEST(C172, "Garbage Collection Duration"), "Javaのガベージコレクション（GC）の所要時間", _xlfn.REGEXTEST(C172, "Spool Directory Usage"), "Rangerプラグインのスプールディレクトリ使用量", _xlfn.REGEXTEST(C172, "Process Directory Free Space Monitoring Absolute"), "プロセスディレクトリの空き容量（絶対値)", _xlfn.REGEXTEST(C172, "Process Directory Free Space.*Percentage"), "プロセスディレクトリの空き容量割合（%）", _xlfn.REGEXTEST(C172, "Parcel Directory Free Space.*Absolute"), "パーセルディレクトリの空き容量（絶対値）", _xlfn.REGEXTEST(C172, "Parcel Directory Free Space.*Percentage"), "パーセルディレクトリの空き容量割合（%）", _xlfn.REGEXTEST(C172, "Host Network Frame Error Percentage"), "ホストのネットワークフレームエラー割合（%）", _xlfn.REGEXTEST(C172, "Network Interfaces Slow Link Modes"), "ホストのネットワークインターフェースの低速リンクモード検出", _xlfn.REGEXTEST(C172, "Host Memory Swapping"), "ホストのメモリのスワップ発生状態", TRUE, "要手動確認")</f>
        <v>プロセスのスワップメモリ使用量</v>
      </c>
      <c r="H172" s="479" t="s">
        <v>971</v>
      </c>
    </row>
    <row r="173" spans="1:8" ht="33.6">
      <c r="A173" s="514"/>
      <c r="B173" s="473"/>
      <c r="C173" s="471" t="s">
        <v>758</v>
      </c>
      <c r="D173" s="471" t="s">
        <v>759</v>
      </c>
      <c r="E173" s="471" t="s">
        <v>954</v>
      </c>
      <c r="F173" s="471" t="s">
        <v>972</v>
      </c>
      <c r="G173" s="471" t="str" cm="1">
        <f t="array" ref="G173">_xlfn.IFS(C173 = "", "", _xlfn.REGEXTEST(C173, "Service Metric Migrator Minimum Consecutive Successful Checks"), "サービスメトリック移行ツールの連続正常チェック最小回数", _xlfn.REGEXTEST(C173, "Rebalancing"), "リバランシング（データ再配置）状態", _xlfn.REGEXTEST(C173, "Temporary Dump Directory"), "一時ダンプディレクトリの監視", _xlfn.REGEXTEST(C173, "Safemode Extension"), "セーフモード延長状態", _xlfn.REGEXTEST(C173, "Client Idle"), "クライアントのアイドル（待機）状態", _xlfn.REGEXTEST(C173, "Available Space Policy Balanced"), "空き容量ポリシーの分散バランス状態", _xlfn.REGEXTEST(C173, "Filesystem Checkpoint Transaction"), "ファイルシステムのチェックポイントトランザクション", _xlfn.REGEXTEST(C173, "Blocks With Corrupt Replicas Monitoring"), "破損レプリカを持つブロックの監視", _xlfn.REGEXTEST(C173, "Missing Block Monitoring"), "消失（ミッシング）ブロックの監視", _xlfn.REGEXTEST(C173, "Under-replicated Block Monitoring"), "レプリカ数不足ブロックの監視", _xlfn.REGEXTEST(C173, "HDFS Free Space Monitoring"), "HDFSの空き容量監視", _xlfn.REGEXTEST(C173, "DataNode Monitoring"), "DataNodeの稼働状態監視", _xlfn.REGEXTEST(C173, "Rules to Extract Events from Log Files"), "ログファイルからのイベント抽出ルール設定", _xlfn.REGEXTEST(C173, "Free Space Monitoring$"), "空き容量監視（一般設定）", _xlfn.REGEXTEST(C173, "Transceivers Usage"), "トランシーバー使用量（データ転送スレッド数）", _xlfn.REGEXTEST(C173, "Volume Failures"), "ボリューム障害（ディスクエラー）数", _xlfn.REGEXTEST(C173, "Block Count"), "ブロック総数", _xlfn.REGEXTEST(C173, "Audit Failure"), "監査（オーディット）ログの失敗イベント", _xlfn.REGEXTEST(C173, "Web Metric Collection Duration"), "Webメトリック収集の所要時間", _xlfn.REGEXTEST(C173, "Pause Duration"), "一時停止（ポーズ）の所要時間", _xlfn.REGEXTEST(C173, "Fsync Latency"), "Fsync（ディスク同期）のレイテンシ", _xlfn.REGEXTEST(C173, "Free Space Monitoring Absolute"), "空き容量（絶対値）", _xlfn.REGEXTEST(C173, "Free Space Monitoring Percentage"), "空き容量割合（%）", _xlfn.REGEXTEST(C173, "Age Monitoring"), "経過時間の監視", _xlfn.REGEXTEST(C173, "Transactions Monitoring"), "トランザクション数の監視", _xlfn.REGEXTEST(C173, "RPC Latency"), "RPC（遠隔手続き呼出し）のレイテンシ", _xlfn.REGEXTEST(C173, "Directory Failures"), "ディレクトリ障害数", _xlfn.REGEXTEST(C173, "Out-Of-Sync JournalNodes"), "同期ズレが発生しているJournalNode数", _xlfn.REGEXTEST(C173, "Safemode Threshold Percentage"), "セーフモード解除閾値の割合（%）", _xlfn.REGEXTEST(C173, "Kerberos Ticket Renewer Monitoring"), "Kerberosチケット更新プロセスの稼働状態監視", _xlfn.REGEXTEST(C173, "Load Balancer Monitoring"), "ロードバランサーの稼働状態監視", _xlfn.REGEXTEST(C173, "Navigator Audit Failure"), "Cloudera Navigator監査ログの失敗イベント", _xlfn.REGEXTEST(C173, "Schema Registry Server Monitoring"), "Schema Registry Serverの稼働状態監視", _xlfn.REGEXTEST(C173, "SRM Service Monitoring"), "SRMサービスの稼働状態監視", _xlfn.REGEXTEST(C173, "SRM Driver Monitoring"), "SRMドライバーの稼働状態監視", _xlfn.REGEXTEST(C173, "Loggin"), "ログ出力状態・設定監視", _xlfn.REGEXTEST(C173, "Server Monitoring"), "サーバーの稼働状態監視", _xlfn.REGEXTEST(C173, "Server Connection Count"), "サーバーの接続数（コネクション数）", _xlfn.REGEXTEST(C173, "Server Outstanding Requests"), "サーバーの未処理リクエスト数（滞留要求数）", _xlfn.REGEXTEST(C173, "Repository Status"), "リポジトリのステータス状態", _xlfn.REGEXTEST(C173, "Monitor Long Running Task"), "長時間実行タスク（ジョブ）の監視", _xlfn.REGEXTEST(C173, "Token requests per second"), "1秒あたりのトークンリクエスト数（要求レート）", _xlfn.REGEXTEST(C173, "Connection Model Score"), "接続モデルスコア（コネクション品質）", _xlfn.REGEXTEST(C173, "Queue swap"), "キューのスワップ発生状態", _xlfn.REGEXTEST(C173, "NiFi Node Monitoring"), "NiFiノードの稼働状態監視", _xlfn.REGEXTEST(C173, "Host Clock Offset"), "ホストのクロックオフセット（時刻同期のズレ）", _xlfn.REGEXTEST(C173, "Memory Overcommit Validation"), "メモリオーバーコミット設定の検証", _xlfn.REGEXTEST(C173, "Gateway Logging"), "ゲートウェイのログ出力設定", _xlfn.REGEXTEST(C173, "CPU Balance"), "CPU使用率の分散バランス状態", _xlfn.REGEXTEST(C173, "Disk Balance"), "ディスク使用量の分散バランス状態", _xlfn.REGEXTEST(C173, "Network Inbound Balance"), "ネットワークインバウンド（受信）の分散バランス状態", _xlfn.REGEXTEST(C173, "Network Outbound Balance"), "ネットワークアウトバウンド（送信）の分散バランス状態", _xlfn.REGEXTEST(C173, "Replica Count Balance"), "レプリカ数の分散バランス状態", _xlfn.REGEXTEST(C173, "Disk Capacity"), "ディスク総容量の限界・使用容量", _xlfn.REGEXTEST(C173, "CPU Capacity"), "CPU総処理能力の限界・使用量", _xlfn.REGEXTEST(C173, "Network Inbound Capacity"), "ネットワークインバウンド（受信）帯域の限界・使用量", _xlfn.REGEXTEST(C173, "Network Outbound Capacity"), "ネットワークアウトバウンド（送信）帯域の限界・使用量", _xlfn.REGEXTEST(C173, "Leader Replica Count Balance"), "リーダーレプリカ数の分散バランス状態", _xlfn.REGEXTEST(C173, "Host DNS Resolution Duration"), "ホストのDNS名前解決の所要時間", _xlfn.REGEXTEST(C173, "TLS Certificate Expiry"), "TLS証明書の有効期限切れ", _xlfn.REGEXTEST(C173, "Host Entropy"), "ホストのエントロピー（乱数生成能力）の不足", _xlfn.REGEXTEST(C173, "File Descriptor"), "プロセスのファイルディスクリプタ使用率", _xlfn.REGEXTEST(C173, "Unexpected Exits"), "プロセスの異常終了（予期せぬ停止）", _xlfn.REGEXTEST(C173, "Swap Memory Thresholds"), "プロセスのスワップメモリ使用量", _xlfn.REGEXTEST(C173, "Swap Memory Usage Rate"), "スワップメモリ使用量の変化率（増加速度）", _xlfn.REGEXTEST(C173, "Log Directory Free Space.*Absolute"), "ログディレクトリの空き容量（絶対値）", _xlfn.REGEXTEST(C173, "Log Directory Free Space.*Percentage"), "ログディレクトリの空き容量割合（%）", _xlfn.REGEXTEST(C173, "Heap Dump Directory Free Space.*Absolute"), "ヒープダンプディレクトリの空き容量（絶対値）", _xlfn.REGEXTEST(C173, "Heap Dump Directory Free Space.*Percentage"), "ヒープダンプディレクトリの空き容量割合（%）", _xlfn.REGEXTEST(C173, "Data Directory Free Space.*Absolute"), "データディレクトリの空き容量（絶対値）", _xlfn.REGEXTEST(C173, "Data Directory Free Space.*Percentage"), "データディレクトリの空き容量割合（%）", _xlfn.REGEXTEST(C173, "Transaction Log Directory Free Space.*Absolute"), "トランザクションログディレクトリの空き容量（絶対値）", _xlfn.REGEXTEST(C173, "Logging Threshold|Logger Threshold"), "ログ出力レベルの閾値設定", _xlfn.REGEXTEST(C173, "Enable.*Alerts"), "ヘルスアラートの有効化状態", _xlfn.REGEXTEST(C173, "Triggers"), "カスタムアラート条件（トリガー設定）", _xlfn.REGEXTEST(C173, "Healthy Kafka Broker"), "Kafka Brokerの健全ノード割合（稼働率）", _xlfn.REGEXTEST(C173, "Healthy Kafka Connect"), "Kafka Connectの健全ノード割合（稼働率）", _xlfn.REGEXTEST(C173, "Healthy KRaft Controller"), "KRaft Controllerの健全ノード割合（稼働率）", _xlfn.REGEXTEST(C173, "Healthy Knox IDBroker"), "Knox IDBrokerの健全ノード割合（稼働率）", _xlfn.REGEXTEST(C173, "Healthy Knox Gateway"), "Knox Gatewayの健全ノード割合（稼働率）", _xlfn.REGEXTEST(C173, "Healthy ZooKeeper Server"), "ZooKeeper Serverの健全ノード割合（稼働率）", _xlfn.REGEXTEST(C173, "Healthy NodeManager"), "NodeManagerの健全ノード割合（稼働率）", _xlfn.REGEXTEST(C173, "Maximum Latency"), "リクエストの最大レイテンシ（処理遅延）", _xlfn.REGEXTEST(C173, "Garbage Collection Duration"), "Javaのガベージコレクション（GC）の所要時間", _xlfn.REGEXTEST(C173, "Spool Directory Usage"), "Rangerプラグインのスプールディレクトリ使用量", _xlfn.REGEXTEST(C173, "Process Directory Free Space Monitoring Absolute"), "プロセスディレクトリの空き容量（絶対値)", _xlfn.REGEXTEST(C173, "Process Directory Free Space.*Percentage"), "プロセスディレクトリの空き容量割合（%）", _xlfn.REGEXTEST(C173, "Parcel Directory Free Space.*Absolute"), "パーセルディレクトリの空き容量（絶対値）", _xlfn.REGEXTEST(C173, "Parcel Directory Free Space.*Percentage"), "パーセルディレクトリの空き容量割合（%）", _xlfn.REGEXTEST(C173, "Host Network Frame Error Percentage"), "ホストのネットワークフレームエラー割合（%）", _xlfn.REGEXTEST(C173, "Network Interfaces Slow Link Modes"), "ホストのネットワークインターフェースの低速リンクモード検出", _xlfn.REGEXTEST(C173, "Host Memory Swapping"), "ホストのメモリのスワップ発生状態", TRUE, "要手動確認")</f>
        <v>スワップメモリ使用量の変化率（増加速度）</v>
      </c>
      <c r="H173" s="479" t="s">
        <v>683</v>
      </c>
    </row>
    <row r="174" spans="1:8" ht="33.6">
      <c r="A174" s="514"/>
      <c r="B174" s="473"/>
      <c r="C174" s="471" t="s">
        <v>820</v>
      </c>
      <c r="D174" s="471" t="s">
        <v>973</v>
      </c>
      <c r="E174" s="471" t="s">
        <v>954</v>
      </c>
      <c r="F174" s="471" t="s">
        <v>974</v>
      </c>
      <c r="G174" s="471" t="str" cm="1">
        <f t="array" ref="G174">_xlfn.IFS(C174 = "", "", _xlfn.REGEXTEST(C174, "Service Metric Migrator Minimum Consecutive Successful Checks"), "サービスメトリック移行ツールの連続正常チェック最小回数", _xlfn.REGEXTEST(C174, "Rebalancing"), "リバランシング（データ再配置）状態", _xlfn.REGEXTEST(C174, "Temporary Dump Directory"), "一時ダンプディレクトリの監視", _xlfn.REGEXTEST(C174, "Safemode Extension"), "セーフモード延長状態", _xlfn.REGEXTEST(C174, "Client Idle"), "クライアントのアイドル（待機）状態", _xlfn.REGEXTEST(C174, "Available Space Policy Balanced"), "空き容量ポリシーの分散バランス状態", _xlfn.REGEXTEST(C174, "Filesystem Checkpoint Transaction"), "ファイルシステムのチェックポイントトランザクション", _xlfn.REGEXTEST(C174, "Blocks With Corrupt Replicas Monitoring"), "破損レプリカを持つブロックの監視", _xlfn.REGEXTEST(C174, "Missing Block Monitoring"), "消失（ミッシング）ブロックの監視", _xlfn.REGEXTEST(C174, "Under-replicated Block Monitoring"), "レプリカ数不足ブロックの監視", _xlfn.REGEXTEST(C174, "HDFS Free Space Monitoring"), "HDFSの空き容量監視", _xlfn.REGEXTEST(C174, "DataNode Monitoring"), "DataNodeの稼働状態監視", _xlfn.REGEXTEST(C174, "Rules to Extract Events from Log Files"), "ログファイルからのイベント抽出ルール設定", _xlfn.REGEXTEST(C174, "Free Space Monitoring$"), "空き容量監視（一般設定）", _xlfn.REGEXTEST(C174, "Transceivers Usage"), "トランシーバー使用量（データ転送スレッド数）", _xlfn.REGEXTEST(C174, "Volume Failures"), "ボリューム障害（ディスクエラー）数", _xlfn.REGEXTEST(C174, "Block Count"), "ブロック総数", _xlfn.REGEXTEST(C174, "Audit Failure"), "監査（オーディット）ログの失敗イベント", _xlfn.REGEXTEST(C174, "Web Metric Collection Duration"), "Webメトリック収集の所要時間", _xlfn.REGEXTEST(C174, "Pause Duration"), "一時停止（ポーズ）の所要時間", _xlfn.REGEXTEST(C174, "Fsync Latency"), "Fsync（ディスク同期）のレイテンシ", _xlfn.REGEXTEST(C174, "Free Space Monitoring Absolute"), "空き容量（絶対値）", _xlfn.REGEXTEST(C174, "Free Space Monitoring Percentage"), "空き容量割合（%）", _xlfn.REGEXTEST(C174, "Age Monitoring"), "経過時間の監視", _xlfn.REGEXTEST(C174, "Transactions Monitoring"), "トランザクション数の監視", _xlfn.REGEXTEST(C174, "RPC Latency"), "RPC（遠隔手続き呼出し）のレイテンシ", _xlfn.REGEXTEST(C174, "Directory Failures"), "ディレクトリ障害数", _xlfn.REGEXTEST(C174, "Out-Of-Sync JournalNodes"), "同期ズレが発生しているJournalNode数", _xlfn.REGEXTEST(C174, "Safemode Threshold Percentage"), "セーフモード解除閾値の割合（%）", _xlfn.REGEXTEST(C174, "Kerberos Ticket Renewer Monitoring"), "Kerberosチケット更新プロセスの稼働状態監視", _xlfn.REGEXTEST(C174, "Load Balancer Monitoring"), "ロードバランサーの稼働状態監視", _xlfn.REGEXTEST(C174, "Navigator Audit Failure"), "Cloudera Navigator監査ログの失敗イベント", _xlfn.REGEXTEST(C174, "Schema Registry Server Monitoring"), "Schema Registry Serverの稼働状態監視", _xlfn.REGEXTEST(C174, "SRM Service Monitoring"), "SRMサービスの稼働状態監視", _xlfn.REGEXTEST(C174, "SRM Driver Monitoring"), "SRMドライバーの稼働状態監視", _xlfn.REGEXTEST(C174, "Loggin"), "ログ出力状態・設定監視", _xlfn.REGEXTEST(C174, "Server Monitoring"), "サーバーの稼働状態監視", _xlfn.REGEXTEST(C174, "Server Connection Count"), "サーバーの接続数（コネクション数）", _xlfn.REGEXTEST(C174, "Server Outstanding Requests"), "サーバーの未処理リクエスト数（滞留要求数）", _xlfn.REGEXTEST(C174, "Repository Status"), "リポジトリのステータス状態", _xlfn.REGEXTEST(C174, "Monitor Long Running Task"), "長時間実行タスク（ジョブ）の監視", _xlfn.REGEXTEST(C174, "Token requests per second"), "1秒あたりのトークンリクエスト数（要求レート）", _xlfn.REGEXTEST(C174, "Connection Model Score"), "接続モデルスコア（コネクション品質）", _xlfn.REGEXTEST(C174, "Queue swap"), "キューのスワップ発生状態", _xlfn.REGEXTEST(C174, "NiFi Node Monitoring"), "NiFiノードの稼働状態監視", _xlfn.REGEXTEST(C174, "Host Clock Offset"), "ホストのクロックオフセット（時刻同期のズレ）", _xlfn.REGEXTEST(C174, "Memory Overcommit Validation"), "メモリオーバーコミット設定の検証", _xlfn.REGEXTEST(C174, "Gateway Logging"), "ゲートウェイのログ出力設定", _xlfn.REGEXTEST(C174, "CPU Balance"), "CPU使用率の分散バランス状態", _xlfn.REGEXTEST(C174, "Disk Balance"), "ディスク使用量の分散バランス状態", _xlfn.REGEXTEST(C174, "Network Inbound Balance"), "ネットワークインバウンド（受信）の分散バランス状態", _xlfn.REGEXTEST(C174, "Network Outbound Balance"), "ネットワークアウトバウンド（送信）の分散バランス状態", _xlfn.REGEXTEST(C174, "Replica Count Balance"), "レプリカ数の分散バランス状態", _xlfn.REGEXTEST(C174, "Disk Capacity"), "ディスク総容量の限界・使用容量", _xlfn.REGEXTEST(C174, "CPU Capacity"), "CPU総処理能力の限界・使用量", _xlfn.REGEXTEST(C174, "Network Inbound Capacity"), "ネットワークインバウンド（受信）帯域の限界・使用量", _xlfn.REGEXTEST(C174, "Network Outbound Capacity"), "ネットワークアウトバウンド（送信）帯域の限界・使用量", _xlfn.REGEXTEST(C174, "Leader Replica Count Balance"), "リーダーレプリカ数の分散バランス状態", _xlfn.REGEXTEST(C174, "Host DNS Resolution Duration"), "ホストのDNS名前解決の所要時間", _xlfn.REGEXTEST(C174, "TLS Certificate Expiry"), "TLS証明書の有効期限切れ", _xlfn.REGEXTEST(C174, "Host Entropy"), "ホストのエントロピー（乱数生成能力）の不足", _xlfn.REGEXTEST(C174, "File Descriptor"), "プロセスのファイルディスクリプタ使用率", _xlfn.REGEXTEST(C174, "Unexpected Exits"), "プロセスの異常終了（予期せぬ停止）", _xlfn.REGEXTEST(C174, "Swap Memory Thresholds"), "プロセスのスワップメモリ使用量", _xlfn.REGEXTEST(C174, "Swap Memory Usage Rate"), "スワップメモリ使用量の変化率（増加速度）", _xlfn.REGEXTEST(C174, "Log Directory Free Space.*Absolute"), "ログディレクトリの空き容量（絶対値）", _xlfn.REGEXTEST(C174, "Log Directory Free Space.*Percentage"), "ログディレクトリの空き容量割合（%）", _xlfn.REGEXTEST(C174, "Heap Dump Directory Free Space.*Absolute"), "ヒープダンプディレクトリの空き容量（絶対値）", _xlfn.REGEXTEST(C174, "Heap Dump Directory Free Space.*Percentage"), "ヒープダンプディレクトリの空き容量割合（%）", _xlfn.REGEXTEST(C174, "Data Directory Free Space.*Absolute"), "データディレクトリの空き容量（絶対値）", _xlfn.REGEXTEST(C174, "Data Directory Free Space.*Percentage"), "データディレクトリの空き容量割合（%）", _xlfn.REGEXTEST(C174, "Transaction Log Directory Free Space.*Absolute"), "トランザクションログディレクトリの空き容量（絶対値）", _xlfn.REGEXTEST(C174, "Logging Threshold|Logger Threshold"), "ログ出力レベルの閾値設定", _xlfn.REGEXTEST(C174, "Enable.*Alerts"), "ヘルスアラートの有効化状態", _xlfn.REGEXTEST(C174, "Triggers"), "カスタムアラート条件（トリガー設定）", _xlfn.REGEXTEST(C174, "Healthy Kafka Broker"), "Kafka Brokerの健全ノード割合（稼働率）", _xlfn.REGEXTEST(C174, "Healthy Kafka Connect"), "Kafka Connectの健全ノード割合（稼働率）", _xlfn.REGEXTEST(C174, "Healthy KRaft Controller"), "KRaft Controllerの健全ノード割合（稼働率）", _xlfn.REGEXTEST(C174, "Healthy Knox IDBroker"), "Knox IDBrokerの健全ノード割合（稼働率）", _xlfn.REGEXTEST(C174, "Healthy Knox Gateway"), "Knox Gatewayの健全ノード割合（稼働率）", _xlfn.REGEXTEST(C174, "Healthy ZooKeeper Server"), "ZooKeeper Serverの健全ノード割合（稼働率）", _xlfn.REGEXTEST(C174, "Healthy NodeManager"), "NodeManagerの健全ノード割合（稼働率）", _xlfn.REGEXTEST(C174, "Maximum Latency"), "リクエストの最大レイテンシ（処理遅延）", _xlfn.REGEXTEST(C174, "Garbage Collection Duration"), "Javaのガベージコレクション（GC）の所要時間", _xlfn.REGEXTEST(C174, "Spool Directory Usage"), "Rangerプラグインのスプールディレクトリ使用量", _xlfn.REGEXTEST(C174, "Process Directory Free Space Monitoring Absolute"), "プロセスディレクトリの空き容量（絶対値)", _xlfn.REGEXTEST(C174, "Process Directory Free Space.*Percentage"), "プロセスディレクトリの空き容量割合（%）", _xlfn.REGEXTEST(C174, "Parcel Directory Free Space.*Absolute"), "パーセルディレクトリの空き容量（絶対値）", _xlfn.REGEXTEST(C174, "Parcel Directory Free Space.*Percentage"), "パーセルディレクトリの空き容量割合（%）", _xlfn.REGEXTEST(C174, "Host Network Frame Error Percentage"), "ホストのネットワークフレームエラー割合（%）", _xlfn.REGEXTEST(C174, "Network Interfaces Slow Link Modes"), "ホストのネットワークインターフェースの低速リンクモード検出", _xlfn.REGEXTEST(C174, "Host Memory Swapping"), "ホストのメモリのスワップ発生状態", TRUE, "要手動確認")</f>
        <v>Javaのガベージコレクション（GC）の所要時間</v>
      </c>
      <c r="H174" s="479" t="s">
        <v>975</v>
      </c>
    </row>
    <row r="175" spans="1:8" ht="33.6">
      <c r="A175" s="514"/>
      <c r="B175" s="473"/>
      <c r="C175" s="471" t="s">
        <v>823</v>
      </c>
      <c r="D175" s="471" t="s">
        <v>824</v>
      </c>
      <c r="E175" s="471" t="s">
        <v>954</v>
      </c>
      <c r="F175" s="471" t="s">
        <v>976</v>
      </c>
      <c r="G175" s="471" t="str" cm="1">
        <f t="array" ref="G175">_xlfn.IFS(C175 = "", "", _xlfn.REGEXTEST(C175, "Service Metric Migrator Minimum Consecutive Successful Checks"), "サービスメトリック移行ツールの連続正常チェック最小回数", _xlfn.REGEXTEST(C175, "Rebalancing"), "リバランシング（データ再配置）状態", _xlfn.REGEXTEST(C175, "Temporary Dump Directory"), "一時ダンプディレクトリの監視", _xlfn.REGEXTEST(C175, "Safemode Extension"), "セーフモード延長状態", _xlfn.REGEXTEST(C175, "Client Idle"), "クライアントのアイドル（待機）状態", _xlfn.REGEXTEST(C175, "Available Space Policy Balanced"), "空き容量ポリシーの分散バランス状態", _xlfn.REGEXTEST(C175, "Filesystem Checkpoint Transaction"), "ファイルシステムのチェックポイントトランザクション", _xlfn.REGEXTEST(C175, "Blocks With Corrupt Replicas Monitoring"), "破損レプリカを持つブロックの監視", _xlfn.REGEXTEST(C175, "Missing Block Monitoring"), "消失（ミッシング）ブロックの監視", _xlfn.REGEXTEST(C175, "Under-replicated Block Monitoring"), "レプリカ数不足ブロックの監視", _xlfn.REGEXTEST(C175, "HDFS Free Space Monitoring"), "HDFSの空き容量監視", _xlfn.REGEXTEST(C175, "DataNode Monitoring"), "DataNodeの稼働状態監視", _xlfn.REGEXTEST(C175, "Rules to Extract Events from Log Files"), "ログファイルからのイベント抽出ルール設定", _xlfn.REGEXTEST(C175, "Free Space Monitoring$"), "空き容量監視（一般設定）", _xlfn.REGEXTEST(C175, "Transceivers Usage"), "トランシーバー使用量（データ転送スレッド数）", _xlfn.REGEXTEST(C175, "Volume Failures"), "ボリューム障害（ディスクエラー）数", _xlfn.REGEXTEST(C175, "Block Count"), "ブロック総数", _xlfn.REGEXTEST(C175, "Audit Failure"), "監査（オーディット）ログの失敗イベント", _xlfn.REGEXTEST(C175, "Web Metric Collection Duration"), "Webメトリック収集の所要時間", _xlfn.REGEXTEST(C175, "Pause Duration"), "一時停止（ポーズ）の所要時間", _xlfn.REGEXTEST(C175, "Fsync Latency"), "Fsync（ディスク同期）のレイテンシ", _xlfn.REGEXTEST(C175, "Free Space Monitoring Absolute"), "空き容量（絶対値）", _xlfn.REGEXTEST(C175, "Free Space Monitoring Percentage"), "空き容量割合（%）", _xlfn.REGEXTEST(C175, "Age Monitoring"), "経過時間の監視", _xlfn.REGEXTEST(C175, "Transactions Monitoring"), "トランザクション数の監視", _xlfn.REGEXTEST(C175, "RPC Latency"), "RPC（遠隔手続き呼出し）のレイテンシ", _xlfn.REGEXTEST(C175, "Directory Failures"), "ディレクトリ障害数", _xlfn.REGEXTEST(C175, "Out-Of-Sync JournalNodes"), "同期ズレが発生しているJournalNode数", _xlfn.REGEXTEST(C175, "Safemode Threshold Percentage"), "セーフモード解除閾値の割合（%）", _xlfn.REGEXTEST(C175, "Kerberos Ticket Renewer Monitoring"), "Kerberosチケット更新プロセスの稼働状態監視", _xlfn.REGEXTEST(C175, "Load Balancer Monitoring"), "ロードバランサーの稼働状態監視", _xlfn.REGEXTEST(C175, "Navigator Audit Failure"), "Cloudera Navigator監査ログの失敗イベント", _xlfn.REGEXTEST(C175, "Schema Registry Server Monitoring"), "Schema Registry Serverの稼働状態監視", _xlfn.REGEXTEST(C175, "SRM Service Monitoring"), "SRMサービスの稼働状態監視", _xlfn.REGEXTEST(C175, "SRM Driver Monitoring"), "SRMドライバーの稼働状態監視", _xlfn.REGEXTEST(C175, "Loggin"), "ログ出力状態・設定監視", _xlfn.REGEXTEST(C175, "Server Monitoring"), "サーバーの稼働状態監視", _xlfn.REGEXTEST(C175, "Server Connection Count"), "サーバーの接続数（コネクション数）", _xlfn.REGEXTEST(C175, "Server Outstanding Requests"), "サーバーの未処理リクエスト数（滞留要求数）", _xlfn.REGEXTEST(C175, "Repository Status"), "リポジトリのステータス状態", _xlfn.REGEXTEST(C175, "Monitor Long Running Task"), "長時間実行タスク（ジョブ）の監視", _xlfn.REGEXTEST(C175, "Token requests per second"), "1秒あたりのトークンリクエスト数（要求レート）", _xlfn.REGEXTEST(C175, "Connection Model Score"), "接続モデルスコア（コネクション品質）", _xlfn.REGEXTEST(C175, "Queue swap"), "キューのスワップ発生状態", _xlfn.REGEXTEST(C175, "NiFi Node Monitoring"), "NiFiノードの稼働状態監視", _xlfn.REGEXTEST(C175, "Host Clock Offset"), "ホストのクロックオフセット（時刻同期のズレ）", _xlfn.REGEXTEST(C175, "Memory Overcommit Validation"), "メモリオーバーコミット設定の検証", _xlfn.REGEXTEST(C175, "Gateway Logging"), "ゲートウェイのログ出力設定", _xlfn.REGEXTEST(C175, "CPU Balance"), "CPU使用率の分散バランス状態", _xlfn.REGEXTEST(C175, "Disk Balance"), "ディスク使用量の分散バランス状態", _xlfn.REGEXTEST(C175, "Network Inbound Balance"), "ネットワークインバウンド（受信）の分散バランス状態", _xlfn.REGEXTEST(C175, "Network Outbound Balance"), "ネットワークアウトバウンド（送信）の分散バランス状態", _xlfn.REGEXTEST(C175, "Replica Count Balance"), "レプリカ数の分散バランス状態", _xlfn.REGEXTEST(C175, "Disk Capacity"), "ディスク総容量の限界・使用容量", _xlfn.REGEXTEST(C175, "CPU Capacity"), "CPU総処理能力の限界・使用量", _xlfn.REGEXTEST(C175, "Network Inbound Capacity"), "ネットワークインバウンド（受信）帯域の限界・使用量", _xlfn.REGEXTEST(C175, "Network Outbound Capacity"), "ネットワークアウトバウンド（送信）帯域の限界・使用量", _xlfn.REGEXTEST(C175, "Leader Replica Count Balance"), "リーダーレプリカ数の分散バランス状態", _xlfn.REGEXTEST(C175, "Host DNS Resolution Duration"), "ホストのDNS名前解決の所要時間", _xlfn.REGEXTEST(C175, "TLS Certificate Expiry"), "TLS証明書の有効期限切れ", _xlfn.REGEXTEST(C175, "Host Entropy"), "ホストのエントロピー（乱数生成能力）の不足", _xlfn.REGEXTEST(C175, "File Descriptor"), "プロセスのファイルディスクリプタ使用率", _xlfn.REGEXTEST(C175, "Unexpected Exits"), "プロセスの異常終了（予期せぬ停止）", _xlfn.REGEXTEST(C175, "Swap Memory Thresholds"), "プロセスのスワップメモリ使用量", _xlfn.REGEXTEST(C175, "Swap Memory Usage Rate"), "スワップメモリ使用量の変化率（増加速度）", _xlfn.REGEXTEST(C175, "Log Directory Free Space.*Absolute"), "ログディレクトリの空き容量（絶対値）", _xlfn.REGEXTEST(C175, "Log Directory Free Space.*Percentage"), "ログディレクトリの空き容量割合（%）", _xlfn.REGEXTEST(C175, "Heap Dump Directory Free Space.*Absolute"), "ヒープダンプディレクトリの空き容量（絶対値）", _xlfn.REGEXTEST(C175, "Heap Dump Directory Free Space.*Percentage"), "ヒープダンプディレクトリの空き容量割合（%）", _xlfn.REGEXTEST(C175, "Data Directory Free Space.*Absolute"), "データディレクトリの空き容量（絶対値）", _xlfn.REGEXTEST(C175, "Data Directory Free Space.*Percentage"), "データディレクトリの空き容量割合（%）", _xlfn.REGEXTEST(C175, "Transaction Log Directory Free Space.*Absolute"), "トランザクションログディレクトリの空き容量（絶対値）", _xlfn.REGEXTEST(C175, "Logging Threshold|Logger Threshold"), "ログ出力レベルの閾値設定", _xlfn.REGEXTEST(C175, "Enable.*Alerts"), "ヘルスアラートの有効化状態", _xlfn.REGEXTEST(C175, "Triggers"), "カスタムアラート条件（トリガー設定）", _xlfn.REGEXTEST(C175, "Healthy Kafka Broker"), "Kafka Brokerの健全ノード割合（稼働率）", _xlfn.REGEXTEST(C175, "Healthy Kafka Connect"), "Kafka Connectの健全ノード割合（稼働率）", _xlfn.REGEXTEST(C175, "Healthy KRaft Controller"), "KRaft Controllerの健全ノード割合（稼働率）", _xlfn.REGEXTEST(C175, "Healthy Knox IDBroker"), "Knox IDBrokerの健全ノード割合（稼働率）", _xlfn.REGEXTEST(C175, "Healthy Knox Gateway"), "Knox Gatewayの健全ノード割合（稼働率）", _xlfn.REGEXTEST(C175, "Healthy ZooKeeper Server"), "ZooKeeper Serverの健全ノード割合（稼働率）", _xlfn.REGEXTEST(C175, "Healthy NodeManager"), "NodeManagerの健全ノード割合（稼働率）", _xlfn.REGEXTEST(C175, "Maximum Latency"), "リクエストの最大レイテンシ（処理遅延）", _xlfn.REGEXTEST(C175, "Garbage Collection Duration"), "Javaのガベージコレクション（GC）の所要時間", _xlfn.REGEXTEST(C175, "Spool Directory Usage"), "Rangerプラグインのスプールディレクトリ使用量", _xlfn.REGEXTEST(C175, "Process Directory Free Space Monitoring Absolute"), "プロセスディレクトリの空き容量（絶対値)", _xlfn.REGEXTEST(C175, "Process Directory Free Space.*Percentage"), "プロセスディレクトリの空き容量割合（%）", _xlfn.REGEXTEST(C175, "Parcel Directory Free Space.*Absolute"), "パーセルディレクトリの空き容量（絶対値）", _xlfn.REGEXTEST(C175, "Parcel Directory Free Space.*Percentage"), "パーセルディレクトリの空き容量割合（%）", _xlfn.REGEXTEST(C175, "Host Network Frame Error Percentage"), "ホストのネットワークフレームエラー割合（%）", _xlfn.REGEXTEST(C175, "Network Interfaces Slow Link Modes"), "ホストのネットワークインターフェースの低速リンクモード検出", _xlfn.REGEXTEST(C175, "Host Memory Swapping"), "ホストのメモリのスワップ発生状態", TRUE, "要手動確認")</f>
        <v>空き容量（絶対値）</v>
      </c>
      <c r="H175" s="479" t="s">
        <v>935</v>
      </c>
    </row>
    <row r="176" spans="1:8" ht="33.6">
      <c r="A176" s="514"/>
      <c r="B176" s="473"/>
      <c r="C176" s="471" t="s">
        <v>825</v>
      </c>
      <c r="D176" s="471" t="s">
        <v>826</v>
      </c>
      <c r="E176" s="471" t="s">
        <v>954</v>
      </c>
      <c r="F176" s="471" t="s">
        <v>977</v>
      </c>
      <c r="G176" s="471" t="str" cm="1">
        <f t="array" ref="G176">_xlfn.IFS(C176 = "", "", _xlfn.REGEXTEST(C176, "Service Metric Migrator Minimum Consecutive Successful Checks"), "サービスメトリック移行ツールの連続正常チェック最小回数", _xlfn.REGEXTEST(C176, "Rebalancing"), "リバランシング（データ再配置）状態", _xlfn.REGEXTEST(C176, "Temporary Dump Directory"), "一時ダンプディレクトリの監視", _xlfn.REGEXTEST(C176, "Safemode Extension"), "セーフモード延長状態", _xlfn.REGEXTEST(C176, "Client Idle"), "クライアントのアイドル（待機）状態", _xlfn.REGEXTEST(C176, "Available Space Policy Balanced"), "空き容量ポリシーの分散バランス状態", _xlfn.REGEXTEST(C176, "Filesystem Checkpoint Transaction"), "ファイルシステムのチェックポイントトランザクション", _xlfn.REGEXTEST(C176, "Blocks With Corrupt Replicas Monitoring"), "破損レプリカを持つブロックの監視", _xlfn.REGEXTEST(C176, "Missing Block Monitoring"), "消失（ミッシング）ブロックの監視", _xlfn.REGEXTEST(C176, "Under-replicated Block Monitoring"), "レプリカ数不足ブロックの監視", _xlfn.REGEXTEST(C176, "HDFS Free Space Monitoring"), "HDFSの空き容量監視", _xlfn.REGEXTEST(C176, "DataNode Monitoring"), "DataNodeの稼働状態監視", _xlfn.REGEXTEST(C176, "Rules to Extract Events from Log Files"), "ログファイルからのイベント抽出ルール設定", _xlfn.REGEXTEST(C176, "Free Space Monitoring$"), "空き容量監視（一般設定）", _xlfn.REGEXTEST(C176, "Transceivers Usage"), "トランシーバー使用量（データ転送スレッド数）", _xlfn.REGEXTEST(C176, "Volume Failures"), "ボリューム障害（ディスクエラー）数", _xlfn.REGEXTEST(C176, "Block Count"), "ブロック総数", _xlfn.REGEXTEST(C176, "Audit Failure"), "監査（オーディット）ログの失敗イベント", _xlfn.REGEXTEST(C176, "Web Metric Collection Duration"), "Webメトリック収集の所要時間", _xlfn.REGEXTEST(C176, "Pause Duration"), "一時停止（ポーズ）の所要時間", _xlfn.REGEXTEST(C176, "Fsync Latency"), "Fsync（ディスク同期）のレイテンシ", _xlfn.REGEXTEST(C176, "Free Space Monitoring Absolute"), "空き容量（絶対値）", _xlfn.REGEXTEST(C176, "Free Space Monitoring Percentage"), "空き容量割合（%）", _xlfn.REGEXTEST(C176, "Age Monitoring"), "経過時間の監視", _xlfn.REGEXTEST(C176, "Transactions Monitoring"), "トランザクション数の監視", _xlfn.REGEXTEST(C176, "RPC Latency"), "RPC（遠隔手続き呼出し）のレイテンシ", _xlfn.REGEXTEST(C176, "Directory Failures"), "ディレクトリ障害数", _xlfn.REGEXTEST(C176, "Out-Of-Sync JournalNodes"), "同期ズレが発生しているJournalNode数", _xlfn.REGEXTEST(C176, "Safemode Threshold Percentage"), "セーフモード解除閾値の割合（%）", _xlfn.REGEXTEST(C176, "Kerberos Ticket Renewer Monitoring"), "Kerberosチケット更新プロセスの稼働状態監視", _xlfn.REGEXTEST(C176, "Load Balancer Monitoring"), "ロードバランサーの稼働状態監視", _xlfn.REGEXTEST(C176, "Navigator Audit Failure"), "Cloudera Navigator監査ログの失敗イベント", _xlfn.REGEXTEST(C176, "Schema Registry Server Monitoring"), "Schema Registry Serverの稼働状態監視", _xlfn.REGEXTEST(C176, "SRM Service Monitoring"), "SRMサービスの稼働状態監視", _xlfn.REGEXTEST(C176, "SRM Driver Monitoring"), "SRMドライバーの稼働状態監視", _xlfn.REGEXTEST(C176, "Loggin"), "ログ出力状態・設定監視", _xlfn.REGEXTEST(C176, "Server Monitoring"), "サーバーの稼働状態監視", _xlfn.REGEXTEST(C176, "Server Connection Count"), "サーバーの接続数（コネクション数）", _xlfn.REGEXTEST(C176, "Server Outstanding Requests"), "サーバーの未処理リクエスト数（滞留要求数）", _xlfn.REGEXTEST(C176, "Repository Status"), "リポジトリのステータス状態", _xlfn.REGEXTEST(C176, "Monitor Long Running Task"), "長時間実行タスク（ジョブ）の監視", _xlfn.REGEXTEST(C176, "Token requests per second"), "1秒あたりのトークンリクエスト数（要求レート）", _xlfn.REGEXTEST(C176, "Connection Model Score"), "接続モデルスコア（コネクション品質）", _xlfn.REGEXTEST(C176, "Queue swap"), "キューのスワップ発生状態", _xlfn.REGEXTEST(C176, "NiFi Node Monitoring"), "NiFiノードの稼働状態監視", _xlfn.REGEXTEST(C176, "Host Clock Offset"), "ホストのクロックオフセット（時刻同期のズレ）", _xlfn.REGEXTEST(C176, "Memory Overcommit Validation"), "メモリオーバーコミット設定の検証", _xlfn.REGEXTEST(C176, "Gateway Logging"), "ゲートウェイのログ出力設定", _xlfn.REGEXTEST(C176, "CPU Balance"), "CPU使用率の分散バランス状態", _xlfn.REGEXTEST(C176, "Disk Balance"), "ディスク使用量の分散バランス状態", _xlfn.REGEXTEST(C176, "Network Inbound Balance"), "ネットワークインバウンド（受信）の分散バランス状態", _xlfn.REGEXTEST(C176, "Network Outbound Balance"), "ネットワークアウトバウンド（送信）の分散バランス状態", _xlfn.REGEXTEST(C176, "Replica Count Balance"), "レプリカ数の分散バランス状態", _xlfn.REGEXTEST(C176, "Disk Capacity"), "ディスク総容量の限界・使用容量", _xlfn.REGEXTEST(C176, "CPU Capacity"), "CPU総処理能力の限界・使用量", _xlfn.REGEXTEST(C176, "Network Inbound Capacity"), "ネットワークインバウンド（受信）帯域の限界・使用量", _xlfn.REGEXTEST(C176, "Network Outbound Capacity"), "ネットワークアウトバウンド（送信）帯域の限界・使用量", _xlfn.REGEXTEST(C176, "Leader Replica Count Balance"), "リーダーレプリカ数の分散バランス状態", _xlfn.REGEXTEST(C176, "Host DNS Resolution Duration"), "ホストのDNS名前解決の所要時間", _xlfn.REGEXTEST(C176, "TLS Certificate Expiry"), "TLS証明書の有効期限切れ", _xlfn.REGEXTEST(C176, "Host Entropy"), "ホストのエントロピー（乱数生成能力）の不足", _xlfn.REGEXTEST(C176, "File Descriptor"), "プロセスのファイルディスクリプタ使用率", _xlfn.REGEXTEST(C176, "Unexpected Exits"), "プロセスの異常終了（予期せぬ停止）", _xlfn.REGEXTEST(C176, "Swap Memory Thresholds"), "プロセスのスワップメモリ使用量", _xlfn.REGEXTEST(C176, "Swap Memory Usage Rate"), "スワップメモリ使用量の変化率（増加速度）", _xlfn.REGEXTEST(C176, "Log Directory Free Space.*Absolute"), "ログディレクトリの空き容量（絶対値）", _xlfn.REGEXTEST(C176, "Log Directory Free Space.*Percentage"), "ログディレクトリの空き容量割合（%）", _xlfn.REGEXTEST(C176, "Heap Dump Directory Free Space.*Absolute"), "ヒープダンプディレクトリの空き容量（絶対値）", _xlfn.REGEXTEST(C176, "Heap Dump Directory Free Space.*Percentage"), "ヒープダンプディレクトリの空き容量割合（%）", _xlfn.REGEXTEST(C176, "Data Directory Free Space.*Absolute"), "データディレクトリの空き容量（絶対値）", _xlfn.REGEXTEST(C176, "Data Directory Free Space.*Percentage"), "データディレクトリの空き容量割合（%）", _xlfn.REGEXTEST(C176, "Transaction Log Directory Free Space.*Absolute"), "トランザクションログディレクトリの空き容量（絶対値）", _xlfn.REGEXTEST(C176, "Logging Threshold|Logger Threshold"), "ログ出力レベルの閾値設定", _xlfn.REGEXTEST(C176, "Enable.*Alerts"), "ヘルスアラートの有効化状態", _xlfn.REGEXTEST(C176, "Triggers"), "カスタムアラート条件（トリガー設定）", _xlfn.REGEXTEST(C176, "Healthy Kafka Broker"), "Kafka Brokerの健全ノード割合（稼働率）", _xlfn.REGEXTEST(C176, "Healthy Kafka Connect"), "Kafka Connectの健全ノード割合（稼働率）", _xlfn.REGEXTEST(C176, "Healthy KRaft Controller"), "KRaft Controllerの健全ノード割合（稼働率）", _xlfn.REGEXTEST(C176, "Healthy Knox IDBroker"), "Knox IDBrokerの健全ノード割合（稼働率）", _xlfn.REGEXTEST(C176, "Healthy Knox Gateway"), "Knox Gatewayの健全ノード割合（稼働率）", _xlfn.REGEXTEST(C176, "Healthy ZooKeeper Server"), "ZooKeeper Serverの健全ノード割合（稼働率）", _xlfn.REGEXTEST(C176, "Healthy NodeManager"), "NodeManagerの健全ノード割合（稼働率）", _xlfn.REGEXTEST(C176, "Maximum Latency"), "リクエストの最大レイテンシ（処理遅延）", _xlfn.REGEXTEST(C176, "Garbage Collection Duration"), "Javaのガベージコレクション（GC）の所要時間", _xlfn.REGEXTEST(C176, "Spool Directory Usage"), "Rangerプラグインのスプールディレクトリ使用量", _xlfn.REGEXTEST(C176, "Process Directory Free Space Monitoring Absolute"), "プロセスディレクトリの空き容量（絶対値)", _xlfn.REGEXTEST(C176, "Process Directory Free Space.*Percentage"), "プロセスディレクトリの空き容量割合（%）", _xlfn.REGEXTEST(C176, "Parcel Directory Free Space.*Absolute"), "パーセルディレクトリの空き容量（絶対値）", _xlfn.REGEXTEST(C176, "Parcel Directory Free Space.*Percentage"), "パーセルディレクトリの空き容量割合（%）", _xlfn.REGEXTEST(C176, "Host Network Frame Error Percentage"), "ホストのネットワークフレームエラー割合（%）", _xlfn.REGEXTEST(C176, "Network Interfaces Slow Link Modes"), "ホストのネットワークインターフェースの低速リンクモード検出", _xlfn.REGEXTEST(C176, "Host Memory Swapping"), "ホストのメモリのスワップ発生状態", TRUE, "要手動確認")</f>
        <v>空き容量割合（%）</v>
      </c>
      <c r="H176" s="479" t="s">
        <v>683</v>
      </c>
    </row>
    <row r="177" spans="1:8" ht="33.6">
      <c r="A177" s="514"/>
      <c r="B177" s="473"/>
      <c r="C177" s="471" t="s">
        <v>827</v>
      </c>
      <c r="D177" s="471" t="s">
        <v>828</v>
      </c>
      <c r="E177" s="471" t="s">
        <v>954</v>
      </c>
      <c r="F177" s="471" t="s">
        <v>978</v>
      </c>
      <c r="G177" s="471" t="str" cm="1">
        <f t="array" ref="G177">_xlfn.IFS(C177 = "", "", _xlfn.REGEXTEST(C177, "Service Metric Migrator Minimum Consecutive Successful Checks"), "サービスメトリック移行ツールの連続正常チェック最小回数", _xlfn.REGEXTEST(C177, "Rebalancing"), "リバランシング（データ再配置）状態", _xlfn.REGEXTEST(C177, "Temporary Dump Directory"), "一時ダンプディレクトリの監視", _xlfn.REGEXTEST(C177, "Safemode Extension"), "セーフモード延長状態", _xlfn.REGEXTEST(C177, "Client Idle"), "クライアントのアイドル（待機）状態", _xlfn.REGEXTEST(C177, "Available Space Policy Balanced"), "空き容量ポリシーの分散バランス状態", _xlfn.REGEXTEST(C177, "Filesystem Checkpoint Transaction"), "ファイルシステムのチェックポイントトランザクション", _xlfn.REGEXTEST(C177, "Blocks With Corrupt Replicas Monitoring"), "破損レプリカを持つブロックの監視", _xlfn.REGEXTEST(C177, "Missing Block Monitoring"), "消失（ミッシング）ブロックの監視", _xlfn.REGEXTEST(C177, "Under-replicated Block Monitoring"), "レプリカ数不足ブロックの監視", _xlfn.REGEXTEST(C177, "HDFS Free Space Monitoring"), "HDFSの空き容量監視", _xlfn.REGEXTEST(C177, "DataNode Monitoring"), "DataNodeの稼働状態監視", _xlfn.REGEXTEST(C177, "Rules to Extract Events from Log Files"), "ログファイルからのイベント抽出ルール設定", _xlfn.REGEXTEST(C177, "Free Space Monitoring$"), "空き容量監視（一般設定）", _xlfn.REGEXTEST(C177, "Transceivers Usage"), "トランシーバー使用量（データ転送スレッド数）", _xlfn.REGEXTEST(C177, "Volume Failures"), "ボリューム障害（ディスクエラー）数", _xlfn.REGEXTEST(C177, "Block Count"), "ブロック総数", _xlfn.REGEXTEST(C177, "Audit Failure"), "監査（オーディット）ログの失敗イベント", _xlfn.REGEXTEST(C177, "Web Metric Collection Duration"), "Webメトリック収集の所要時間", _xlfn.REGEXTEST(C177, "Pause Duration"), "一時停止（ポーズ）の所要時間", _xlfn.REGEXTEST(C177, "Fsync Latency"), "Fsync（ディスク同期）のレイテンシ", _xlfn.REGEXTEST(C177, "Free Space Monitoring Absolute"), "空き容量（絶対値）", _xlfn.REGEXTEST(C177, "Free Space Monitoring Percentage"), "空き容量割合（%）", _xlfn.REGEXTEST(C177, "Age Monitoring"), "経過時間の監視", _xlfn.REGEXTEST(C177, "Transactions Monitoring"), "トランザクション数の監視", _xlfn.REGEXTEST(C177, "RPC Latency"), "RPC（遠隔手続き呼出し）のレイテンシ", _xlfn.REGEXTEST(C177, "Directory Failures"), "ディレクトリ障害数", _xlfn.REGEXTEST(C177, "Out-Of-Sync JournalNodes"), "同期ズレが発生しているJournalNode数", _xlfn.REGEXTEST(C177, "Safemode Threshold Percentage"), "セーフモード解除閾値の割合（%）", _xlfn.REGEXTEST(C177, "Kerberos Ticket Renewer Monitoring"), "Kerberosチケット更新プロセスの稼働状態監視", _xlfn.REGEXTEST(C177, "Load Balancer Monitoring"), "ロードバランサーの稼働状態監視", _xlfn.REGEXTEST(C177, "Navigator Audit Failure"), "Cloudera Navigator監査ログの失敗イベント", _xlfn.REGEXTEST(C177, "Schema Registry Server Monitoring"), "Schema Registry Serverの稼働状態監視", _xlfn.REGEXTEST(C177, "SRM Service Monitoring"), "SRMサービスの稼働状態監視", _xlfn.REGEXTEST(C177, "SRM Driver Monitoring"), "SRMドライバーの稼働状態監視", _xlfn.REGEXTEST(C177, "Loggin"), "ログ出力状態・設定監視", _xlfn.REGEXTEST(C177, "Server Monitoring"), "サーバーの稼働状態監視", _xlfn.REGEXTEST(C177, "Server Connection Count"), "サーバーの接続数（コネクション数）", _xlfn.REGEXTEST(C177, "Server Outstanding Requests"), "サーバーの未処理リクエスト数（滞留要求数）", _xlfn.REGEXTEST(C177, "Repository Status"), "リポジトリのステータス状態", _xlfn.REGEXTEST(C177, "Monitor Long Running Task"), "長時間実行タスク（ジョブ）の監視", _xlfn.REGEXTEST(C177, "Token requests per second"), "1秒あたりのトークンリクエスト数（要求レート）", _xlfn.REGEXTEST(C177, "Connection Model Score"), "接続モデルスコア（コネクション品質）", _xlfn.REGEXTEST(C177, "Queue swap"), "キューのスワップ発生状態", _xlfn.REGEXTEST(C177, "NiFi Node Monitoring"), "NiFiノードの稼働状態監視", _xlfn.REGEXTEST(C177, "Host Clock Offset"), "ホストのクロックオフセット（時刻同期のズレ）", _xlfn.REGEXTEST(C177, "Memory Overcommit Validation"), "メモリオーバーコミット設定の検証", _xlfn.REGEXTEST(C177, "Gateway Logging"), "ゲートウェイのログ出力設定", _xlfn.REGEXTEST(C177, "CPU Balance"), "CPU使用率の分散バランス状態", _xlfn.REGEXTEST(C177, "Disk Balance"), "ディスク使用量の分散バランス状態", _xlfn.REGEXTEST(C177, "Network Inbound Balance"), "ネットワークインバウンド（受信）の分散バランス状態", _xlfn.REGEXTEST(C177, "Network Outbound Balance"), "ネットワークアウトバウンド（送信）の分散バランス状態", _xlfn.REGEXTEST(C177, "Replica Count Balance"), "レプリカ数の分散バランス状態", _xlfn.REGEXTEST(C177, "Disk Capacity"), "ディスク総容量の限界・使用容量", _xlfn.REGEXTEST(C177, "CPU Capacity"), "CPU総処理能力の限界・使用量", _xlfn.REGEXTEST(C177, "Network Inbound Capacity"), "ネットワークインバウンド（受信）帯域の限界・使用量", _xlfn.REGEXTEST(C177, "Network Outbound Capacity"), "ネットワークアウトバウンド（送信）帯域の限界・使用量", _xlfn.REGEXTEST(C177, "Leader Replica Count Balance"), "リーダーレプリカ数の分散バランス状態", _xlfn.REGEXTEST(C177, "Host DNS Resolution Duration"), "ホストのDNS名前解決の所要時間", _xlfn.REGEXTEST(C177, "TLS Certificate Expiry"), "TLS証明書の有効期限切れ", _xlfn.REGEXTEST(C177, "Host Entropy"), "ホストのエントロピー（乱数生成能力）の不足", _xlfn.REGEXTEST(C177, "File Descriptor"), "プロセスのファイルディスクリプタ使用率", _xlfn.REGEXTEST(C177, "Unexpected Exits"), "プロセスの異常終了（予期せぬ停止）", _xlfn.REGEXTEST(C177, "Swap Memory Thresholds"), "プロセスのスワップメモリ使用量", _xlfn.REGEXTEST(C177, "Swap Memory Usage Rate"), "スワップメモリ使用量の変化率（増加速度）", _xlfn.REGEXTEST(C177, "Log Directory Free Space.*Absolute"), "ログディレクトリの空き容量（絶対値）", _xlfn.REGEXTEST(C177, "Log Directory Free Space.*Percentage"), "ログディレクトリの空き容量割合（%）", _xlfn.REGEXTEST(C177, "Heap Dump Directory Free Space.*Absolute"), "ヒープダンプディレクトリの空き容量（絶対値）", _xlfn.REGEXTEST(C177, "Heap Dump Directory Free Space.*Percentage"), "ヒープダンプディレクトリの空き容量割合（%）", _xlfn.REGEXTEST(C177, "Data Directory Free Space.*Absolute"), "データディレクトリの空き容量（絶対値）", _xlfn.REGEXTEST(C177, "Data Directory Free Space.*Percentage"), "データディレクトリの空き容量割合（%）", _xlfn.REGEXTEST(C177, "Transaction Log Directory Free Space.*Absolute"), "トランザクションログディレクトリの空き容量（絶対値）", _xlfn.REGEXTEST(C177, "Logging Threshold|Logger Threshold"), "ログ出力レベルの閾値設定", _xlfn.REGEXTEST(C177, "Enable.*Alerts"), "ヘルスアラートの有効化状態", _xlfn.REGEXTEST(C177, "Triggers"), "カスタムアラート条件（トリガー設定）", _xlfn.REGEXTEST(C177, "Healthy Kafka Broker"), "Kafka Brokerの健全ノード割合（稼働率）", _xlfn.REGEXTEST(C177, "Healthy Kafka Connect"), "Kafka Connectの健全ノード割合（稼働率）", _xlfn.REGEXTEST(C177, "Healthy KRaft Controller"), "KRaft Controllerの健全ノード割合（稼働率）", _xlfn.REGEXTEST(C177, "Healthy Knox IDBroker"), "Knox IDBrokerの健全ノード割合（稼働率）", _xlfn.REGEXTEST(C177, "Healthy Knox Gateway"), "Knox Gatewayの健全ノード割合（稼働率）", _xlfn.REGEXTEST(C177, "Healthy ZooKeeper Server"), "ZooKeeper Serverの健全ノード割合（稼働率）", _xlfn.REGEXTEST(C177, "Healthy NodeManager"), "NodeManagerの健全ノード割合（稼働率）", _xlfn.REGEXTEST(C177, "Maximum Latency"), "リクエストの最大レイテンシ（処理遅延）", _xlfn.REGEXTEST(C177, "Garbage Collection Duration"), "Javaのガベージコレクション（GC）の所要時間", _xlfn.REGEXTEST(C177, "Spool Directory Usage"), "Rangerプラグインのスプールディレクトリ使用量", _xlfn.REGEXTEST(C177, "Process Directory Free Space Monitoring Absolute"), "プロセスディレクトリの空き容量（絶対値)", _xlfn.REGEXTEST(C177, "Process Directory Free Space.*Percentage"), "プロセスディレクトリの空き容量割合（%）", _xlfn.REGEXTEST(C177, "Parcel Directory Free Space.*Absolute"), "パーセルディレクトリの空き容量（絶対値）", _xlfn.REGEXTEST(C177, "Parcel Directory Free Space.*Percentage"), "パーセルディレクトリの空き容量割合（%）", _xlfn.REGEXTEST(C177, "Host Network Frame Error Percentage"), "ホストのネットワークフレームエラー割合（%）", _xlfn.REGEXTEST(C177, "Network Interfaces Slow Link Modes"), "ホストのネットワークインターフェースの低速リンクモード検出", _xlfn.REGEXTEST(C177, "Host Memory Swapping"), "ホストのメモリのスワップ発生状態", TRUE, "要手動確認")</f>
        <v>空き容量（絶対値）</v>
      </c>
      <c r="H177" s="479" t="s">
        <v>935</v>
      </c>
    </row>
    <row r="178" spans="1:8" ht="33.6">
      <c r="A178" s="514"/>
      <c r="B178" s="473"/>
      <c r="C178" s="471" t="s">
        <v>829</v>
      </c>
      <c r="D178" s="471" t="s">
        <v>830</v>
      </c>
      <c r="E178" s="471" t="s">
        <v>954</v>
      </c>
      <c r="F178" s="471" t="s">
        <v>979</v>
      </c>
      <c r="G178" s="471" t="str" cm="1">
        <f t="array" ref="G178">_xlfn.IFS(C178 = "", "", _xlfn.REGEXTEST(C178, "Service Metric Migrator Minimum Consecutive Successful Checks"), "サービスメトリック移行ツールの連続正常チェック最小回数", _xlfn.REGEXTEST(C178, "Rebalancing"), "リバランシング（データ再配置）状態", _xlfn.REGEXTEST(C178, "Temporary Dump Directory"), "一時ダンプディレクトリの監視", _xlfn.REGEXTEST(C178, "Safemode Extension"), "セーフモード延長状態", _xlfn.REGEXTEST(C178, "Client Idle"), "クライアントのアイドル（待機）状態", _xlfn.REGEXTEST(C178, "Available Space Policy Balanced"), "空き容量ポリシーの分散バランス状態", _xlfn.REGEXTEST(C178, "Filesystem Checkpoint Transaction"), "ファイルシステムのチェックポイントトランザクション", _xlfn.REGEXTEST(C178, "Blocks With Corrupt Replicas Monitoring"), "破損レプリカを持つブロックの監視", _xlfn.REGEXTEST(C178, "Missing Block Monitoring"), "消失（ミッシング）ブロックの監視", _xlfn.REGEXTEST(C178, "Under-replicated Block Monitoring"), "レプリカ数不足ブロックの監視", _xlfn.REGEXTEST(C178, "HDFS Free Space Monitoring"), "HDFSの空き容量監視", _xlfn.REGEXTEST(C178, "DataNode Monitoring"), "DataNodeの稼働状態監視", _xlfn.REGEXTEST(C178, "Rules to Extract Events from Log Files"), "ログファイルからのイベント抽出ルール設定", _xlfn.REGEXTEST(C178, "Free Space Monitoring$"), "空き容量監視（一般設定）", _xlfn.REGEXTEST(C178, "Transceivers Usage"), "トランシーバー使用量（データ転送スレッド数）", _xlfn.REGEXTEST(C178, "Volume Failures"), "ボリューム障害（ディスクエラー）数", _xlfn.REGEXTEST(C178, "Block Count"), "ブロック総数", _xlfn.REGEXTEST(C178, "Audit Failure"), "監査（オーディット）ログの失敗イベント", _xlfn.REGEXTEST(C178, "Web Metric Collection Duration"), "Webメトリック収集の所要時間", _xlfn.REGEXTEST(C178, "Pause Duration"), "一時停止（ポーズ）の所要時間", _xlfn.REGEXTEST(C178, "Fsync Latency"), "Fsync（ディスク同期）のレイテンシ", _xlfn.REGEXTEST(C178, "Free Space Monitoring Absolute"), "空き容量（絶対値）", _xlfn.REGEXTEST(C178, "Free Space Monitoring Percentage"), "空き容量割合（%）", _xlfn.REGEXTEST(C178, "Age Monitoring"), "経過時間の監視", _xlfn.REGEXTEST(C178, "Transactions Monitoring"), "トランザクション数の監視", _xlfn.REGEXTEST(C178, "RPC Latency"), "RPC（遠隔手続き呼出し）のレイテンシ", _xlfn.REGEXTEST(C178, "Directory Failures"), "ディレクトリ障害数", _xlfn.REGEXTEST(C178, "Out-Of-Sync JournalNodes"), "同期ズレが発生しているJournalNode数", _xlfn.REGEXTEST(C178, "Safemode Threshold Percentage"), "セーフモード解除閾値の割合（%）", _xlfn.REGEXTEST(C178, "Kerberos Ticket Renewer Monitoring"), "Kerberosチケット更新プロセスの稼働状態監視", _xlfn.REGEXTEST(C178, "Load Balancer Monitoring"), "ロードバランサーの稼働状態監視", _xlfn.REGEXTEST(C178, "Navigator Audit Failure"), "Cloudera Navigator監査ログの失敗イベント", _xlfn.REGEXTEST(C178, "Schema Registry Server Monitoring"), "Schema Registry Serverの稼働状態監視", _xlfn.REGEXTEST(C178, "SRM Service Monitoring"), "SRMサービスの稼働状態監視", _xlfn.REGEXTEST(C178, "SRM Driver Monitoring"), "SRMドライバーの稼働状態監視", _xlfn.REGEXTEST(C178, "Loggin"), "ログ出力状態・設定監視", _xlfn.REGEXTEST(C178, "Server Monitoring"), "サーバーの稼働状態監視", _xlfn.REGEXTEST(C178, "Server Connection Count"), "サーバーの接続数（コネクション数）", _xlfn.REGEXTEST(C178, "Server Outstanding Requests"), "サーバーの未処理リクエスト数（滞留要求数）", _xlfn.REGEXTEST(C178, "Repository Status"), "リポジトリのステータス状態", _xlfn.REGEXTEST(C178, "Monitor Long Running Task"), "長時間実行タスク（ジョブ）の監視", _xlfn.REGEXTEST(C178, "Token requests per second"), "1秒あたりのトークンリクエスト数（要求レート）", _xlfn.REGEXTEST(C178, "Connection Model Score"), "接続モデルスコア（コネクション品質）", _xlfn.REGEXTEST(C178, "Queue swap"), "キューのスワップ発生状態", _xlfn.REGEXTEST(C178, "NiFi Node Monitoring"), "NiFiノードの稼働状態監視", _xlfn.REGEXTEST(C178, "Host Clock Offset"), "ホストのクロックオフセット（時刻同期のズレ）", _xlfn.REGEXTEST(C178, "Memory Overcommit Validation"), "メモリオーバーコミット設定の検証", _xlfn.REGEXTEST(C178, "Gateway Logging"), "ゲートウェイのログ出力設定", _xlfn.REGEXTEST(C178, "CPU Balance"), "CPU使用率の分散バランス状態", _xlfn.REGEXTEST(C178, "Disk Balance"), "ディスク使用量の分散バランス状態", _xlfn.REGEXTEST(C178, "Network Inbound Balance"), "ネットワークインバウンド（受信）の分散バランス状態", _xlfn.REGEXTEST(C178, "Network Outbound Balance"), "ネットワークアウトバウンド（送信）の分散バランス状態", _xlfn.REGEXTEST(C178, "Replica Count Balance"), "レプリカ数の分散バランス状態", _xlfn.REGEXTEST(C178, "Disk Capacity"), "ディスク総容量の限界・使用容量", _xlfn.REGEXTEST(C178, "CPU Capacity"), "CPU総処理能力の限界・使用量", _xlfn.REGEXTEST(C178, "Network Inbound Capacity"), "ネットワークインバウンド（受信）帯域の限界・使用量", _xlfn.REGEXTEST(C178, "Network Outbound Capacity"), "ネットワークアウトバウンド（送信）帯域の限界・使用量", _xlfn.REGEXTEST(C178, "Leader Replica Count Balance"), "リーダーレプリカ数の分散バランス状態", _xlfn.REGEXTEST(C178, "Host DNS Resolution Duration"), "ホストのDNS名前解決の所要時間", _xlfn.REGEXTEST(C178, "TLS Certificate Expiry"), "TLS証明書の有効期限切れ", _xlfn.REGEXTEST(C178, "Host Entropy"), "ホストのエントロピー（乱数生成能力）の不足", _xlfn.REGEXTEST(C178, "File Descriptor"), "プロセスのファイルディスクリプタ使用率", _xlfn.REGEXTEST(C178, "Unexpected Exits"), "プロセスの異常終了（予期せぬ停止）", _xlfn.REGEXTEST(C178, "Swap Memory Thresholds"), "プロセスのスワップメモリ使用量", _xlfn.REGEXTEST(C178, "Swap Memory Usage Rate"), "スワップメモリ使用量の変化率（増加速度）", _xlfn.REGEXTEST(C178, "Log Directory Free Space.*Absolute"), "ログディレクトリの空き容量（絶対値）", _xlfn.REGEXTEST(C178, "Log Directory Free Space.*Percentage"), "ログディレクトリの空き容量割合（%）", _xlfn.REGEXTEST(C178, "Heap Dump Directory Free Space.*Absolute"), "ヒープダンプディレクトリの空き容量（絶対値）", _xlfn.REGEXTEST(C178, "Heap Dump Directory Free Space.*Percentage"), "ヒープダンプディレクトリの空き容量割合（%）", _xlfn.REGEXTEST(C178, "Data Directory Free Space.*Absolute"), "データディレクトリの空き容量（絶対値）", _xlfn.REGEXTEST(C178, "Data Directory Free Space.*Percentage"), "データディレクトリの空き容量割合（%）", _xlfn.REGEXTEST(C178, "Transaction Log Directory Free Space.*Absolute"), "トランザクションログディレクトリの空き容量（絶対値）", _xlfn.REGEXTEST(C178, "Logging Threshold|Logger Threshold"), "ログ出力レベルの閾値設定", _xlfn.REGEXTEST(C178, "Enable.*Alerts"), "ヘルスアラートの有効化状態", _xlfn.REGEXTEST(C178, "Triggers"), "カスタムアラート条件（トリガー設定）", _xlfn.REGEXTEST(C178, "Healthy Kafka Broker"), "Kafka Brokerの健全ノード割合（稼働率）", _xlfn.REGEXTEST(C178, "Healthy Kafka Connect"), "Kafka Connectの健全ノード割合（稼働率）", _xlfn.REGEXTEST(C178, "Healthy KRaft Controller"), "KRaft Controllerの健全ノード割合（稼働率）", _xlfn.REGEXTEST(C178, "Healthy Knox IDBroker"), "Knox IDBrokerの健全ノード割合（稼働率）", _xlfn.REGEXTEST(C178, "Healthy Knox Gateway"), "Knox Gatewayの健全ノード割合（稼働率）", _xlfn.REGEXTEST(C178, "Healthy ZooKeeper Server"), "ZooKeeper Serverの健全ノード割合（稼働率）", _xlfn.REGEXTEST(C178, "Healthy NodeManager"), "NodeManagerの健全ノード割合（稼働率）", _xlfn.REGEXTEST(C178, "Maximum Latency"), "リクエストの最大レイテンシ（処理遅延）", _xlfn.REGEXTEST(C178, "Garbage Collection Duration"), "Javaのガベージコレクション（GC）の所要時間", _xlfn.REGEXTEST(C178, "Spool Directory Usage"), "Rangerプラグインのスプールディレクトリ使用量", _xlfn.REGEXTEST(C178, "Process Directory Free Space Monitoring Absolute"), "プロセスディレクトリの空き容量（絶対値)", _xlfn.REGEXTEST(C178, "Process Directory Free Space.*Percentage"), "プロセスディレクトリの空き容量割合（%）", _xlfn.REGEXTEST(C178, "Parcel Directory Free Space.*Absolute"), "パーセルディレクトリの空き容量（絶対値）", _xlfn.REGEXTEST(C178, "Parcel Directory Free Space.*Percentage"), "パーセルディレクトリの空き容量割合（%）", _xlfn.REGEXTEST(C178, "Host Network Frame Error Percentage"), "ホストのネットワークフレームエラー割合（%）", _xlfn.REGEXTEST(C178, "Network Interfaces Slow Link Modes"), "ホストのネットワークインターフェースの低速リンクモード検出", _xlfn.REGEXTEST(C178, "Host Memory Swapping"), "ホストのメモリのスワップ発生状態", TRUE, "要手動確認")</f>
        <v>空き容量割合（%）</v>
      </c>
      <c r="H178" s="479" t="s">
        <v>683</v>
      </c>
    </row>
    <row r="179" spans="1:8" ht="16.899999999999999">
      <c r="A179" s="514"/>
      <c r="B179" s="472" t="s">
        <v>980</v>
      </c>
      <c r="C179" s="471" t="s">
        <v>981</v>
      </c>
      <c r="D179" s="471" t="s">
        <v>982</v>
      </c>
      <c r="E179" s="471" t="s">
        <v>983</v>
      </c>
      <c r="F179" s="471"/>
      <c r="G179" s="471" t="str" cm="1">
        <f t="array" ref="G179">_xlfn.IFS(C179 = "", "", _xlfn.REGEXTEST(C179, "Service Metric Migrator Minimum Consecutive Successful Checks"), "サービスメトリック移行ツールの連続正常チェック最小回数", _xlfn.REGEXTEST(C179, "Rebalancing"), "リバランシング（データ再配置）状態", _xlfn.REGEXTEST(C179, "Temporary Dump Directory"), "一時ダンプディレクトリの監視", _xlfn.REGEXTEST(C179, "Safemode Extension"), "セーフモード延長状態", _xlfn.REGEXTEST(C179, "Client Idle"), "クライアントのアイドル（待機）状態", _xlfn.REGEXTEST(C179, "Available Space Policy Balanced"), "空き容量ポリシーの分散バランス状態", _xlfn.REGEXTEST(C179, "Filesystem Checkpoint Transaction"), "ファイルシステムのチェックポイントトランザクション", _xlfn.REGEXTEST(C179, "Blocks With Corrupt Replicas Monitoring"), "破損レプリカを持つブロックの監視", _xlfn.REGEXTEST(C179, "Missing Block Monitoring"), "消失（ミッシング）ブロックの監視", _xlfn.REGEXTEST(C179, "Under-replicated Block Monitoring"), "レプリカ数不足ブロックの監視", _xlfn.REGEXTEST(C179, "HDFS Free Space Monitoring"), "HDFSの空き容量監視", _xlfn.REGEXTEST(C179, "DataNode Monitoring"), "DataNodeの稼働状態監視", _xlfn.REGEXTEST(C179, "Rules to Extract Events from Log Files"), "ログファイルからのイベント抽出ルール設定", _xlfn.REGEXTEST(C179, "Free Space Monitoring$"), "空き容量監視（一般設定）", _xlfn.REGEXTEST(C179, "Transceivers Usage"), "トランシーバー使用量（データ転送スレッド数）", _xlfn.REGEXTEST(C179, "Volume Failures"), "ボリューム障害（ディスクエラー）数", _xlfn.REGEXTEST(C179, "Block Count"), "ブロック総数", _xlfn.REGEXTEST(C179, "Audit Failure"), "監査（オーディット）ログの失敗イベント", _xlfn.REGEXTEST(C179, "Web Metric Collection Duration"), "Webメトリック収集の所要時間", _xlfn.REGEXTEST(C179, "Pause Duration"), "一時停止（ポーズ）の所要時間", _xlfn.REGEXTEST(C179, "Fsync Latency"), "Fsync（ディスク同期）のレイテンシ", _xlfn.REGEXTEST(C179, "Free Space Monitoring Absolute"), "空き容量（絶対値）", _xlfn.REGEXTEST(C179, "Free Space Monitoring Percentage"), "空き容量割合（%）", _xlfn.REGEXTEST(C179, "Age Monitoring"), "経過時間の監視", _xlfn.REGEXTEST(C179, "Transactions Monitoring"), "トランザクション数の監視", _xlfn.REGEXTEST(C179, "RPC Latency"), "RPC（遠隔手続き呼出し）のレイテンシ", _xlfn.REGEXTEST(C179, "Directory Failures"), "ディレクトリ障害数", _xlfn.REGEXTEST(C179, "Out-Of-Sync JournalNodes"), "同期ズレが発生しているJournalNode数", _xlfn.REGEXTEST(C179, "Safemode Threshold Percentage"), "セーフモード解除閾値の割合（%）", _xlfn.REGEXTEST(C179, "Kerberos Ticket Renewer Monitoring"), "Kerberosチケット更新プロセスの稼働状態監視", _xlfn.REGEXTEST(C179, "Load Balancer Monitoring"), "ロードバランサーの稼働状態監視", _xlfn.REGEXTEST(C179, "Navigator Audit Failure"), "Cloudera Navigator監査ログの失敗イベント", _xlfn.REGEXTEST(C179, "Schema Registry Server Monitoring"), "Schema Registry Serverの稼働状態監視", _xlfn.REGEXTEST(C179, "SRM Service Monitoring"), "SRMサービスの稼働状態監視", _xlfn.REGEXTEST(C179, "SRM Driver Monitoring"), "SRMドライバーの稼働状態監視", _xlfn.REGEXTEST(C179, "Loggin"), "ログ出力状態・設定監視", _xlfn.REGEXTEST(C179, "Server Monitoring"), "サーバーの稼働状態監視", _xlfn.REGEXTEST(C179, "Server Connection Count"), "サーバーの接続数（コネクション数）", _xlfn.REGEXTEST(C179, "Server Outstanding Requests"), "サーバーの未処理リクエスト数（滞留要求数）", _xlfn.REGEXTEST(C179, "Repository Status"), "リポジトリのステータス状態", _xlfn.REGEXTEST(C179, "Monitor Long Running Task"), "長時間実行タスク（ジョブ）の監視", _xlfn.REGEXTEST(C179, "Token requests per second"), "1秒あたりのトークンリクエスト数（要求レート）", _xlfn.REGEXTEST(C179, "Connection Model Score"), "接続モデルスコア（コネクション品質）", _xlfn.REGEXTEST(C179, "Queue swap"), "キューのスワップ発生状態", _xlfn.REGEXTEST(C179, "NiFi Node Monitoring"), "NiFiノードの稼働状態監視", _xlfn.REGEXTEST(C179, "Host Clock Offset"), "ホストのクロックオフセット（時刻同期のズレ）", _xlfn.REGEXTEST(C179, "Memory Overcommit Validation"), "メモリオーバーコミット設定の検証", _xlfn.REGEXTEST(C179, "Gateway Logging"), "ゲートウェイのログ出力設定", _xlfn.REGEXTEST(C179, "CPU Balance"), "CPU使用率の分散バランス状態", _xlfn.REGEXTEST(C179, "Disk Balance"), "ディスク使用量の分散バランス状態", _xlfn.REGEXTEST(C179, "Network Inbound Balance"), "ネットワークインバウンド（受信）の分散バランス状態", _xlfn.REGEXTEST(C179, "Network Outbound Balance"), "ネットワークアウトバウンド（送信）の分散バランス状態", _xlfn.REGEXTEST(C179, "Replica Count Balance"), "レプリカ数の分散バランス状態", _xlfn.REGEXTEST(C179, "Disk Capacity"), "ディスク総容量の限界・使用容量", _xlfn.REGEXTEST(C179, "CPU Capacity"), "CPU総処理能力の限界・使用量", _xlfn.REGEXTEST(C179, "Network Inbound Capacity"), "ネットワークインバウンド（受信）帯域の限界・使用量", _xlfn.REGEXTEST(C179, "Network Outbound Capacity"), "ネットワークアウトバウンド（送信）帯域の限界・使用量", _xlfn.REGEXTEST(C179, "Leader Replica Count Balance"), "リーダーレプリカ数の分散バランス状態", _xlfn.REGEXTEST(C179, "Host DNS Resolution Duration"), "ホストのDNS名前解決の所要時間", _xlfn.REGEXTEST(C179, "TLS Certificate Expiry"), "TLS証明書の有効期限切れ", _xlfn.REGEXTEST(C179, "Host Entropy"), "ホストのエントロピー（乱数生成能力）の不足", _xlfn.REGEXTEST(C179, "File Descriptor"), "プロセスのファイルディスクリプタ使用率", _xlfn.REGEXTEST(C179, "Unexpected Exits"), "プロセスの異常終了（予期せぬ停止）", _xlfn.REGEXTEST(C179, "Swap Memory Thresholds"), "プロセスのスワップメモリ使用量", _xlfn.REGEXTEST(C179, "Swap Memory Usage Rate"), "スワップメモリ使用量の変化率（増加速度）", _xlfn.REGEXTEST(C179, "Log Directory Free Space.*Absolute"), "ログディレクトリの空き容量（絶対値）", _xlfn.REGEXTEST(C179, "Log Directory Free Space.*Percentage"), "ログディレクトリの空き容量割合（%）", _xlfn.REGEXTEST(C179, "Heap Dump Directory Free Space.*Absolute"), "ヒープダンプディレクトリの空き容量（絶対値）", _xlfn.REGEXTEST(C179, "Heap Dump Directory Free Space.*Percentage"), "ヒープダンプディレクトリの空き容量割合（%）", _xlfn.REGEXTEST(C179, "Data Directory Free Space.*Absolute"), "データディレクトリの空き容量（絶対値）", _xlfn.REGEXTEST(C179, "Data Directory Free Space.*Percentage"), "データディレクトリの空き容量割合（%）", _xlfn.REGEXTEST(C179, "Transaction Log Directory Free Space.*Absolute"), "トランザクションログディレクトリの空き容量（絶対値）", _xlfn.REGEXTEST(C179, "Logging Threshold|Logger Threshold"), "ログ出力レベルの閾値設定", _xlfn.REGEXTEST(C179, "Enable.*Alerts"), "ヘルスアラートの有効化状態", _xlfn.REGEXTEST(C179, "Triggers"), "カスタムアラート条件（トリガー設定）", _xlfn.REGEXTEST(C179, "Healthy Kafka Broker"), "Kafka Brokerの健全ノード割合（稼働率）", _xlfn.REGEXTEST(C179, "Healthy Kafka Connect"), "Kafka Connectの健全ノード割合（稼働率）", _xlfn.REGEXTEST(C179, "Healthy KRaft Controller"), "KRaft Controllerの健全ノード割合（稼働率）", _xlfn.REGEXTEST(C179, "Healthy Knox IDBroker"), "Knox IDBrokerの健全ノード割合（稼働率）", _xlfn.REGEXTEST(C179, "Healthy Knox Gateway"), "Knox Gatewayの健全ノード割合（稼働率）", _xlfn.REGEXTEST(C179, "Healthy ZooKeeper Server"), "ZooKeeper Serverの健全ノード割合（稼働率）", _xlfn.REGEXTEST(C179, "Healthy NodeManager"), "NodeManagerの健全ノード割合（稼働率）", _xlfn.REGEXTEST(C179, "Maximum Latency"), "リクエストの最大レイテンシ（処理遅延）", _xlfn.REGEXTEST(C179, "Garbage Collection Duration"), "Javaのガベージコレクション（GC）の所要時間", _xlfn.REGEXTEST(C179, "Spool Directory Usage"), "Rangerプラグインのスプールディレクトリ使用量", _xlfn.REGEXTEST(C179, "Process Directory Free Space Monitoring Absolute"), "プロセスディレクトリの空き容量（絶対値)", _xlfn.REGEXTEST(C179, "Process Directory Free Space.*Percentage"), "プロセスディレクトリの空き容量割合（%）", _xlfn.REGEXTEST(C179, "Parcel Directory Free Space.*Absolute"), "パーセルディレクトリの空き容量（絶対値）", _xlfn.REGEXTEST(C179, "Parcel Directory Free Space.*Percentage"), "パーセルディレクトリの空き容量割合（%）", _xlfn.REGEXTEST(C179, "Host Network Frame Error Percentage"), "ホストのネットワークフレームエラー割合（%）", _xlfn.REGEXTEST(C179, "Network Interfaces Slow Link Modes"), "ホストのネットワークインターフェースの低速リンクモード検出", _xlfn.REGEXTEST(C179, "Host Memory Swapping"), "ホストのメモリのスワップ発生状態", TRUE, "要手動確認")</f>
        <v>リポジトリのステータス状態</v>
      </c>
      <c r="H179" s="479">
        <v>80</v>
      </c>
    </row>
    <row r="180" spans="1:8" ht="16.899999999999999">
      <c r="A180" s="514"/>
      <c r="B180" s="473"/>
      <c r="C180" s="471" t="s">
        <v>984</v>
      </c>
      <c r="D180" s="471" t="s">
        <v>985</v>
      </c>
      <c r="E180" s="471" t="s">
        <v>983</v>
      </c>
      <c r="F180" s="471"/>
      <c r="G180" s="471" t="str" cm="1">
        <f t="array" ref="G180">_xlfn.IFS(C180 = "", "", _xlfn.REGEXTEST(C180, "Service Metric Migrator Minimum Consecutive Successful Checks"), "サービスメトリック移行ツールの連続正常チェック最小回数", _xlfn.REGEXTEST(C180, "Rebalancing"), "リバランシング（データ再配置）状態", _xlfn.REGEXTEST(C180, "Temporary Dump Directory"), "一時ダンプディレクトリの監視", _xlfn.REGEXTEST(C180, "Safemode Extension"), "セーフモード延長状態", _xlfn.REGEXTEST(C180, "Client Idle"), "クライアントのアイドル（待機）状態", _xlfn.REGEXTEST(C180, "Available Space Policy Balanced"), "空き容量ポリシーの分散バランス状態", _xlfn.REGEXTEST(C180, "Filesystem Checkpoint Transaction"), "ファイルシステムのチェックポイントトランザクション", _xlfn.REGEXTEST(C180, "Blocks With Corrupt Replicas Monitoring"), "破損レプリカを持つブロックの監視", _xlfn.REGEXTEST(C180, "Missing Block Monitoring"), "消失（ミッシング）ブロックの監視", _xlfn.REGEXTEST(C180, "Under-replicated Block Monitoring"), "レプリカ数不足ブロックの監視", _xlfn.REGEXTEST(C180, "HDFS Free Space Monitoring"), "HDFSの空き容量監視", _xlfn.REGEXTEST(C180, "DataNode Monitoring"), "DataNodeの稼働状態監視", _xlfn.REGEXTEST(C180, "Rules to Extract Events from Log Files"), "ログファイルからのイベント抽出ルール設定", _xlfn.REGEXTEST(C180, "Free Space Monitoring$"), "空き容量監視（一般設定）", _xlfn.REGEXTEST(C180, "Transceivers Usage"), "トランシーバー使用量（データ転送スレッド数）", _xlfn.REGEXTEST(C180, "Volume Failures"), "ボリューム障害（ディスクエラー）数", _xlfn.REGEXTEST(C180, "Block Count"), "ブロック総数", _xlfn.REGEXTEST(C180, "Audit Failure"), "監査（オーディット）ログの失敗イベント", _xlfn.REGEXTEST(C180, "Web Metric Collection Duration"), "Webメトリック収集の所要時間", _xlfn.REGEXTEST(C180, "Pause Duration"), "一時停止（ポーズ）の所要時間", _xlfn.REGEXTEST(C180, "Fsync Latency"), "Fsync（ディスク同期）のレイテンシ", _xlfn.REGEXTEST(C180, "Free Space Monitoring Absolute"), "空き容量（絶対値）", _xlfn.REGEXTEST(C180, "Free Space Monitoring Percentage"), "空き容量割合（%）", _xlfn.REGEXTEST(C180, "Age Monitoring"), "経過時間の監視", _xlfn.REGEXTEST(C180, "Transactions Monitoring"), "トランザクション数の監視", _xlfn.REGEXTEST(C180, "RPC Latency"), "RPC（遠隔手続き呼出し）のレイテンシ", _xlfn.REGEXTEST(C180, "Directory Failures"), "ディレクトリ障害数", _xlfn.REGEXTEST(C180, "Out-Of-Sync JournalNodes"), "同期ズレが発生しているJournalNode数", _xlfn.REGEXTEST(C180, "Safemode Threshold Percentage"), "セーフモード解除閾値の割合（%）", _xlfn.REGEXTEST(C180, "Kerberos Ticket Renewer Monitoring"), "Kerberosチケット更新プロセスの稼働状態監視", _xlfn.REGEXTEST(C180, "Load Balancer Monitoring"), "ロードバランサーの稼働状態監視", _xlfn.REGEXTEST(C180, "Navigator Audit Failure"), "Cloudera Navigator監査ログの失敗イベント", _xlfn.REGEXTEST(C180, "Schema Registry Server Monitoring"), "Schema Registry Serverの稼働状態監視", _xlfn.REGEXTEST(C180, "SRM Service Monitoring"), "SRMサービスの稼働状態監視", _xlfn.REGEXTEST(C180, "SRM Driver Monitoring"), "SRMドライバーの稼働状態監視", _xlfn.REGEXTEST(C180, "Loggin"), "ログ出力状態・設定監視", _xlfn.REGEXTEST(C180, "Server Monitoring"), "サーバーの稼働状態監視", _xlfn.REGEXTEST(C180, "Server Connection Count"), "サーバーの接続数（コネクション数）", _xlfn.REGEXTEST(C180, "Server Outstanding Requests"), "サーバーの未処理リクエスト数（滞留要求数）", _xlfn.REGEXTEST(C180, "Repository Status"), "リポジトリのステータス状態", _xlfn.REGEXTEST(C180, "Monitor Long Running Task"), "長時間実行タスク（ジョブ）の監視", _xlfn.REGEXTEST(C180, "Token requests per second"), "1秒あたりのトークンリクエスト数（要求レート）", _xlfn.REGEXTEST(C180, "Connection Model Score"), "接続モデルスコア（コネクション品質）", _xlfn.REGEXTEST(C180, "Queue swap"), "キューのスワップ発生状態", _xlfn.REGEXTEST(C180, "NiFi Node Monitoring"), "NiFiノードの稼働状態監視", _xlfn.REGEXTEST(C180, "Host Clock Offset"), "ホストのクロックオフセット（時刻同期のズレ）", _xlfn.REGEXTEST(C180, "Memory Overcommit Validation"), "メモリオーバーコミット設定の検証", _xlfn.REGEXTEST(C180, "Gateway Logging"), "ゲートウェイのログ出力設定", _xlfn.REGEXTEST(C180, "CPU Balance"), "CPU使用率の分散バランス状態", _xlfn.REGEXTEST(C180, "Disk Balance"), "ディスク使用量の分散バランス状態", _xlfn.REGEXTEST(C180, "Network Inbound Balance"), "ネットワークインバウンド（受信）の分散バランス状態", _xlfn.REGEXTEST(C180, "Network Outbound Balance"), "ネットワークアウトバウンド（送信）の分散バランス状態", _xlfn.REGEXTEST(C180, "Replica Count Balance"), "レプリカ数の分散バランス状態", _xlfn.REGEXTEST(C180, "Disk Capacity"), "ディスク総容量の限界・使用容量", _xlfn.REGEXTEST(C180, "CPU Capacity"), "CPU総処理能力の限界・使用量", _xlfn.REGEXTEST(C180, "Network Inbound Capacity"), "ネットワークインバウンド（受信）帯域の限界・使用量", _xlfn.REGEXTEST(C180, "Network Outbound Capacity"), "ネットワークアウトバウンド（送信）帯域の限界・使用量", _xlfn.REGEXTEST(C180, "Leader Replica Count Balance"), "リーダーレプリカ数の分散バランス状態", _xlfn.REGEXTEST(C180, "Host DNS Resolution Duration"), "ホストのDNS名前解決の所要時間", _xlfn.REGEXTEST(C180, "TLS Certificate Expiry"), "TLS証明書の有効期限切れ", _xlfn.REGEXTEST(C180, "Host Entropy"), "ホストのエントロピー（乱数生成能力）の不足", _xlfn.REGEXTEST(C180, "File Descriptor"), "プロセスのファイルディスクリプタ使用率", _xlfn.REGEXTEST(C180, "Unexpected Exits"), "プロセスの異常終了（予期せぬ停止）", _xlfn.REGEXTEST(C180, "Swap Memory Thresholds"), "プロセスのスワップメモリ使用量", _xlfn.REGEXTEST(C180, "Swap Memory Usage Rate"), "スワップメモリ使用量の変化率（増加速度）", _xlfn.REGEXTEST(C180, "Log Directory Free Space.*Absolute"), "ログディレクトリの空き容量（絶対値）", _xlfn.REGEXTEST(C180, "Log Directory Free Space.*Percentage"), "ログディレクトリの空き容量割合（%）", _xlfn.REGEXTEST(C180, "Heap Dump Directory Free Space.*Absolute"), "ヒープダンプディレクトリの空き容量（絶対値）", _xlfn.REGEXTEST(C180, "Heap Dump Directory Free Space.*Percentage"), "ヒープダンプディレクトリの空き容量割合（%）", _xlfn.REGEXTEST(C180, "Data Directory Free Space.*Absolute"), "データディレクトリの空き容量（絶対値）", _xlfn.REGEXTEST(C180, "Data Directory Free Space.*Percentage"), "データディレクトリの空き容量割合（%）", _xlfn.REGEXTEST(C180, "Transaction Log Directory Free Space.*Absolute"), "トランザクションログディレクトリの空き容量（絶対値）", _xlfn.REGEXTEST(C180, "Logging Threshold|Logger Threshold"), "ログ出力レベルの閾値設定", _xlfn.REGEXTEST(C180, "Enable.*Alerts"), "ヘルスアラートの有効化状態", _xlfn.REGEXTEST(C180, "Triggers"), "カスタムアラート条件（トリガー設定）", _xlfn.REGEXTEST(C180, "Healthy Kafka Broker"), "Kafka Brokerの健全ノード割合（稼働率）", _xlfn.REGEXTEST(C180, "Healthy Kafka Connect"), "Kafka Connectの健全ノード割合（稼働率）", _xlfn.REGEXTEST(C180, "Healthy KRaft Controller"), "KRaft Controllerの健全ノード割合（稼働率）", _xlfn.REGEXTEST(C180, "Healthy Knox IDBroker"), "Knox IDBrokerの健全ノード割合（稼働率）", _xlfn.REGEXTEST(C180, "Healthy Knox Gateway"), "Knox Gatewayの健全ノード割合（稼働率）", _xlfn.REGEXTEST(C180, "Healthy ZooKeeper Server"), "ZooKeeper Serverの健全ノード割合（稼働率）", _xlfn.REGEXTEST(C180, "Healthy NodeManager"), "NodeManagerの健全ノード割合（稼働率）", _xlfn.REGEXTEST(C180, "Maximum Latency"), "リクエストの最大レイテンシ（処理遅延）", _xlfn.REGEXTEST(C180, "Garbage Collection Duration"), "Javaのガベージコレクション（GC）の所要時間", _xlfn.REGEXTEST(C180, "Spool Directory Usage"), "Rangerプラグインのスプールディレクトリ使用量", _xlfn.REGEXTEST(C180, "Process Directory Free Space Monitoring Absolute"), "プロセスディレクトリの空き容量（絶対値)", _xlfn.REGEXTEST(C180, "Process Directory Free Space.*Percentage"), "プロセスディレクトリの空き容量割合（%）", _xlfn.REGEXTEST(C180, "Parcel Directory Free Space.*Absolute"), "パーセルディレクトリの空き容量（絶対値）", _xlfn.REGEXTEST(C180, "Parcel Directory Free Space.*Percentage"), "パーセルディレクトリの空き容量割合（%）", _xlfn.REGEXTEST(C180, "Host Network Frame Error Percentage"), "ホストのネットワークフレームエラー割合（%）", _xlfn.REGEXTEST(C180, "Network Interfaces Slow Link Modes"), "ホストのネットワークインターフェースの低速リンクモード検出", _xlfn.REGEXTEST(C180, "Host Memory Swapping"), "ホストのメモリのスワップ発生状態", TRUE, "要手動確認")</f>
        <v>リポジトリのステータス状態</v>
      </c>
      <c r="H180" s="479">
        <v>90</v>
      </c>
    </row>
    <row r="181" spans="1:8" ht="16.899999999999999">
      <c r="A181" s="514"/>
      <c r="B181" s="473"/>
      <c r="C181" s="471" t="s">
        <v>986</v>
      </c>
      <c r="D181" s="471" t="s">
        <v>987</v>
      </c>
      <c r="E181" s="471" t="s">
        <v>983</v>
      </c>
      <c r="F181" s="471"/>
      <c r="G181" s="471" t="str" cm="1">
        <f t="array" ref="G181">_xlfn.IFS(C181 = "", "", _xlfn.REGEXTEST(C181, "Service Metric Migrator Minimum Consecutive Successful Checks"), "サービスメトリック移行ツールの連続正常チェック最小回数", _xlfn.REGEXTEST(C181, "Rebalancing"), "リバランシング（データ再配置）状態", _xlfn.REGEXTEST(C181, "Temporary Dump Directory"), "一時ダンプディレクトリの監視", _xlfn.REGEXTEST(C181, "Safemode Extension"), "セーフモード延長状態", _xlfn.REGEXTEST(C181, "Client Idle"), "クライアントのアイドル（待機）状態", _xlfn.REGEXTEST(C181, "Available Space Policy Balanced"), "空き容量ポリシーの分散バランス状態", _xlfn.REGEXTEST(C181, "Filesystem Checkpoint Transaction"), "ファイルシステムのチェックポイントトランザクション", _xlfn.REGEXTEST(C181, "Blocks With Corrupt Replicas Monitoring"), "破損レプリカを持つブロックの監視", _xlfn.REGEXTEST(C181, "Missing Block Monitoring"), "消失（ミッシング）ブロックの監視", _xlfn.REGEXTEST(C181, "Under-replicated Block Monitoring"), "レプリカ数不足ブロックの監視", _xlfn.REGEXTEST(C181, "HDFS Free Space Monitoring"), "HDFSの空き容量監視", _xlfn.REGEXTEST(C181, "DataNode Monitoring"), "DataNodeの稼働状態監視", _xlfn.REGEXTEST(C181, "Rules to Extract Events from Log Files"), "ログファイルからのイベント抽出ルール設定", _xlfn.REGEXTEST(C181, "Free Space Monitoring$"), "空き容量監視（一般設定）", _xlfn.REGEXTEST(C181, "Transceivers Usage"), "トランシーバー使用量（データ転送スレッド数）", _xlfn.REGEXTEST(C181, "Volume Failures"), "ボリューム障害（ディスクエラー）数", _xlfn.REGEXTEST(C181, "Block Count"), "ブロック総数", _xlfn.REGEXTEST(C181, "Audit Failure"), "監査（オーディット）ログの失敗イベント", _xlfn.REGEXTEST(C181, "Web Metric Collection Duration"), "Webメトリック収集の所要時間", _xlfn.REGEXTEST(C181, "Pause Duration"), "一時停止（ポーズ）の所要時間", _xlfn.REGEXTEST(C181, "Fsync Latency"), "Fsync（ディスク同期）のレイテンシ", _xlfn.REGEXTEST(C181, "Free Space Monitoring Absolute"), "空き容量（絶対値）", _xlfn.REGEXTEST(C181, "Free Space Monitoring Percentage"), "空き容量割合（%）", _xlfn.REGEXTEST(C181, "Age Monitoring"), "経過時間の監視", _xlfn.REGEXTEST(C181, "Transactions Monitoring"), "トランザクション数の監視", _xlfn.REGEXTEST(C181, "RPC Latency"), "RPC（遠隔手続き呼出し）のレイテンシ", _xlfn.REGEXTEST(C181, "Directory Failures"), "ディレクトリ障害数", _xlfn.REGEXTEST(C181, "Out-Of-Sync JournalNodes"), "同期ズレが発生しているJournalNode数", _xlfn.REGEXTEST(C181, "Safemode Threshold Percentage"), "セーフモード解除閾値の割合（%）", _xlfn.REGEXTEST(C181, "Kerberos Ticket Renewer Monitoring"), "Kerberosチケット更新プロセスの稼働状態監視", _xlfn.REGEXTEST(C181, "Load Balancer Monitoring"), "ロードバランサーの稼働状態監視", _xlfn.REGEXTEST(C181, "Navigator Audit Failure"), "Cloudera Navigator監査ログの失敗イベント", _xlfn.REGEXTEST(C181, "Schema Registry Server Monitoring"), "Schema Registry Serverの稼働状態監視", _xlfn.REGEXTEST(C181, "SRM Service Monitoring"), "SRMサービスの稼働状態監視", _xlfn.REGEXTEST(C181, "SRM Driver Monitoring"), "SRMドライバーの稼働状態監視", _xlfn.REGEXTEST(C181, "Loggin"), "ログ出力状態・設定監視", _xlfn.REGEXTEST(C181, "Server Monitoring"), "サーバーの稼働状態監視", _xlfn.REGEXTEST(C181, "Server Connection Count"), "サーバーの接続数（コネクション数）", _xlfn.REGEXTEST(C181, "Server Outstanding Requests"), "サーバーの未処理リクエスト数（滞留要求数）", _xlfn.REGEXTEST(C181, "Repository Status"), "リポジトリのステータス状態", _xlfn.REGEXTEST(C181, "Monitor Long Running Task"), "長時間実行タスク（ジョブ）の監視", _xlfn.REGEXTEST(C181, "Token requests per second"), "1秒あたりのトークンリクエスト数（要求レート）", _xlfn.REGEXTEST(C181, "Connection Model Score"), "接続モデルスコア（コネクション品質）", _xlfn.REGEXTEST(C181, "Queue swap"), "キューのスワップ発生状態", _xlfn.REGEXTEST(C181, "NiFi Node Monitoring"), "NiFiノードの稼働状態監視", _xlfn.REGEXTEST(C181, "Host Clock Offset"), "ホストのクロックオフセット（時刻同期のズレ）", _xlfn.REGEXTEST(C181, "Memory Overcommit Validation"), "メモリオーバーコミット設定の検証", _xlfn.REGEXTEST(C181, "Gateway Logging"), "ゲートウェイのログ出力設定", _xlfn.REGEXTEST(C181, "CPU Balance"), "CPU使用率の分散バランス状態", _xlfn.REGEXTEST(C181, "Disk Balance"), "ディスク使用量の分散バランス状態", _xlfn.REGEXTEST(C181, "Network Inbound Balance"), "ネットワークインバウンド（受信）の分散バランス状態", _xlfn.REGEXTEST(C181, "Network Outbound Balance"), "ネットワークアウトバウンド（送信）の分散バランス状態", _xlfn.REGEXTEST(C181, "Replica Count Balance"), "レプリカ数の分散バランス状態", _xlfn.REGEXTEST(C181, "Disk Capacity"), "ディスク総容量の限界・使用容量", _xlfn.REGEXTEST(C181, "CPU Capacity"), "CPU総処理能力の限界・使用量", _xlfn.REGEXTEST(C181, "Network Inbound Capacity"), "ネットワークインバウンド（受信）帯域の限界・使用量", _xlfn.REGEXTEST(C181, "Network Outbound Capacity"), "ネットワークアウトバウンド（送信）帯域の限界・使用量", _xlfn.REGEXTEST(C181, "Leader Replica Count Balance"), "リーダーレプリカ数の分散バランス状態", _xlfn.REGEXTEST(C181, "Host DNS Resolution Duration"), "ホストのDNS名前解決の所要時間", _xlfn.REGEXTEST(C181, "TLS Certificate Expiry"), "TLS証明書の有効期限切れ", _xlfn.REGEXTEST(C181, "Host Entropy"), "ホストのエントロピー（乱数生成能力）の不足", _xlfn.REGEXTEST(C181, "File Descriptor"), "プロセスのファイルディスクリプタ使用率", _xlfn.REGEXTEST(C181, "Unexpected Exits"), "プロセスの異常終了（予期せぬ停止）", _xlfn.REGEXTEST(C181, "Swap Memory Thresholds"), "プロセスのスワップメモリ使用量", _xlfn.REGEXTEST(C181, "Swap Memory Usage Rate"), "スワップメモリ使用量の変化率（増加速度）", _xlfn.REGEXTEST(C181, "Log Directory Free Space.*Absolute"), "ログディレクトリの空き容量（絶対値）", _xlfn.REGEXTEST(C181, "Log Directory Free Space.*Percentage"), "ログディレクトリの空き容量割合（%）", _xlfn.REGEXTEST(C181, "Heap Dump Directory Free Space.*Absolute"), "ヒープダンプディレクトリの空き容量（絶対値）", _xlfn.REGEXTEST(C181, "Heap Dump Directory Free Space.*Percentage"), "ヒープダンプディレクトリの空き容量割合（%）", _xlfn.REGEXTEST(C181, "Data Directory Free Space.*Absolute"), "データディレクトリの空き容量（絶対値）", _xlfn.REGEXTEST(C181, "Data Directory Free Space.*Percentage"), "データディレクトリの空き容量割合（%）", _xlfn.REGEXTEST(C181, "Transaction Log Directory Free Space.*Absolute"), "トランザクションログディレクトリの空き容量（絶対値）", _xlfn.REGEXTEST(C181, "Logging Threshold|Logger Threshold"), "ログ出力レベルの閾値設定", _xlfn.REGEXTEST(C181, "Enable.*Alerts"), "ヘルスアラートの有効化状態", _xlfn.REGEXTEST(C181, "Triggers"), "カスタムアラート条件（トリガー設定）", _xlfn.REGEXTEST(C181, "Healthy Kafka Broker"), "Kafka Brokerの健全ノード割合（稼働率）", _xlfn.REGEXTEST(C181, "Healthy Kafka Connect"), "Kafka Connectの健全ノード割合（稼働率）", _xlfn.REGEXTEST(C181, "Healthy KRaft Controller"), "KRaft Controllerの健全ノード割合（稼働率）", _xlfn.REGEXTEST(C181, "Healthy Knox IDBroker"), "Knox IDBrokerの健全ノード割合（稼働率）", _xlfn.REGEXTEST(C181, "Healthy Knox Gateway"), "Knox Gatewayの健全ノード割合（稼働率）", _xlfn.REGEXTEST(C181, "Healthy ZooKeeper Server"), "ZooKeeper Serverの健全ノード割合（稼働率）", _xlfn.REGEXTEST(C181, "Healthy NodeManager"), "NodeManagerの健全ノード割合（稼働率）", _xlfn.REGEXTEST(C181, "Maximum Latency"), "リクエストの最大レイテンシ（処理遅延）", _xlfn.REGEXTEST(C181, "Garbage Collection Duration"), "Javaのガベージコレクション（GC）の所要時間", _xlfn.REGEXTEST(C181, "Spool Directory Usage"), "Rangerプラグインのスプールディレクトリ使用量", _xlfn.REGEXTEST(C181, "Process Directory Free Space Monitoring Absolute"), "プロセスディレクトリの空き容量（絶対値)", _xlfn.REGEXTEST(C181, "Process Directory Free Space.*Percentage"), "プロセスディレクトリの空き容量割合（%）", _xlfn.REGEXTEST(C181, "Parcel Directory Free Space.*Absolute"), "パーセルディレクトリの空き容量（絶対値）", _xlfn.REGEXTEST(C181, "Parcel Directory Free Space.*Percentage"), "パーセルディレクトリの空き容量割合（%）", _xlfn.REGEXTEST(C181, "Host Network Frame Error Percentage"), "ホストのネットワークフレームエラー割合（%）", _xlfn.REGEXTEST(C181, "Network Interfaces Slow Link Modes"), "ホストのネットワークインターフェースの低速リンクモード検出", _xlfn.REGEXTEST(C181, "Host Memory Swapping"), "ホストのメモリのスワップ発生状態", TRUE, "要手動確認")</f>
        <v>リポジトリのステータス状態</v>
      </c>
      <c r="H181" s="479">
        <v>80</v>
      </c>
    </row>
    <row r="182" spans="1:8" ht="16.899999999999999">
      <c r="A182" s="514"/>
      <c r="B182" s="473"/>
      <c r="C182" s="471" t="s">
        <v>988</v>
      </c>
      <c r="D182" s="471" t="s">
        <v>989</v>
      </c>
      <c r="E182" s="471" t="s">
        <v>983</v>
      </c>
      <c r="F182" s="471"/>
      <c r="G182" s="471" t="str" cm="1">
        <f t="array" ref="G182">_xlfn.IFS(C182 = "", "", _xlfn.REGEXTEST(C182, "Service Metric Migrator Minimum Consecutive Successful Checks"), "サービスメトリック移行ツールの連続正常チェック最小回数", _xlfn.REGEXTEST(C182, "Rebalancing"), "リバランシング（データ再配置）状態", _xlfn.REGEXTEST(C182, "Temporary Dump Directory"), "一時ダンプディレクトリの監視", _xlfn.REGEXTEST(C182, "Safemode Extension"), "セーフモード延長状態", _xlfn.REGEXTEST(C182, "Client Idle"), "クライアントのアイドル（待機）状態", _xlfn.REGEXTEST(C182, "Available Space Policy Balanced"), "空き容量ポリシーの分散バランス状態", _xlfn.REGEXTEST(C182, "Filesystem Checkpoint Transaction"), "ファイルシステムのチェックポイントトランザクション", _xlfn.REGEXTEST(C182, "Blocks With Corrupt Replicas Monitoring"), "破損レプリカを持つブロックの監視", _xlfn.REGEXTEST(C182, "Missing Block Monitoring"), "消失（ミッシング）ブロックの監視", _xlfn.REGEXTEST(C182, "Under-replicated Block Monitoring"), "レプリカ数不足ブロックの監視", _xlfn.REGEXTEST(C182, "HDFS Free Space Monitoring"), "HDFSの空き容量監視", _xlfn.REGEXTEST(C182, "DataNode Monitoring"), "DataNodeの稼働状態監視", _xlfn.REGEXTEST(C182, "Rules to Extract Events from Log Files"), "ログファイルからのイベント抽出ルール設定", _xlfn.REGEXTEST(C182, "Free Space Monitoring$"), "空き容量監視（一般設定）", _xlfn.REGEXTEST(C182, "Transceivers Usage"), "トランシーバー使用量（データ転送スレッド数）", _xlfn.REGEXTEST(C182, "Volume Failures"), "ボリューム障害（ディスクエラー）数", _xlfn.REGEXTEST(C182, "Block Count"), "ブロック総数", _xlfn.REGEXTEST(C182, "Audit Failure"), "監査（オーディット）ログの失敗イベント", _xlfn.REGEXTEST(C182, "Web Metric Collection Duration"), "Webメトリック収集の所要時間", _xlfn.REGEXTEST(C182, "Pause Duration"), "一時停止（ポーズ）の所要時間", _xlfn.REGEXTEST(C182, "Fsync Latency"), "Fsync（ディスク同期）のレイテンシ", _xlfn.REGEXTEST(C182, "Free Space Monitoring Absolute"), "空き容量（絶対値）", _xlfn.REGEXTEST(C182, "Free Space Monitoring Percentage"), "空き容量割合（%）", _xlfn.REGEXTEST(C182, "Age Monitoring"), "経過時間の監視", _xlfn.REGEXTEST(C182, "Transactions Monitoring"), "トランザクション数の監視", _xlfn.REGEXTEST(C182, "RPC Latency"), "RPC（遠隔手続き呼出し）のレイテンシ", _xlfn.REGEXTEST(C182, "Directory Failures"), "ディレクトリ障害数", _xlfn.REGEXTEST(C182, "Out-Of-Sync JournalNodes"), "同期ズレが発生しているJournalNode数", _xlfn.REGEXTEST(C182, "Safemode Threshold Percentage"), "セーフモード解除閾値の割合（%）", _xlfn.REGEXTEST(C182, "Kerberos Ticket Renewer Monitoring"), "Kerberosチケット更新プロセスの稼働状態監視", _xlfn.REGEXTEST(C182, "Load Balancer Monitoring"), "ロードバランサーの稼働状態監視", _xlfn.REGEXTEST(C182, "Navigator Audit Failure"), "Cloudera Navigator監査ログの失敗イベント", _xlfn.REGEXTEST(C182, "Schema Registry Server Monitoring"), "Schema Registry Serverの稼働状態監視", _xlfn.REGEXTEST(C182, "SRM Service Monitoring"), "SRMサービスの稼働状態監視", _xlfn.REGEXTEST(C182, "SRM Driver Monitoring"), "SRMドライバーの稼働状態監視", _xlfn.REGEXTEST(C182, "Loggin"), "ログ出力状態・設定監視", _xlfn.REGEXTEST(C182, "Server Monitoring"), "サーバーの稼働状態監視", _xlfn.REGEXTEST(C182, "Server Connection Count"), "サーバーの接続数（コネクション数）", _xlfn.REGEXTEST(C182, "Server Outstanding Requests"), "サーバーの未処理リクエスト数（滞留要求数）", _xlfn.REGEXTEST(C182, "Repository Status"), "リポジトリのステータス状態", _xlfn.REGEXTEST(C182, "Monitor Long Running Task"), "長時間実行タスク（ジョブ）の監視", _xlfn.REGEXTEST(C182, "Token requests per second"), "1秒あたりのトークンリクエスト数（要求レート）", _xlfn.REGEXTEST(C182, "Connection Model Score"), "接続モデルスコア（コネクション品質）", _xlfn.REGEXTEST(C182, "Queue swap"), "キューのスワップ発生状態", _xlfn.REGEXTEST(C182, "NiFi Node Monitoring"), "NiFiノードの稼働状態監視", _xlfn.REGEXTEST(C182, "Host Clock Offset"), "ホストのクロックオフセット（時刻同期のズレ）", _xlfn.REGEXTEST(C182, "Memory Overcommit Validation"), "メモリオーバーコミット設定の検証", _xlfn.REGEXTEST(C182, "Gateway Logging"), "ゲートウェイのログ出力設定", _xlfn.REGEXTEST(C182, "CPU Balance"), "CPU使用率の分散バランス状態", _xlfn.REGEXTEST(C182, "Disk Balance"), "ディスク使用量の分散バランス状態", _xlfn.REGEXTEST(C182, "Network Inbound Balance"), "ネットワークインバウンド（受信）の分散バランス状態", _xlfn.REGEXTEST(C182, "Network Outbound Balance"), "ネットワークアウトバウンド（送信）の分散バランス状態", _xlfn.REGEXTEST(C182, "Replica Count Balance"), "レプリカ数の分散バランス状態", _xlfn.REGEXTEST(C182, "Disk Capacity"), "ディスク総容量の限界・使用容量", _xlfn.REGEXTEST(C182, "CPU Capacity"), "CPU総処理能力の限界・使用量", _xlfn.REGEXTEST(C182, "Network Inbound Capacity"), "ネットワークインバウンド（受信）帯域の限界・使用量", _xlfn.REGEXTEST(C182, "Network Outbound Capacity"), "ネットワークアウトバウンド（送信）帯域の限界・使用量", _xlfn.REGEXTEST(C182, "Leader Replica Count Balance"), "リーダーレプリカ数の分散バランス状態", _xlfn.REGEXTEST(C182, "Host DNS Resolution Duration"), "ホストのDNS名前解決の所要時間", _xlfn.REGEXTEST(C182, "TLS Certificate Expiry"), "TLS証明書の有効期限切れ", _xlfn.REGEXTEST(C182, "Host Entropy"), "ホストのエントロピー（乱数生成能力）の不足", _xlfn.REGEXTEST(C182, "File Descriptor"), "プロセスのファイルディスクリプタ使用率", _xlfn.REGEXTEST(C182, "Unexpected Exits"), "プロセスの異常終了（予期せぬ停止）", _xlfn.REGEXTEST(C182, "Swap Memory Thresholds"), "プロセスのスワップメモリ使用量", _xlfn.REGEXTEST(C182, "Swap Memory Usage Rate"), "スワップメモリ使用量の変化率（増加速度）", _xlfn.REGEXTEST(C182, "Log Directory Free Space.*Absolute"), "ログディレクトリの空き容量（絶対値）", _xlfn.REGEXTEST(C182, "Log Directory Free Space.*Percentage"), "ログディレクトリの空き容量割合（%）", _xlfn.REGEXTEST(C182, "Heap Dump Directory Free Space.*Absolute"), "ヒープダンプディレクトリの空き容量（絶対値）", _xlfn.REGEXTEST(C182, "Heap Dump Directory Free Space.*Percentage"), "ヒープダンプディレクトリの空き容量割合（%）", _xlfn.REGEXTEST(C182, "Data Directory Free Space.*Absolute"), "データディレクトリの空き容量（絶対値）", _xlfn.REGEXTEST(C182, "Data Directory Free Space.*Percentage"), "データディレクトリの空き容量割合（%）", _xlfn.REGEXTEST(C182, "Transaction Log Directory Free Space.*Absolute"), "トランザクションログディレクトリの空き容量（絶対値）", _xlfn.REGEXTEST(C182, "Logging Threshold|Logger Threshold"), "ログ出力レベルの閾値設定", _xlfn.REGEXTEST(C182, "Enable.*Alerts"), "ヘルスアラートの有効化状態", _xlfn.REGEXTEST(C182, "Triggers"), "カスタムアラート条件（トリガー設定）", _xlfn.REGEXTEST(C182, "Healthy Kafka Broker"), "Kafka Brokerの健全ノード割合（稼働率）", _xlfn.REGEXTEST(C182, "Healthy Kafka Connect"), "Kafka Connectの健全ノード割合（稼働率）", _xlfn.REGEXTEST(C182, "Healthy KRaft Controller"), "KRaft Controllerの健全ノード割合（稼働率）", _xlfn.REGEXTEST(C182, "Healthy Knox IDBroker"), "Knox IDBrokerの健全ノード割合（稼働率）", _xlfn.REGEXTEST(C182, "Healthy Knox Gateway"), "Knox Gatewayの健全ノード割合（稼働率）", _xlfn.REGEXTEST(C182, "Healthy ZooKeeper Server"), "ZooKeeper Serverの健全ノード割合（稼働率）", _xlfn.REGEXTEST(C182, "Healthy NodeManager"), "NodeManagerの健全ノード割合（稼働率）", _xlfn.REGEXTEST(C182, "Maximum Latency"), "リクエストの最大レイテンシ（処理遅延）", _xlfn.REGEXTEST(C182, "Garbage Collection Duration"), "Javaのガベージコレクション（GC）の所要時間", _xlfn.REGEXTEST(C182, "Spool Directory Usage"), "Rangerプラグインのスプールディレクトリ使用量", _xlfn.REGEXTEST(C182, "Process Directory Free Space Monitoring Absolute"), "プロセスディレクトリの空き容量（絶対値)", _xlfn.REGEXTEST(C182, "Process Directory Free Space.*Percentage"), "プロセスディレクトリの空き容量割合（%）", _xlfn.REGEXTEST(C182, "Parcel Directory Free Space.*Absolute"), "パーセルディレクトリの空き容量（絶対値）", _xlfn.REGEXTEST(C182, "Parcel Directory Free Space.*Percentage"), "パーセルディレクトリの空き容量割合（%）", _xlfn.REGEXTEST(C182, "Host Network Frame Error Percentage"), "ホストのネットワークフレームエラー割合（%）", _xlfn.REGEXTEST(C182, "Network Interfaces Slow Link Modes"), "ホストのネットワークインターフェースの低速リンクモード検出", _xlfn.REGEXTEST(C182, "Host Memory Swapping"), "ホストのメモリのスワップ発生状態", TRUE, "要手動確認")</f>
        <v>リポジトリのステータス状態</v>
      </c>
      <c r="H182" s="479">
        <v>90</v>
      </c>
    </row>
    <row r="183" spans="1:8" ht="16.899999999999999">
      <c r="A183" s="514"/>
      <c r="B183" s="473"/>
      <c r="C183" s="471" t="s">
        <v>990</v>
      </c>
      <c r="D183" s="471" t="s">
        <v>991</v>
      </c>
      <c r="E183" s="471" t="s">
        <v>983</v>
      </c>
      <c r="F183" s="471"/>
      <c r="G183" s="471" t="str" cm="1">
        <f t="array" ref="G183">_xlfn.IFS(C183 = "", "", _xlfn.REGEXTEST(C183, "Service Metric Migrator Minimum Consecutive Successful Checks"), "サービスメトリック移行ツールの連続正常チェック最小回数", _xlfn.REGEXTEST(C183, "Rebalancing"), "リバランシング（データ再配置）状態", _xlfn.REGEXTEST(C183, "Temporary Dump Directory"), "一時ダンプディレクトリの監視", _xlfn.REGEXTEST(C183, "Safemode Extension"), "セーフモード延長状態", _xlfn.REGEXTEST(C183, "Client Idle"), "クライアントのアイドル（待機）状態", _xlfn.REGEXTEST(C183, "Available Space Policy Balanced"), "空き容量ポリシーの分散バランス状態", _xlfn.REGEXTEST(C183, "Filesystem Checkpoint Transaction"), "ファイルシステムのチェックポイントトランザクション", _xlfn.REGEXTEST(C183, "Blocks With Corrupt Replicas Monitoring"), "破損レプリカを持つブロックの監視", _xlfn.REGEXTEST(C183, "Missing Block Monitoring"), "消失（ミッシング）ブロックの監視", _xlfn.REGEXTEST(C183, "Under-replicated Block Monitoring"), "レプリカ数不足ブロックの監視", _xlfn.REGEXTEST(C183, "HDFS Free Space Monitoring"), "HDFSの空き容量監視", _xlfn.REGEXTEST(C183, "DataNode Monitoring"), "DataNodeの稼働状態監視", _xlfn.REGEXTEST(C183, "Rules to Extract Events from Log Files"), "ログファイルからのイベント抽出ルール設定", _xlfn.REGEXTEST(C183, "Free Space Monitoring$"), "空き容量監視（一般設定）", _xlfn.REGEXTEST(C183, "Transceivers Usage"), "トランシーバー使用量（データ転送スレッド数）", _xlfn.REGEXTEST(C183, "Volume Failures"), "ボリューム障害（ディスクエラー）数", _xlfn.REGEXTEST(C183, "Block Count"), "ブロック総数", _xlfn.REGEXTEST(C183, "Audit Failure"), "監査（オーディット）ログの失敗イベント", _xlfn.REGEXTEST(C183, "Web Metric Collection Duration"), "Webメトリック収集の所要時間", _xlfn.REGEXTEST(C183, "Pause Duration"), "一時停止（ポーズ）の所要時間", _xlfn.REGEXTEST(C183, "Fsync Latency"), "Fsync（ディスク同期）のレイテンシ", _xlfn.REGEXTEST(C183, "Free Space Monitoring Absolute"), "空き容量（絶対値）", _xlfn.REGEXTEST(C183, "Free Space Monitoring Percentage"), "空き容量割合（%）", _xlfn.REGEXTEST(C183, "Age Monitoring"), "経過時間の監視", _xlfn.REGEXTEST(C183, "Transactions Monitoring"), "トランザクション数の監視", _xlfn.REGEXTEST(C183, "RPC Latency"), "RPC（遠隔手続き呼出し）のレイテンシ", _xlfn.REGEXTEST(C183, "Directory Failures"), "ディレクトリ障害数", _xlfn.REGEXTEST(C183, "Out-Of-Sync JournalNodes"), "同期ズレが発生しているJournalNode数", _xlfn.REGEXTEST(C183, "Safemode Threshold Percentage"), "セーフモード解除閾値の割合（%）", _xlfn.REGEXTEST(C183, "Kerberos Ticket Renewer Monitoring"), "Kerberosチケット更新プロセスの稼働状態監視", _xlfn.REGEXTEST(C183, "Load Balancer Monitoring"), "ロードバランサーの稼働状態監視", _xlfn.REGEXTEST(C183, "Navigator Audit Failure"), "Cloudera Navigator監査ログの失敗イベント", _xlfn.REGEXTEST(C183, "Schema Registry Server Monitoring"), "Schema Registry Serverの稼働状態監視", _xlfn.REGEXTEST(C183, "SRM Service Monitoring"), "SRMサービスの稼働状態監視", _xlfn.REGEXTEST(C183, "SRM Driver Monitoring"), "SRMドライバーの稼働状態監視", _xlfn.REGEXTEST(C183, "Loggin"), "ログ出力状態・設定監視", _xlfn.REGEXTEST(C183, "Server Monitoring"), "サーバーの稼働状態監視", _xlfn.REGEXTEST(C183, "Server Connection Count"), "サーバーの接続数（コネクション数）", _xlfn.REGEXTEST(C183, "Server Outstanding Requests"), "サーバーの未処理リクエスト数（滞留要求数）", _xlfn.REGEXTEST(C183, "Repository Status"), "リポジトリのステータス状態", _xlfn.REGEXTEST(C183, "Monitor Long Running Task"), "長時間実行タスク（ジョブ）の監視", _xlfn.REGEXTEST(C183, "Token requests per second"), "1秒あたりのトークンリクエスト数（要求レート）", _xlfn.REGEXTEST(C183, "Connection Model Score"), "接続モデルスコア（コネクション品質）", _xlfn.REGEXTEST(C183, "Queue swap"), "キューのスワップ発生状態", _xlfn.REGEXTEST(C183, "NiFi Node Monitoring"), "NiFiノードの稼働状態監視", _xlfn.REGEXTEST(C183, "Host Clock Offset"), "ホストのクロックオフセット（時刻同期のズレ）", _xlfn.REGEXTEST(C183, "Memory Overcommit Validation"), "メモリオーバーコミット設定の検証", _xlfn.REGEXTEST(C183, "Gateway Logging"), "ゲートウェイのログ出力設定", _xlfn.REGEXTEST(C183, "CPU Balance"), "CPU使用率の分散バランス状態", _xlfn.REGEXTEST(C183, "Disk Balance"), "ディスク使用量の分散バランス状態", _xlfn.REGEXTEST(C183, "Network Inbound Balance"), "ネットワークインバウンド（受信）の分散バランス状態", _xlfn.REGEXTEST(C183, "Network Outbound Balance"), "ネットワークアウトバウンド（送信）の分散バランス状態", _xlfn.REGEXTEST(C183, "Replica Count Balance"), "レプリカ数の分散バランス状態", _xlfn.REGEXTEST(C183, "Disk Capacity"), "ディスク総容量の限界・使用容量", _xlfn.REGEXTEST(C183, "CPU Capacity"), "CPU総処理能力の限界・使用量", _xlfn.REGEXTEST(C183, "Network Inbound Capacity"), "ネットワークインバウンド（受信）帯域の限界・使用量", _xlfn.REGEXTEST(C183, "Network Outbound Capacity"), "ネットワークアウトバウンド（送信）帯域の限界・使用量", _xlfn.REGEXTEST(C183, "Leader Replica Count Balance"), "リーダーレプリカ数の分散バランス状態", _xlfn.REGEXTEST(C183, "Host DNS Resolution Duration"), "ホストのDNS名前解決の所要時間", _xlfn.REGEXTEST(C183, "TLS Certificate Expiry"), "TLS証明書の有効期限切れ", _xlfn.REGEXTEST(C183, "Host Entropy"), "ホストのエントロピー（乱数生成能力）の不足", _xlfn.REGEXTEST(C183, "File Descriptor"), "プロセスのファイルディスクリプタ使用率", _xlfn.REGEXTEST(C183, "Unexpected Exits"), "プロセスの異常終了（予期せぬ停止）", _xlfn.REGEXTEST(C183, "Swap Memory Thresholds"), "プロセスのスワップメモリ使用量", _xlfn.REGEXTEST(C183, "Swap Memory Usage Rate"), "スワップメモリ使用量の変化率（増加速度）", _xlfn.REGEXTEST(C183, "Log Directory Free Space.*Absolute"), "ログディレクトリの空き容量（絶対値）", _xlfn.REGEXTEST(C183, "Log Directory Free Space.*Percentage"), "ログディレクトリの空き容量割合（%）", _xlfn.REGEXTEST(C183, "Heap Dump Directory Free Space.*Absolute"), "ヒープダンプディレクトリの空き容量（絶対値）", _xlfn.REGEXTEST(C183, "Heap Dump Directory Free Space.*Percentage"), "ヒープダンプディレクトリの空き容量割合（%）", _xlfn.REGEXTEST(C183, "Data Directory Free Space.*Absolute"), "データディレクトリの空き容量（絶対値）", _xlfn.REGEXTEST(C183, "Data Directory Free Space.*Percentage"), "データディレクトリの空き容量割合（%）", _xlfn.REGEXTEST(C183, "Transaction Log Directory Free Space.*Absolute"), "トランザクションログディレクトリの空き容量（絶対値）", _xlfn.REGEXTEST(C183, "Logging Threshold|Logger Threshold"), "ログ出力レベルの閾値設定", _xlfn.REGEXTEST(C183, "Enable.*Alerts"), "ヘルスアラートの有効化状態", _xlfn.REGEXTEST(C183, "Triggers"), "カスタムアラート条件（トリガー設定）", _xlfn.REGEXTEST(C183, "Healthy Kafka Broker"), "Kafka Brokerの健全ノード割合（稼働率）", _xlfn.REGEXTEST(C183, "Healthy Kafka Connect"), "Kafka Connectの健全ノード割合（稼働率）", _xlfn.REGEXTEST(C183, "Healthy KRaft Controller"), "KRaft Controllerの健全ノード割合（稼働率）", _xlfn.REGEXTEST(C183, "Healthy Knox IDBroker"), "Knox IDBrokerの健全ノード割合（稼働率）", _xlfn.REGEXTEST(C183, "Healthy Knox Gateway"), "Knox Gatewayの健全ノード割合（稼働率）", _xlfn.REGEXTEST(C183, "Healthy ZooKeeper Server"), "ZooKeeper Serverの健全ノード割合（稼働率）", _xlfn.REGEXTEST(C183, "Healthy NodeManager"), "NodeManagerの健全ノード割合（稼働率）", _xlfn.REGEXTEST(C183, "Maximum Latency"), "リクエストの最大レイテンシ（処理遅延）", _xlfn.REGEXTEST(C183, "Garbage Collection Duration"), "Javaのガベージコレクション（GC）の所要時間", _xlfn.REGEXTEST(C183, "Spool Directory Usage"), "Rangerプラグインのスプールディレクトリ使用量", _xlfn.REGEXTEST(C183, "Process Directory Free Space Monitoring Absolute"), "プロセスディレクトリの空き容量（絶対値)", _xlfn.REGEXTEST(C183, "Process Directory Free Space.*Percentage"), "プロセスディレクトリの空き容量割合（%）", _xlfn.REGEXTEST(C183, "Parcel Directory Free Space.*Absolute"), "パーセルディレクトリの空き容量（絶対値）", _xlfn.REGEXTEST(C183, "Parcel Directory Free Space.*Percentage"), "パーセルディレクトリの空き容量割合（%）", _xlfn.REGEXTEST(C183, "Host Network Frame Error Percentage"), "ホストのネットワークフレームエラー割合（%）", _xlfn.REGEXTEST(C183, "Network Interfaces Slow Link Modes"), "ホストのネットワークインターフェースの低速リンクモード検出", _xlfn.REGEXTEST(C183, "Host Memory Swapping"), "ホストのメモリのスワップ発生状態", TRUE, "要手動確認")</f>
        <v>リポジトリのステータス状態</v>
      </c>
      <c r="H183" s="479">
        <v>80</v>
      </c>
    </row>
    <row r="184" spans="1:8" ht="16.899999999999999">
      <c r="A184" s="514"/>
      <c r="B184" s="473"/>
      <c r="C184" s="471" t="s">
        <v>992</v>
      </c>
      <c r="D184" s="471" t="s">
        <v>993</v>
      </c>
      <c r="E184" s="471" t="s">
        <v>983</v>
      </c>
      <c r="F184" s="471"/>
      <c r="G184" s="471" t="str" cm="1">
        <f t="array" ref="G184">_xlfn.IFS(C184 = "", "", _xlfn.REGEXTEST(C184, "Service Metric Migrator Minimum Consecutive Successful Checks"), "サービスメトリック移行ツールの連続正常チェック最小回数", _xlfn.REGEXTEST(C184, "Rebalancing"), "リバランシング（データ再配置）状態", _xlfn.REGEXTEST(C184, "Temporary Dump Directory"), "一時ダンプディレクトリの監視", _xlfn.REGEXTEST(C184, "Safemode Extension"), "セーフモード延長状態", _xlfn.REGEXTEST(C184, "Client Idle"), "クライアントのアイドル（待機）状態", _xlfn.REGEXTEST(C184, "Available Space Policy Balanced"), "空き容量ポリシーの分散バランス状態", _xlfn.REGEXTEST(C184, "Filesystem Checkpoint Transaction"), "ファイルシステムのチェックポイントトランザクション", _xlfn.REGEXTEST(C184, "Blocks With Corrupt Replicas Monitoring"), "破損レプリカを持つブロックの監視", _xlfn.REGEXTEST(C184, "Missing Block Monitoring"), "消失（ミッシング）ブロックの監視", _xlfn.REGEXTEST(C184, "Under-replicated Block Monitoring"), "レプリカ数不足ブロックの監視", _xlfn.REGEXTEST(C184, "HDFS Free Space Monitoring"), "HDFSの空き容量監視", _xlfn.REGEXTEST(C184, "DataNode Monitoring"), "DataNodeの稼働状態監視", _xlfn.REGEXTEST(C184, "Rules to Extract Events from Log Files"), "ログファイルからのイベント抽出ルール設定", _xlfn.REGEXTEST(C184, "Free Space Monitoring$"), "空き容量監視（一般設定）", _xlfn.REGEXTEST(C184, "Transceivers Usage"), "トランシーバー使用量（データ転送スレッド数）", _xlfn.REGEXTEST(C184, "Volume Failures"), "ボリューム障害（ディスクエラー）数", _xlfn.REGEXTEST(C184, "Block Count"), "ブロック総数", _xlfn.REGEXTEST(C184, "Audit Failure"), "監査（オーディット）ログの失敗イベント", _xlfn.REGEXTEST(C184, "Web Metric Collection Duration"), "Webメトリック収集の所要時間", _xlfn.REGEXTEST(C184, "Pause Duration"), "一時停止（ポーズ）の所要時間", _xlfn.REGEXTEST(C184, "Fsync Latency"), "Fsync（ディスク同期）のレイテンシ", _xlfn.REGEXTEST(C184, "Free Space Monitoring Absolute"), "空き容量（絶対値）", _xlfn.REGEXTEST(C184, "Free Space Monitoring Percentage"), "空き容量割合（%）", _xlfn.REGEXTEST(C184, "Age Monitoring"), "経過時間の監視", _xlfn.REGEXTEST(C184, "Transactions Monitoring"), "トランザクション数の監視", _xlfn.REGEXTEST(C184, "RPC Latency"), "RPC（遠隔手続き呼出し）のレイテンシ", _xlfn.REGEXTEST(C184, "Directory Failures"), "ディレクトリ障害数", _xlfn.REGEXTEST(C184, "Out-Of-Sync JournalNodes"), "同期ズレが発生しているJournalNode数", _xlfn.REGEXTEST(C184, "Safemode Threshold Percentage"), "セーフモード解除閾値の割合（%）", _xlfn.REGEXTEST(C184, "Kerberos Ticket Renewer Monitoring"), "Kerberosチケット更新プロセスの稼働状態監視", _xlfn.REGEXTEST(C184, "Load Balancer Monitoring"), "ロードバランサーの稼働状態監視", _xlfn.REGEXTEST(C184, "Navigator Audit Failure"), "Cloudera Navigator監査ログの失敗イベント", _xlfn.REGEXTEST(C184, "Schema Registry Server Monitoring"), "Schema Registry Serverの稼働状態監視", _xlfn.REGEXTEST(C184, "SRM Service Monitoring"), "SRMサービスの稼働状態監視", _xlfn.REGEXTEST(C184, "SRM Driver Monitoring"), "SRMドライバーの稼働状態監視", _xlfn.REGEXTEST(C184, "Loggin"), "ログ出力状態・設定監視", _xlfn.REGEXTEST(C184, "Server Monitoring"), "サーバーの稼働状態監視", _xlfn.REGEXTEST(C184, "Server Connection Count"), "サーバーの接続数（コネクション数）", _xlfn.REGEXTEST(C184, "Server Outstanding Requests"), "サーバーの未処理リクエスト数（滞留要求数）", _xlfn.REGEXTEST(C184, "Repository Status"), "リポジトリのステータス状態", _xlfn.REGEXTEST(C184, "Monitor Long Running Task"), "長時間実行タスク（ジョブ）の監視", _xlfn.REGEXTEST(C184, "Token requests per second"), "1秒あたりのトークンリクエスト数（要求レート）", _xlfn.REGEXTEST(C184, "Connection Model Score"), "接続モデルスコア（コネクション品質）", _xlfn.REGEXTEST(C184, "Queue swap"), "キューのスワップ発生状態", _xlfn.REGEXTEST(C184, "NiFi Node Monitoring"), "NiFiノードの稼働状態監視", _xlfn.REGEXTEST(C184, "Host Clock Offset"), "ホストのクロックオフセット（時刻同期のズレ）", _xlfn.REGEXTEST(C184, "Memory Overcommit Validation"), "メモリオーバーコミット設定の検証", _xlfn.REGEXTEST(C184, "Gateway Logging"), "ゲートウェイのログ出力設定", _xlfn.REGEXTEST(C184, "CPU Balance"), "CPU使用率の分散バランス状態", _xlfn.REGEXTEST(C184, "Disk Balance"), "ディスク使用量の分散バランス状態", _xlfn.REGEXTEST(C184, "Network Inbound Balance"), "ネットワークインバウンド（受信）の分散バランス状態", _xlfn.REGEXTEST(C184, "Network Outbound Balance"), "ネットワークアウトバウンド（送信）の分散バランス状態", _xlfn.REGEXTEST(C184, "Replica Count Balance"), "レプリカ数の分散バランス状態", _xlfn.REGEXTEST(C184, "Disk Capacity"), "ディスク総容量の限界・使用容量", _xlfn.REGEXTEST(C184, "CPU Capacity"), "CPU総処理能力の限界・使用量", _xlfn.REGEXTEST(C184, "Network Inbound Capacity"), "ネットワークインバウンド（受信）帯域の限界・使用量", _xlfn.REGEXTEST(C184, "Network Outbound Capacity"), "ネットワークアウトバウンド（送信）帯域の限界・使用量", _xlfn.REGEXTEST(C184, "Leader Replica Count Balance"), "リーダーレプリカ数の分散バランス状態", _xlfn.REGEXTEST(C184, "Host DNS Resolution Duration"), "ホストのDNS名前解決の所要時間", _xlfn.REGEXTEST(C184, "TLS Certificate Expiry"), "TLS証明書の有効期限切れ", _xlfn.REGEXTEST(C184, "Host Entropy"), "ホストのエントロピー（乱数生成能力）の不足", _xlfn.REGEXTEST(C184, "File Descriptor"), "プロセスのファイルディスクリプタ使用率", _xlfn.REGEXTEST(C184, "Unexpected Exits"), "プロセスの異常終了（予期せぬ停止）", _xlfn.REGEXTEST(C184, "Swap Memory Thresholds"), "プロセスのスワップメモリ使用量", _xlfn.REGEXTEST(C184, "Swap Memory Usage Rate"), "スワップメモリ使用量の変化率（増加速度）", _xlfn.REGEXTEST(C184, "Log Directory Free Space.*Absolute"), "ログディレクトリの空き容量（絶対値）", _xlfn.REGEXTEST(C184, "Log Directory Free Space.*Percentage"), "ログディレクトリの空き容量割合（%）", _xlfn.REGEXTEST(C184, "Heap Dump Directory Free Space.*Absolute"), "ヒープダンプディレクトリの空き容量（絶対値）", _xlfn.REGEXTEST(C184, "Heap Dump Directory Free Space.*Percentage"), "ヒープダンプディレクトリの空き容量割合（%）", _xlfn.REGEXTEST(C184, "Data Directory Free Space.*Absolute"), "データディレクトリの空き容量（絶対値）", _xlfn.REGEXTEST(C184, "Data Directory Free Space.*Percentage"), "データディレクトリの空き容量割合（%）", _xlfn.REGEXTEST(C184, "Transaction Log Directory Free Space.*Absolute"), "トランザクションログディレクトリの空き容量（絶対値）", _xlfn.REGEXTEST(C184, "Logging Threshold|Logger Threshold"), "ログ出力レベルの閾値設定", _xlfn.REGEXTEST(C184, "Enable.*Alerts"), "ヘルスアラートの有効化状態", _xlfn.REGEXTEST(C184, "Triggers"), "カスタムアラート条件（トリガー設定）", _xlfn.REGEXTEST(C184, "Healthy Kafka Broker"), "Kafka Brokerの健全ノード割合（稼働率）", _xlfn.REGEXTEST(C184, "Healthy Kafka Connect"), "Kafka Connectの健全ノード割合（稼働率）", _xlfn.REGEXTEST(C184, "Healthy KRaft Controller"), "KRaft Controllerの健全ノード割合（稼働率）", _xlfn.REGEXTEST(C184, "Healthy Knox IDBroker"), "Knox IDBrokerの健全ノード割合（稼働率）", _xlfn.REGEXTEST(C184, "Healthy Knox Gateway"), "Knox Gatewayの健全ノード割合（稼働率）", _xlfn.REGEXTEST(C184, "Healthy ZooKeeper Server"), "ZooKeeper Serverの健全ノード割合（稼働率）", _xlfn.REGEXTEST(C184, "Healthy NodeManager"), "NodeManagerの健全ノード割合（稼働率）", _xlfn.REGEXTEST(C184, "Maximum Latency"), "リクエストの最大レイテンシ（処理遅延）", _xlfn.REGEXTEST(C184, "Garbage Collection Duration"), "Javaのガベージコレクション（GC）の所要時間", _xlfn.REGEXTEST(C184, "Spool Directory Usage"), "Rangerプラグインのスプールディレクトリ使用量", _xlfn.REGEXTEST(C184, "Process Directory Free Space Monitoring Absolute"), "プロセスディレクトリの空き容量（絶対値)", _xlfn.REGEXTEST(C184, "Process Directory Free Space.*Percentage"), "プロセスディレクトリの空き容量割合（%）", _xlfn.REGEXTEST(C184, "Parcel Directory Free Space.*Absolute"), "パーセルディレクトリの空き容量（絶対値）", _xlfn.REGEXTEST(C184, "Parcel Directory Free Space.*Percentage"), "パーセルディレクトリの空き容量割合（%）", _xlfn.REGEXTEST(C184, "Host Network Frame Error Percentage"), "ホストのネットワークフレームエラー割合（%）", _xlfn.REGEXTEST(C184, "Network Interfaces Slow Link Modes"), "ホストのネットワークインターフェースの低速リンクモード検出", _xlfn.REGEXTEST(C184, "Host Memory Swapping"), "ホストのメモリのスワップ発生状態", TRUE, "要手動確認")</f>
        <v>リポジトリのステータス状態</v>
      </c>
      <c r="H184" s="479">
        <v>90</v>
      </c>
    </row>
    <row r="185" spans="1:8" ht="16.899999999999999">
      <c r="A185" s="514"/>
      <c r="B185" s="473"/>
      <c r="C185" s="471" t="s">
        <v>994</v>
      </c>
      <c r="D185" s="471" t="s">
        <v>995</v>
      </c>
      <c r="E185" s="471" t="s">
        <v>983</v>
      </c>
      <c r="F185" s="471"/>
      <c r="G185" s="471" t="str" cm="1">
        <f t="array" ref="G185">_xlfn.IFS(C185 = "", "", _xlfn.REGEXTEST(C185, "Service Metric Migrator Minimum Consecutive Successful Checks"), "サービスメトリック移行ツールの連続正常チェック最小回数", _xlfn.REGEXTEST(C185, "Rebalancing"), "リバランシング（データ再配置）状態", _xlfn.REGEXTEST(C185, "Temporary Dump Directory"), "一時ダンプディレクトリの監視", _xlfn.REGEXTEST(C185, "Safemode Extension"), "セーフモード延長状態", _xlfn.REGEXTEST(C185, "Client Idle"), "クライアントのアイドル（待機）状態", _xlfn.REGEXTEST(C185, "Available Space Policy Balanced"), "空き容量ポリシーの分散バランス状態", _xlfn.REGEXTEST(C185, "Filesystem Checkpoint Transaction"), "ファイルシステムのチェックポイントトランザクション", _xlfn.REGEXTEST(C185, "Blocks With Corrupt Replicas Monitoring"), "破損レプリカを持つブロックの監視", _xlfn.REGEXTEST(C185, "Missing Block Monitoring"), "消失（ミッシング）ブロックの監視", _xlfn.REGEXTEST(C185, "Under-replicated Block Monitoring"), "レプリカ数不足ブロックの監視", _xlfn.REGEXTEST(C185, "HDFS Free Space Monitoring"), "HDFSの空き容量監視", _xlfn.REGEXTEST(C185, "DataNode Monitoring"), "DataNodeの稼働状態監視", _xlfn.REGEXTEST(C185, "Rules to Extract Events from Log Files"), "ログファイルからのイベント抽出ルール設定", _xlfn.REGEXTEST(C185, "Free Space Monitoring$"), "空き容量監視（一般設定）", _xlfn.REGEXTEST(C185, "Transceivers Usage"), "トランシーバー使用量（データ転送スレッド数）", _xlfn.REGEXTEST(C185, "Volume Failures"), "ボリューム障害（ディスクエラー）数", _xlfn.REGEXTEST(C185, "Block Count"), "ブロック総数", _xlfn.REGEXTEST(C185, "Audit Failure"), "監査（オーディット）ログの失敗イベント", _xlfn.REGEXTEST(C185, "Web Metric Collection Duration"), "Webメトリック収集の所要時間", _xlfn.REGEXTEST(C185, "Pause Duration"), "一時停止（ポーズ）の所要時間", _xlfn.REGEXTEST(C185, "Fsync Latency"), "Fsync（ディスク同期）のレイテンシ", _xlfn.REGEXTEST(C185, "Free Space Monitoring Absolute"), "空き容量（絶対値）", _xlfn.REGEXTEST(C185, "Free Space Monitoring Percentage"), "空き容量割合（%）", _xlfn.REGEXTEST(C185, "Age Monitoring"), "経過時間の監視", _xlfn.REGEXTEST(C185, "Transactions Monitoring"), "トランザクション数の監視", _xlfn.REGEXTEST(C185, "RPC Latency"), "RPC（遠隔手続き呼出し）のレイテンシ", _xlfn.REGEXTEST(C185, "Directory Failures"), "ディレクトリ障害数", _xlfn.REGEXTEST(C185, "Out-Of-Sync JournalNodes"), "同期ズレが発生しているJournalNode数", _xlfn.REGEXTEST(C185, "Safemode Threshold Percentage"), "セーフモード解除閾値の割合（%）", _xlfn.REGEXTEST(C185, "Kerberos Ticket Renewer Monitoring"), "Kerberosチケット更新プロセスの稼働状態監視", _xlfn.REGEXTEST(C185, "Load Balancer Monitoring"), "ロードバランサーの稼働状態監視", _xlfn.REGEXTEST(C185, "Navigator Audit Failure"), "Cloudera Navigator監査ログの失敗イベント", _xlfn.REGEXTEST(C185, "Schema Registry Server Monitoring"), "Schema Registry Serverの稼働状態監視", _xlfn.REGEXTEST(C185, "SRM Service Monitoring"), "SRMサービスの稼働状態監視", _xlfn.REGEXTEST(C185, "SRM Driver Monitoring"), "SRMドライバーの稼働状態監視", _xlfn.REGEXTEST(C185, "Loggin"), "ログ出力状態・設定監視", _xlfn.REGEXTEST(C185, "Server Monitoring"), "サーバーの稼働状態監視", _xlfn.REGEXTEST(C185, "Server Connection Count"), "サーバーの接続数（コネクション数）", _xlfn.REGEXTEST(C185, "Server Outstanding Requests"), "サーバーの未処理リクエスト数（滞留要求数）", _xlfn.REGEXTEST(C185, "Repository Status"), "リポジトリのステータス状態", _xlfn.REGEXTEST(C185, "Monitor Long Running Task"), "長時間実行タスク（ジョブ）の監視", _xlfn.REGEXTEST(C185, "Token requests per second"), "1秒あたりのトークンリクエスト数（要求レート）", _xlfn.REGEXTEST(C185, "Connection Model Score"), "接続モデルスコア（コネクション品質）", _xlfn.REGEXTEST(C185, "Queue swap"), "キューのスワップ発生状態", _xlfn.REGEXTEST(C185, "NiFi Node Monitoring"), "NiFiノードの稼働状態監視", _xlfn.REGEXTEST(C185, "Host Clock Offset"), "ホストのクロックオフセット（時刻同期のズレ）", _xlfn.REGEXTEST(C185, "Memory Overcommit Validation"), "メモリオーバーコミット設定の検証", _xlfn.REGEXTEST(C185, "Gateway Logging"), "ゲートウェイのログ出力設定", _xlfn.REGEXTEST(C185, "CPU Balance"), "CPU使用率の分散バランス状態", _xlfn.REGEXTEST(C185, "Disk Balance"), "ディスク使用量の分散バランス状態", _xlfn.REGEXTEST(C185, "Network Inbound Balance"), "ネットワークインバウンド（受信）の分散バランス状態", _xlfn.REGEXTEST(C185, "Network Outbound Balance"), "ネットワークアウトバウンド（送信）の分散バランス状態", _xlfn.REGEXTEST(C185, "Replica Count Balance"), "レプリカ数の分散バランス状態", _xlfn.REGEXTEST(C185, "Disk Capacity"), "ディスク総容量の限界・使用容量", _xlfn.REGEXTEST(C185, "CPU Capacity"), "CPU総処理能力の限界・使用量", _xlfn.REGEXTEST(C185, "Network Inbound Capacity"), "ネットワークインバウンド（受信）帯域の限界・使用量", _xlfn.REGEXTEST(C185, "Network Outbound Capacity"), "ネットワークアウトバウンド（送信）帯域の限界・使用量", _xlfn.REGEXTEST(C185, "Leader Replica Count Balance"), "リーダーレプリカ数の分散バランス状態", _xlfn.REGEXTEST(C185, "Host DNS Resolution Duration"), "ホストのDNS名前解決の所要時間", _xlfn.REGEXTEST(C185, "TLS Certificate Expiry"), "TLS証明書の有効期限切れ", _xlfn.REGEXTEST(C185, "Host Entropy"), "ホストのエントロピー（乱数生成能力）の不足", _xlfn.REGEXTEST(C185, "File Descriptor"), "プロセスのファイルディスクリプタ使用率", _xlfn.REGEXTEST(C185, "Unexpected Exits"), "プロセスの異常終了（予期せぬ停止）", _xlfn.REGEXTEST(C185, "Swap Memory Thresholds"), "プロセスのスワップメモリ使用量", _xlfn.REGEXTEST(C185, "Swap Memory Usage Rate"), "スワップメモリ使用量の変化率（増加速度）", _xlfn.REGEXTEST(C185, "Log Directory Free Space.*Absolute"), "ログディレクトリの空き容量（絶対値）", _xlfn.REGEXTEST(C185, "Log Directory Free Space.*Percentage"), "ログディレクトリの空き容量割合（%）", _xlfn.REGEXTEST(C185, "Heap Dump Directory Free Space.*Absolute"), "ヒープダンプディレクトリの空き容量（絶対値）", _xlfn.REGEXTEST(C185, "Heap Dump Directory Free Space.*Percentage"), "ヒープダンプディレクトリの空き容量割合（%）", _xlfn.REGEXTEST(C185, "Data Directory Free Space.*Absolute"), "データディレクトリの空き容量（絶対値）", _xlfn.REGEXTEST(C185, "Data Directory Free Space.*Percentage"), "データディレクトリの空き容量割合（%）", _xlfn.REGEXTEST(C185, "Transaction Log Directory Free Space.*Absolute"), "トランザクションログディレクトリの空き容量（絶対値）", _xlfn.REGEXTEST(C185, "Logging Threshold|Logger Threshold"), "ログ出力レベルの閾値設定", _xlfn.REGEXTEST(C185, "Enable.*Alerts"), "ヘルスアラートの有効化状態", _xlfn.REGEXTEST(C185, "Triggers"), "カスタムアラート条件（トリガー設定）", _xlfn.REGEXTEST(C185, "Healthy Kafka Broker"), "Kafka Brokerの健全ノード割合（稼働率）", _xlfn.REGEXTEST(C185, "Healthy Kafka Connect"), "Kafka Connectの健全ノード割合（稼働率）", _xlfn.REGEXTEST(C185, "Healthy KRaft Controller"), "KRaft Controllerの健全ノード割合（稼働率）", _xlfn.REGEXTEST(C185, "Healthy Knox IDBroker"), "Knox IDBrokerの健全ノード割合（稼働率）", _xlfn.REGEXTEST(C185, "Healthy Knox Gateway"), "Knox Gatewayの健全ノード割合（稼働率）", _xlfn.REGEXTEST(C185, "Healthy ZooKeeper Server"), "ZooKeeper Serverの健全ノード割合（稼働率）", _xlfn.REGEXTEST(C185, "Healthy NodeManager"), "NodeManagerの健全ノード割合（稼働率）", _xlfn.REGEXTEST(C185, "Maximum Latency"), "リクエストの最大レイテンシ（処理遅延）", _xlfn.REGEXTEST(C185, "Garbage Collection Duration"), "Javaのガベージコレクション（GC）の所要時間", _xlfn.REGEXTEST(C185, "Spool Directory Usage"), "Rangerプラグインのスプールディレクトリ使用量", _xlfn.REGEXTEST(C185, "Process Directory Free Space Monitoring Absolute"), "プロセスディレクトリの空き容量（絶対値)", _xlfn.REGEXTEST(C185, "Process Directory Free Space.*Percentage"), "プロセスディレクトリの空き容量割合（%）", _xlfn.REGEXTEST(C185, "Parcel Directory Free Space.*Absolute"), "パーセルディレクトリの空き容量（絶対値）", _xlfn.REGEXTEST(C185, "Parcel Directory Free Space.*Percentage"), "パーセルディレクトリの空き容量割合（%）", _xlfn.REGEXTEST(C185, "Host Network Frame Error Percentage"), "ホストのネットワークフレームエラー割合（%）", _xlfn.REGEXTEST(C185, "Network Interfaces Slow Link Modes"), "ホストのネットワークインターフェースの低速リンクモード検出", _xlfn.REGEXTEST(C185, "Host Memory Swapping"), "ホストのメモリのスワップ発生状態", TRUE, "要手動確認")</f>
        <v>長時間実行タスク（ジョブ）の監視</v>
      </c>
      <c r="H185" s="479" t="s">
        <v>996</v>
      </c>
    </row>
    <row r="186" spans="1:8" ht="16.899999999999999">
      <c r="A186" s="514"/>
      <c r="B186" s="473"/>
      <c r="C186" s="471" t="s">
        <v>997</v>
      </c>
      <c r="D186" s="471" t="s">
        <v>998</v>
      </c>
      <c r="E186" s="471" t="s">
        <v>983</v>
      </c>
      <c r="F186" s="471"/>
      <c r="G186" s="471" t="str" cm="1">
        <f t="array" ref="G186">_xlfn.IFS(C186 = "", "", _xlfn.REGEXTEST(C186, "Service Metric Migrator Minimum Consecutive Successful Checks"), "サービスメトリック移行ツールの連続正常チェック最小回数", _xlfn.REGEXTEST(C186, "Rebalancing"), "リバランシング（データ再配置）状態", _xlfn.REGEXTEST(C186, "Temporary Dump Directory"), "一時ダンプディレクトリの監視", _xlfn.REGEXTEST(C186, "Safemode Extension"), "セーフモード延長状態", _xlfn.REGEXTEST(C186, "Client Idle"), "クライアントのアイドル（待機）状態", _xlfn.REGEXTEST(C186, "Available Space Policy Balanced"), "空き容量ポリシーの分散バランス状態", _xlfn.REGEXTEST(C186, "Filesystem Checkpoint Transaction"), "ファイルシステムのチェックポイントトランザクション", _xlfn.REGEXTEST(C186, "Blocks With Corrupt Replicas Monitoring"), "破損レプリカを持つブロックの監視", _xlfn.REGEXTEST(C186, "Missing Block Monitoring"), "消失（ミッシング）ブロックの監視", _xlfn.REGEXTEST(C186, "Under-replicated Block Monitoring"), "レプリカ数不足ブロックの監視", _xlfn.REGEXTEST(C186, "HDFS Free Space Monitoring"), "HDFSの空き容量監視", _xlfn.REGEXTEST(C186, "DataNode Monitoring"), "DataNodeの稼働状態監視", _xlfn.REGEXTEST(C186, "Rules to Extract Events from Log Files"), "ログファイルからのイベント抽出ルール設定", _xlfn.REGEXTEST(C186, "Free Space Monitoring$"), "空き容量監視（一般設定）", _xlfn.REGEXTEST(C186, "Transceivers Usage"), "トランシーバー使用量（データ転送スレッド数）", _xlfn.REGEXTEST(C186, "Volume Failures"), "ボリューム障害（ディスクエラー）数", _xlfn.REGEXTEST(C186, "Block Count"), "ブロック総数", _xlfn.REGEXTEST(C186, "Audit Failure"), "監査（オーディット）ログの失敗イベント", _xlfn.REGEXTEST(C186, "Web Metric Collection Duration"), "Webメトリック収集の所要時間", _xlfn.REGEXTEST(C186, "Pause Duration"), "一時停止（ポーズ）の所要時間", _xlfn.REGEXTEST(C186, "Fsync Latency"), "Fsync（ディスク同期）のレイテンシ", _xlfn.REGEXTEST(C186, "Free Space Monitoring Absolute"), "空き容量（絶対値）", _xlfn.REGEXTEST(C186, "Free Space Monitoring Percentage"), "空き容量割合（%）", _xlfn.REGEXTEST(C186, "Age Monitoring"), "経過時間の監視", _xlfn.REGEXTEST(C186, "Transactions Monitoring"), "トランザクション数の監視", _xlfn.REGEXTEST(C186, "RPC Latency"), "RPC（遠隔手続き呼出し）のレイテンシ", _xlfn.REGEXTEST(C186, "Directory Failures"), "ディレクトリ障害数", _xlfn.REGEXTEST(C186, "Out-Of-Sync JournalNodes"), "同期ズレが発生しているJournalNode数", _xlfn.REGEXTEST(C186, "Safemode Threshold Percentage"), "セーフモード解除閾値の割合（%）", _xlfn.REGEXTEST(C186, "Kerberos Ticket Renewer Monitoring"), "Kerberosチケット更新プロセスの稼働状態監視", _xlfn.REGEXTEST(C186, "Load Balancer Monitoring"), "ロードバランサーの稼働状態監視", _xlfn.REGEXTEST(C186, "Navigator Audit Failure"), "Cloudera Navigator監査ログの失敗イベント", _xlfn.REGEXTEST(C186, "Schema Registry Server Monitoring"), "Schema Registry Serverの稼働状態監視", _xlfn.REGEXTEST(C186, "SRM Service Monitoring"), "SRMサービスの稼働状態監視", _xlfn.REGEXTEST(C186, "SRM Driver Monitoring"), "SRMドライバーの稼働状態監視", _xlfn.REGEXTEST(C186, "Loggin"), "ログ出力状態・設定監視", _xlfn.REGEXTEST(C186, "Server Monitoring"), "サーバーの稼働状態監視", _xlfn.REGEXTEST(C186, "Server Connection Count"), "サーバーの接続数（コネクション数）", _xlfn.REGEXTEST(C186, "Server Outstanding Requests"), "サーバーの未処理リクエスト数（滞留要求数）", _xlfn.REGEXTEST(C186, "Repository Status"), "リポジトリのステータス状態", _xlfn.REGEXTEST(C186, "Monitor Long Running Task"), "長時間実行タスク（ジョブ）の監視", _xlfn.REGEXTEST(C186, "Token requests per second"), "1秒あたりのトークンリクエスト数（要求レート）", _xlfn.REGEXTEST(C186, "Connection Model Score"), "接続モデルスコア（コネクション品質）", _xlfn.REGEXTEST(C186, "Queue swap"), "キューのスワップ発生状態", _xlfn.REGEXTEST(C186, "NiFi Node Monitoring"), "NiFiノードの稼働状態監視", _xlfn.REGEXTEST(C186, "Host Clock Offset"), "ホストのクロックオフセット（時刻同期のズレ）", _xlfn.REGEXTEST(C186, "Memory Overcommit Validation"), "メモリオーバーコミット設定の検証", _xlfn.REGEXTEST(C186, "Gateway Logging"), "ゲートウェイのログ出力設定", _xlfn.REGEXTEST(C186, "CPU Balance"), "CPU使用率の分散バランス状態", _xlfn.REGEXTEST(C186, "Disk Balance"), "ディスク使用量の分散バランス状態", _xlfn.REGEXTEST(C186, "Network Inbound Balance"), "ネットワークインバウンド（受信）の分散バランス状態", _xlfn.REGEXTEST(C186, "Network Outbound Balance"), "ネットワークアウトバウンド（送信）の分散バランス状態", _xlfn.REGEXTEST(C186, "Replica Count Balance"), "レプリカ数の分散バランス状態", _xlfn.REGEXTEST(C186, "Disk Capacity"), "ディスク総容量の限界・使用容量", _xlfn.REGEXTEST(C186, "CPU Capacity"), "CPU総処理能力の限界・使用量", _xlfn.REGEXTEST(C186, "Network Inbound Capacity"), "ネットワークインバウンド（受信）帯域の限界・使用量", _xlfn.REGEXTEST(C186, "Network Outbound Capacity"), "ネットワークアウトバウンド（送信）帯域の限界・使用量", _xlfn.REGEXTEST(C186, "Leader Replica Count Balance"), "リーダーレプリカ数の分散バランス状態", _xlfn.REGEXTEST(C186, "Host DNS Resolution Duration"), "ホストのDNS名前解決の所要時間", _xlfn.REGEXTEST(C186, "TLS Certificate Expiry"), "TLS証明書の有効期限切れ", _xlfn.REGEXTEST(C186, "Host Entropy"), "ホストのエントロピー（乱数生成能力）の不足", _xlfn.REGEXTEST(C186, "File Descriptor"), "プロセスのファイルディスクリプタ使用率", _xlfn.REGEXTEST(C186, "Unexpected Exits"), "プロセスの異常終了（予期せぬ停止）", _xlfn.REGEXTEST(C186, "Swap Memory Thresholds"), "プロセスのスワップメモリ使用量", _xlfn.REGEXTEST(C186, "Swap Memory Usage Rate"), "スワップメモリ使用量の変化率（増加速度）", _xlfn.REGEXTEST(C186, "Log Directory Free Space.*Absolute"), "ログディレクトリの空き容量（絶対値）", _xlfn.REGEXTEST(C186, "Log Directory Free Space.*Percentage"), "ログディレクトリの空き容量割合（%）", _xlfn.REGEXTEST(C186, "Heap Dump Directory Free Space.*Absolute"), "ヒープダンプディレクトリの空き容量（絶対値）", _xlfn.REGEXTEST(C186, "Heap Dump Directory Free Space.*Percentage"), "ヒープダンプディレクトリの空き容量割合（%）", _xlfn.REGEXTEST(C186, "Data Directory Free Space.*Absolute"), "データディレクトリの空き容量（絶対値）", _xlfn.REGEXTEST(C186, "Data Directory Free Space.*Percentage"), "データディレクトリの空き容量割合（%）", _xlfn.REGEXTEST(C186, "Transaction Log Directory Free Space.*Absolute"), "トランザクションログディレクトリの空き容量（絶対値）", _xlfn.REGEXTEST(C186, "Logging Threshold|Logger Threshold"), "ログ出力レベルの閾値設定", _xlfn.REGEXTEST(C186, "Enable.*Alerts"), "ヘルスアラートの有効化状態", _xlfn.REGEXTEST(C186, "Triggers"), "カスタムアラート条件（トリガー設定）", _xlfn.REGEXTEST(C186, "Healthy Kafka Broker"), "Kafka Brokerの健全ノード割合（稼働率）", _xlfn.REGEXTEST(C186, "Healthy Kafka Connect"), "Kafka Connectの健全ノード割合（稼働率）", _xlfn.REGEXTEST(C186, "Healthy KRaft Controller"), "KRaft Controllerの健全ノード割合（稼働率）", _xlfn.REGEXTEST(C186, "Healthy Knox IDBroker"), "Knox IDBrokerの健全ノード割合（稼働率）", _xlfn.REGEXTEST(C186, "Healthy Knox Gateway"), "Knox Gatewayの健全ノード割合（稼働率）", _xlfn.REGEXTEST(C186, "Healthy ZooKeeper Server"), "ZooKeeper Serverの健全ノード割合（稼働率）", _xlfn.REGEXTEST(C186, "Healthy NodeManager"), "NodeManagerの健全ノード割合（稼働率）", _xlfn.REGEXTEST(C186, "Maximum Latency"), "リクエストの最大レイテンシ（処理遅延）", _xlfn.REGEXTEST(C186, "Garbage Collection Duration"), "Javaのガベージコレクション（GC）の所要時間", _xlfn.REGEXTEST(C186, "Spool Directory Usage"), "Rangerプラグインのスプールディレクトリ使用量", _xlfn.REGEXTEST(C186, "Process Directory Free Space Monitoring Absolute"), "プロセスディレクトリの空き容量（絶対値)", _xlfn.REGEXTEST(C186, "Process Directory Free Space.*Percentage"), "プロセスディレクトリの空き容量割合（%）", _xlfn.REGEXTEST(C186, "Parcel Directory Free Space.*Absolute"), "パーセルディレクトリの空き容量（絶対値）", _xlfn.REGEXTEST(C186, "Parcel Directory Free Space.*Percentage"), "パーセルディレクトリの空き容量割合（%）", _xlfn.REGEXTEST(C186, "Host Network Frame Error Percentage"), "ホストのネットワークフレームエラー割合（%）", _xlfn.REGEXTEST(C186, "Network Interfaces Slow Link Modes"), "ホストのネットワークインターフェースの低速リンクモード検出", _xlfn.REGEXTEST(C186, "Host Memory Swapping"), "ホストのメモリのスワップ発生状態", TRUE, "要手動確認")</f>
        <v>1秒あたりのトークンリクエスト数（要求レート）</v>
      </c>
      <c r="H186" s="479">
        <v>25</v>
      </c>
    </row>
    <row r="187" spans="1:8" ht="16.899999999999999">
      <c r="A187" s="514"/>
      <c r="B187" s="473"/>
      <c r="C187" s="471" t="s">
        <v>999</v>
      </c>
      <c r="D187" s="471" t="s">
        <v>1000</v>
      </c>
      <c r="E187" s="471" t="s">
        <v>983</v>
      </c>
      <c r="F187" s="471"/>
      <c r="G187" s="471" t="str" cm="1">
        <f t="array" ref="G187">_xlfn.IFS(C187 = "", "", _xlfn.REGEXTEST(C187, "Service Metric Migrator Minimum Consecutive Successful Checks"), "サービスメトリック移行ツールの連続正常チェック最小回数", _xlfn.REGEXTEST(C187, "Rebalancing"), "リバランシング（データ再配置）状態", _xlfn.REGEXTEST(C187, "Temporary Dump Directory"), "一時ダンプディレクトリの監視", _xlfn.REGEXTEST(C187, "Safemode Extension"), "セーフモード延長状態", _xlfn.REGEXTEST(C187, "Client Idle"), "クライアントのアイドル（待機）状態", _xlfn.REGEXTEST(C187, "Available Space Policy Balanced"), "空き容量ポリシーの分散バランス状態", _xlfn.REGEXTEST(C187, "Filesystem Checkpoint Transaction"), "ファイルシステムのチェックポイントトランザクション", _xlfn.REGEXTEST(C187, "Blocks With Corrupt Replicas Monitoring"), "破損レプリカを持つブロックの監視", _xlfn.REGEXTEST(C187, "Missing Block Monitoring"), "消失（ミッシング）ブロックの監視", _xlfn.REGEXTEST(C187, "Under-replicated Block Monitoring"), "レプリカ数不足ブロックの監視", _xlfn.REGEXTEST(C187, "HDFS Free Space Monitoring"), "HDFSの空き容量監視", _xlfn.REGEXTEST(C187, "DataNode Monitoring"), "DataNodeの稼働状態監視", _xlfn.REGEXTEST(C187, "Rules to Extract Events from Log Files"), "ログファイルからのイベント抽出ルール設定", _xlfn.REGEXTEST(C187, "Free Space Monitoring$"), "空き容量監視（一般設定）", _xlfn.REGEXTEST(C187, "Transceivers Usage"), "トランシーバー使用量（データ転送スレッド数）", _xlfn.REGEXTEST(C187, "Volume Failures"), "ボリューム障害（ディスクエラー）数", _xlfn.REGEXTEST(C187, "Block Count"), "ブロック総数", _xlfn.REGEXTEST(C187, "Audit Failure"), "監査（オーディット）ログの失敗イベント", _xlfn.REGEXTEST(C187, "Web Metric Collection Duration"), "Webメトリック収集の所要時間", _xlfn.REGEXTEST(C187, "Pause Duration"), "一時停止（ポーズ）の所要時間", _xlfn.REGEXTEST(C187, "Fsync Latency"), "Fsync（ディスク同期）のレイテンシ", _xlfn.REGEXTEST(C187, "Free Space Monitoring Absolute"), "空き容量（絶対値）", _xlfn.REGEXTEST(C187, "Free Space Monitoring Percentage"), "空き容量割合（%）", _xlfn.REGEXTEST(C187, "Age Monitoring"), "経過時間の監視", _xlfn.REGEXTEST(C187, "Transactions Monitoring"), "トランザクション数の監視", _xlfn.REGEXTEST(C187, "RPC Latency"), "RPC（遠隔手続き呼出し）のレイテンシ", _xlfn.REGEXTEST(C187, "Directory Failures"), "ディレクトリ障害数", _xlfn.REGEXTEST(C187, "Out-Of-Sync JournalNodes"), "同期ズレが発生しているJournalNode数", _xlfn.REGEXTEST(C187, "Safemode Threshold Percentage"), "セーフモード解除閾値の割合（%）", _xlfn.REGEXTEST(C187, "Kerberos Ticket Renewer Monitoring"), "Kerberosチケット更新プロセスの稼働状態監視", _xlfn.REGEXTEST(C187, "Load Balancer Monitoring"), "ロードバランサーの稼働状態監視", _xlfn.REGEXTEST(C187, "Navigator Audit Failure"), "Cloudera Navigator監査ログの失敗イベント", _xlfn.REGEXTEST(C187, "Schema Registry Server Monitoring"), "Schema Registry Serverの稼働状態監視", _xlfn.REGEXTEST(C187, "SRM Service Monitoring"), "SRMサービスの稼働状態監視", _xlfn.REGEXTEST(C187, "SRM Driver Monitoring"), "SRMドライバーの稼働状態監視", _xlfn.REGEXTEST(C187, "Loggin"), "ログ出力状態・設定監視", _xlfn.REGEXTEST(C187, "Server Monitoring"), "サーバーの稼働状態監視", _xlfn.REGEXTEST(C187, "Server Connection Count"), "サーバーの接続数（コネクション数）", _xlfn.REGEXTEST(C187, "Server Outstanding Requests"), "サーバーの未処理リクエスト数（滞留要求数）", _xlfn.REGEXTEST(C187, "Repository Status"), "リポジトリのステータス状態", _xlfn.REGEXTEST(C187, "Monitor Long Running Task"), "長時間実行タスク（ジョブ）の監視", _xlfn.REGEXTEST(C187, "Token requests per second"), "1秒あたりのトークンリクエスト数（要求レート）", _xlfn.REGEXTEST(C187, "Connection Model Score"), "接続モデルスコア（コネクション品質）", _xlfn.REGEXTEST(C187, "Queue swap"), "キューのスワップ発生状態", _xlfn.REGEXTEST(C187, "NiFi Node Monitoring"), "NiFiノードの稼働状態監視", _xlfn.REGEXTEST(C187, "Host Clock Offset"), "ホストのクロックオフセット（時刻同期のズレ）", _xlfn.REGEXTEST(C187, "Memory Overcommit Validation"), "メモリオーバーコミット設定の検証", _xlfn.REGEXTEST(C187, "Gateway Logging"), "ゲートウェイのログ出力設定", _xlfn.REGEXTEST(C187, "CPU Balance"), "CPU使用率の分散バランス状態", _xlfn.REGEXTEST(C187, "Disk Balance"), "ディスク使用量の分散バランス状態", _xlfn.REGEXTEST(C187, "Network Inbound Balance"), "ネットワークインバウンド（受信）の分散バランス状態", _xlfn.REGEXTEST(C187, "Network Outbound Balance"), "ネットワークアウトバウンド（送信）の分散バランス状態", _xlfn.REGEXTEST(C187, "Replica Count Balance"), "レプリカ数の分散バランス状態", _xlfn.REGEXTEST(C187, "Disk Capacity"), "ディスク総容量の限界・使用容量", _xlfn.REGEXTEST(C187, "CPU Capacity"), "CPU総処理能力の限界・使用量", _xlfn.REGEXTEST(C187, "Network Inbound Capacity"), "ネットワークインバウンド（受信）帯域の限界・使用量", _xlfn.REGEXTEST(C187, "Network Outbound Capacity"), "ネットワークアウトバウンド（送信）帯域の限界・使用量", _xlfn.REGEXTEST(C187, "Leader Replica Count Balance"), "リーダーレプリカ数の分散バランス状態", _xlfn.REGEXTEST(C187, "Host DNS Resolution Duration"), "ホストのDNS名前解決の所要時間", _xlfn.REGEXTEST(C187, "TLS Certificate Expiry"), "TLS証明書の有効期限切れ", _xlfn.REGEXTEST(C187, "Host Entropy"), "ホストのエントロピー（乱数生成能力）の不足", _xlfn.REGEXTEST(C187, "File Descriptor"), "プロセスのファイルディスクリプタ使用率", _xlfn.REGEXTEST(C187, "Unexpected Exits"), "プロセスの異常終了（予期せぬ停止）", _xlfn.REGEXTEST(C187, "Swap Memory Thresholds"), "プロセスのスワップメモリ使用量", _xlfn.REGEXTEST(C187, "Swap Memory Usage Rate"), "スワップメモリ使用量の変化率（増加速度）", _xlfn.REGEXTEST(C187, "Log Directory Free Space.*Absolute"), "ログディレクトリの空き容量（絶対値）", _xlfn.REGEXTEST(C187, "Log Directory Free Space.*Percentage"), "ログディレクトリの空き容量割合（%）", _xlfn.REGEXTEST(C187, "Heap Dump Directory Free Space.*Absolute"), "ヒープダンプディレクトリの空き容量（絶対値）", _xlfn.REGEXTEST(C187, "Heap Dump Directory Free Space.*Percentage"), "ヒープダンプディレクトリの空き容量割合（%）", _xlfn.REGEXTEST(C187, "Data Directory Free Space.*Absolute"), "データディレクトリの空き容量（絶対値）", _xlfn.REGEXTEST(C187, "Data Directory Free Space.*Percentage"), "データディレクトリの空き容量割合（%）", _xlfn.REGEXTEST(C187, "Transaction Log Directory Free Space.*Absolute"), "トランザクションログディレクトリの空き容量（絶対値）", _xlfn.REGEXTEST(C187, "Logging Threshold|Logger Threshold"), "ログ出力レベルの閾値設定", _xlfn.REGEXTEST(C187, "Enable.*Alerts"), "ヘルスアラートの有効化状態", _xlfn.REGEXTEST(C187, "Triggers"), "カスタムアラート条件（トリガー設定）", _xlfn.REGEXTEST(C187, "Healthy Kafka Broker"), "Kafka Brokerの健全ノード割合（稼働率）", _xlfn.REGEXTEST(C187, "Healthy Kafka Connect"), "Kafka Connectの健全ノード割合（稼働率）", _xlfn.REGEXTEST(C187, "Healthy KRaft Controller"), "KRaft Controllerの健全ノード割合（稼働率）", _xlfn.REGEXTEST(C187, "Healthy Knox IDBroker"), "Knox IDBrokerの健全ノード割合（稼働率）", _xlfn.REGEXTEST(C187, "Healthy Knox Gateway"), "Knox Gatewayの健全ノード割合（稼働率）", _xlfn.REGEXTEST(C187, "Healthy ZooKeeper Server"), "ZooKeeper Serverの健全ノード割合（稼働率）", _xlfn.REGEXTEST(C187, "Healthy NodeManager"), "NodeManagerの健全ノード割合（稼働率）", _xlfn.REGEXTEST(C187, "Maximum Latency"), "リクエストの最大レイテンシ（処理遅延）", _xlfn.REGEXTEST(C187, "Garbage Collection Duration"), "Javaのガベージコレクション（GC）の所要時間", _xlfn.REGEXTEST(C187, "Spool Directory Usage"), "Rangerプラグインのスプールディレクトリ使用量", _xlfn.REGEXTEST(C187, "Process Directory Free Space Monitoring Absolute"), "プロセスディレクトリの空き容量（絶対値)", _xlfn.REGEXTEST(C187, "Process Directory Free Space.*Percentage"), "プロセスディレクトリの空き容量割合（%）", _xlfn.REGEXTEST(C187, "Parcel Directory Free Space.*Absolute"), "パーセルディレクトリの空き容量（絶対値）", _xlfn.REGEXTEST(C187, "Parcel Directory Free Space.*Percentage"), "パーセルディレクトリの空き容量割合（%）", _xlfn.REGEXTEST(C187, "Host Network Frame Error Percentage"), "ホストのネットワークフレームエラー割合（%）", _xlfn.REGEXTEST(C187, "Network Interfaces Slow Link Modes"), "ホストのネットワークインターフェースの低速リンクモード検出", _xlfn.REGEXTEST(C187, "Host Memory Swapping"), "ホストのメモリのスワップ発生状態", TRUE, "要手動確認")</f>
        <v>接続モデルスコア（コネクション品質）</v>
      </c>
      <c r="H187" s="479">
        <v>0.9</v>
      </c>
    </row>
    <row r="188" spans="1:8" ht="16.899999999999999">
      <c r="A188" s="514"/>
      <c r="B188" s="473"/>
      <c r="C188" s="471" t="s">
        <v>1001</v>
      </c>
      <c r="D188" s="471" t="s">
        <v>1002</v>
      </c>
      <c r="E188" s="471" t="s">
        <v>983</v>
      </c>
      <c r="F188" s="471"/>
      <c r="G188" s="471" t="str" cm="1">
        <f t="array" ref="G188">_xlfn.IFS(C188 = "", "", _xlfn.REGEXTEST(C188, "Service Metric Migrator Minimum Consecutive Successful Checks"), "サービスメトリック移行ツールの連続正常チェック最小回数", _xlfn.REGEXTEST(C188, "Rebalancing"), "リバランシング（データ再配置）状態", _xlfn.REGEXTEST(C188, "Temporary Dump Directory"), "一時ダンプディレクトリの監視", _xlfn.REGEXTEST(C188, "Safemode Extension"), "セーフモード延長状態", _xlfn.REGEXTEST(C188, "Client Idle"), "クライアントのアイドル（待機）状態", _xlfn.REGEXTEST(C188, "Available Space Policy Balanced"), "空き容量ポリシーの分散バランス状態", _xlfn.REGEXTEST(C188, "Filesystem Checkpoint Transaction"), "ファイルシステムのチェックポイントトランザクション", _xlfn.REGEXTEST(C188, "Blocks With Corrupt Replicas Monitoring"), "破損レプリカを持つブロックの監視", _xlfn.REGEXTEST(C188, "Missing Block Monitoring"), "消失（ミッシング）ブロックの監視", _xlfn.REGEXTEST(C188, "Under-replicated Block Monitoring"), "レプリカ数不足ブロックの監視", _xlfn.REGEXTEST(C188, "HDFS Free Space Monitoring"), "HDFSの空き容量監視", _xlfn.REGEXTEST(C188, "DataNode Monitoring"), "DataNodeの稼働状態監視", _xlfn.REGEXTEST(C188, "Rules to Extract Events from Log Files"), "ログファイルからのイベント抽出ルール設定", _xlfn.REGEXTEST(C188, "Free Space Monitoring$"), "空き容量監視（一般設定）", _xlfn.REGEXTEST(C188, "Transceivers Usage"), "トランシーバー使用量（データ転送スレッド数）", _xlfn.REGEXTEST(C188, "Volume Failures"), "ボリューム障害（ディスクエラー）数", _xlfn.REGEXTEST(C188, "Block Count"), "ブロック総数", _xlfn.REGEXTEST(C188, "Audit Failure"), "監査（オーディット）ログの失敗イベント", _xlfn.REGEXTEST(C188, "Web Metric Collection Duration"), "Webメトリック収集の所要時間", _xlfn.REGEXTEST(C188, "Pause Duration"), "一時停止（ポーズ）の所要時間", _xlfn.REGEXTEST(C188, "Fsync Latency"), "Fsync（ディスク同期）のレイテンシ", _xlfn.REGEXTEST(C188, "Free Space Monitoring Absolute"), "空き容量（絶対値）", _xlfn.REGEXTEST(C188, "Free Space Monitoring Percentage"), "空き容量割合（%）", _xlfn.REGEXTEST(C188, "Age Monitoring"), "経過時間の監視", _xlfn.REGEXTEST(C188, "Transactions Monitoring"), "トランザクション数の監視", _xlfn.REGEXTEST(C188, "RPC Latency"), "RPC（遠隔手続き呼出し）のレイテンシ", _xlfn.REGEXTEST(C188, "Directory Failures"), "ディレクトリ障害数", _xlfn.REGEXTEST(C188, "Out-Of-Sync JournalNodes"), "同期ズレが発生しているJournalNode数", _xlfn.REGEXTEST(C188, "Safemode Threshold Percentage"), "セーフモード解除閾値の割合（%）", _xlfn.REGEXTEST(C188, "Kerberos Ticket Renewer Monitoring"), "Kerberosチケット更新プロセスの稼働状態監視", _xlfn.REGEXTEST(C188, "Load Balancer Monitoring"), "ロードバランサーの稼働状態監視", _xlfn.REGEXTEST(C188, "Navigator Audit Failure"), "Cloudera Navigator監査ログの失敗イベント", _xlfn.REGEXTEST(C188, "Schema Registry Server Monitoring"), "Schema Registry Serverの稼働状態監視", _xlfn.REGEXTEST(C188, "SRM Service Monitoring"), "SRMサービスの稼働状態監視", _xlfn.REGEXTEST(C188, "SRM Driver Monitoring"), "SRMドライバーの稼働状態監視", _xlfn.REGEXTEST(C188, "Loggin"), "ログ出力状態・設定監視", _xlfn.REGEXTEST(C188, "Server Monitoring"), "サーバーの稼働状態監視", _xlfn.REGEXTEST(C188, "Server Connection Count"), "サーバーの接続数（コネクション数）", _xlfn.REGEXTEST(C188, "Server Outstanding Requests"), "サーバーの未処理リクエスト数（滞留要求数）", _xlfn.REGEXTEST(C188, "Repository Status"), "リポジトリのステータス状態", _xlfn.REGEXTEST(C188, "Monitor Long Running Task"), "長時間実行タスク（ジョブ）の監視", _xlfn.REGEXTEST(C188, "Token requests per second"), "1秒あたりのトークンリクエスト数（要求レート）", _xlfn.REGEXTEST(C188, "Connection Model Score"), "接続モデルスコア（コネクション品質）", _xlfn.REGEXTEST(C188, "Queue swap"), "キューのスワップ発生状態", _xlfn.REGEXTEST(C188, "NiFi Node Monitoring"), "NiFiノードの稼働状態監視", _xlfn.REGEXTEST(C188, "Host Clock Offset"), "ホストのクロックオフセット（時刻同期のズレ）", _xlfn.REGEXTEST(C188, "Memory Overcommit Validation"), "メモリオーバーコミット設定の検証", _xlfn.REGEXTEST(C188, "Gateway Logging"), "ゲートウェイのログ出力設定", _xlfn.REGEXTEST(C188, "CPU Balance"), "CPU使用率の分散バランス状態", _xlfn.REGEXTEST(C188, "Disk Balance"), "ディスク使用量の分散バランス状態", _xlfn.REGEXTEST(C188, "Network Inbound Balance"), "ネットワークインバウンド（受信）の分散バランス状態", _xlfn.REGEXTEST(C188, "Network Outbound Balance"), "ネットワークアウトバウンド（送信）の分散バランス状態", _xlfn.REGEXTEST(C188, "Replica Count Balance"), "レプリカ数の分散バランス状態", _xlfn.REGEXTEST(C188, "Disk Capacity"), "ディスク総容量の限界・使用容量", _xlfn.REGEXTEST(C188, "CPU Capacity"), "CPU総処理能力の限界・使用量", _xlfn.REGEXTEST(C188, "Network Inbound Capacity"), "ネットワークインバウンド（受信）帯域の限界・使用量", _xlfn.REGEXTEST(C188, "Network Outbound Capacity"), "ネットワークアウトバウンド（送信）帯域の限界・使用量", _xlfn.REGEXTEST(C188, "Leader Replica Count Balance"), "リーダーレプリカ数の分散バランス状態", _xlfn.REGEXTEST(C188, "Host DNS Resolution Duration"), "ホストのDNS名前解決の所要時間", _xlfn.REGEXTEST(C188, "TLS Certificate Expiry"), "TLS証明書の有効期限切れ", _xlfn.REGEXTEST(C188, "Host Entropy"), "ホストのエントロピー（乱数生成能力）の不足", _xlfn.REGEXTEST(C188, "File Descriptor"), "プロセスのファイルディスクリプタ使用率", _xlfn.REGEXTEST(C188, "Unexpected Exits"), "プロセスの異常終了（予期せぬ停止）", _xlfn.REGEXTEST(C188, "Swap Memory Thresholds"), "プロセスのスワップメモリ使用量", _xlfn.REGEXTEST(C188, "Swap Memory Usage Rate"), "スワップメモリ使用量の変化率（増加速度）", _xlfn.REGEXTEST(C188, "Log Directory Free Space.*Absolute"), "ログディレクトリの空き容量（絶対値）", _xlfn.REGEXTEST(C188, "Log Directory Free Space.*Percentage"), "ログディレクトリの空き容量割合（%）", _xlfn.REGEXTEST(C188, "Heap Dump Directory Free Space.*Absolute"), "ヒープダンプディレクトリの空き容量（絶対値）", _xlfn.REGEXTEST(C188, "Heap Dump Directory Free Space.*Percentage"), "ヒープダンプディレクトリの空き容量割合（%）", _xlfn.REGEXTEST(C188, "Data Directory Free Space.*Absolute"), "データディレクトリの空き容量（絶対値）", _xlfn.REGEXTEST(C188, "Data Directory Free Space.*Percentage"), "データディレクトリの空き容量割合（%）", _xlfn.REGEXTEST(C188, "Transaction Log Directory Free Space.*Absolute"), "トランザクションログディレクトリの空き容量（絶対値）", _xlfn.REGEXTEST(C188, "Logging Threshold|Logger Threshold"), "ログ出力レベルの閾値設定", _xlfn.REGEXTEST(C188, "Enable.*Alerts"), "ヘルスアラートの有効化状態", _xlfn.REGEXTEST(C188, "Triggers"), "カスタムアラート条件（トリガー設定）", _xlfn.REGEXTEST(C188, "Healthy Kafka Broker"), "Kafka Brokerの健全ノード割合（稼働率）", _xlfn.REGEXTEST(C188, "Healthy Kafka Connect"), "Kafka Connectの健全ノード割合（稼働率）", _xlfn.REGEXTEST(C188, "Healthy KRaft Controller"), "KRaft Controllerの健全ノード割合（稼働率）", _xlfn.REGEXTEST(C188, "Healthy Knox IDBroker"), "Knox IDBrokerの健全ノード割合（稼働率）", _xlfn.REGEXTEST(C188, "Healthy Knox Gateway"), "Knox Gatewayの健全ノード割合（稼働率）", _xlfn.REGEXTEST(C188, "Healthy ZooKeeper Server"), "ZooKeeper Serverの健全ノード割合（稼働率）", _xlfn.REGEXTEST(C188, "Healthy NodeManager"), "NodeManagerの健全ノード割合（稼働率）", _xlfn.REGEXTEST(C188, "Maximum Latency"), "リクエストの最大レイテンシ（処理遅延）", _xlfn.REGEXTEST(C188, "Garbage Collection Duration"), "Javaのガベージコレクション（GC）の所要時間", _xlfn.REGEXTEST(C188, "Spool Directory Usage"), "Rangerプラグインのスプールディレクトリ使用量", _xlfn.REGEXTEST(C188, "Process Directory Free Space Monitoring Absolute"), "プロセスディレクトリの空き容量（絶対値)", _xlfn.REGEXTEST(C188, "Process Directory Free Space.*Percentage"), "プロセスディレクトリの空き容量割合（%）", _xlfn.REGEXTEST(C188, "Parcel Directory Free Space.*Absolute"), "パーセルディレクトリの空き容量（絶対値）", _xlfn.REGEXTEST(C188, "Parcel Directory Free Space.*Percentage"), "パーセルディレクトリの空き容量割合（%）", _xlfn.REGEXTEST(C188, "Host Network Frame Error Percentage"), "ホストのネットワークフレームエラー割合（%）", _xlfn.REGEXTEST(C188, "Network Interfaces Slow Link Modes"), "ホストのネットワークインターフェースの低速リンクモード検出", _xlfn.REGEXTEST(C188, "Host Memory Swapping"), "ホストのメモリのスワップ発生状態", TRUE, "要手動確認")</f>
        <v>キューのスワップ発生状態</v>
      </c>
      <c r="H188" s="479">
        <v>20000</v>
      </c>
    </row>
    <row r="189" spans="1:8" ht="16.899999999999999">
      <c r="A189" s="514"/>
      <c r="B189" s="473"/>
      <c r="C189" s="471" t="s">
        <v>1003</v>
      </c>
      <c r="D189" s="471" t="s">
        <v>772</v>
      </c>
      <c r="E189" s="471" t="s">
        <v>983</v>
      </c>
      <c r="F189" s="471"/>
      <c r="G189" s="471" t="str" cm="1">
        <f t="array" ref="G189">_xlfn.IFS(C189 = "", "", _xlfn.REGEXTEST(C189, "Service Metric Migrator Minimum Consecutive Successful Checks"), "サービスメトリック移行ツールの連続正常チェック最小回数", _xlfn.REGEXTEST(C189, "Rebalancing"), "リバランシング（データ再配置）状態", _xlfn.REGEXTEST(C189, "Temporary Dump Directory"), "一時ダンプディレクトリの監視", _xlfn.REGEXTEST(C189, "Safemode Extension"), "セーフモード延長状態", _xlfn.REGEXTEST(C189, "Client Idle"), "クライアントのアイドル（待機）状態", _xlfn.REGEXTEST(C189, "Available Space Policy Balanced"), "空き容量ポリシーの分散バランス状態", _xlfn.REGEXTEST(C189, "Filesystem Checkpoint Transaction"), "ファイルシステムのチェックポイントトランザクション", _xlfn.REGEXTEST(C189, "Blocks With Corrupt Replicas Monitoring"), "破損レプリカを持つブロックの監視", _xlfn.REGEXTEST(C189, "Missing Block Monitoring"), "消失（ミッシング）ブロックの監視", _xlfn.REGEXTEST(C189, "Under-replicated Block Monitoring"), "レプリカ数不足ブロックの監視", _xlfn.REGEXTEST(C189, "HDFS Free Space Monitoring"), "HDFSの空き容量監視", _xlfn.REGEXTEST(C189, "DataNode Monitoring"), "DataNodeの稼働状態監視", _xlfn.REGEXTEST(C189, "Rules to Extract Events from Log Files"), "ログファイルからのイベント抽出ルール設定", _xlfn.REGEXTEST(C189, "Free Space Monitoring$"), "空き容量監視（一般設定）", _xlfn.REGEXTEST(C189, "Transceivers Usage"), "トランシーバー使用量（データ転送スレッド数）", _xlfn.REGEXTEST(C189, "Volume Failures"), "ボリューム障害（ディスクエラー）数", _xlfn.REGEXTEST(C189, "Block Count"), "ブロック総数", _xlfn.REGEXTEST(C189, "Audit Failure"), "監査（オーディット）ログの失敗イベント", _xlfn.REGEXTEST(C189, "Web Metric Collection Duration"), "Webメトリック収集の所要時間", _xlfn.REGEXTEST(C189, "Pause Duration"), "一時停止（ポーズ）の所要時間", _xlfn.REGEXTEST(C189, "Fsync Latency"), "Fsync（ディスク同期）のレイテンシ", _xlfn.REGEXTEST(C189, "Free Space Monitoring Absolute"), "空き容量（絶対値）", _xlfn.REGEXTEST(C189, "Free Space Monitoring Percentage"), "空き容量割合（%）", _xlfn.REGEXTEST(C189, "Age Monitoring"), "経過時間の監視", _xlfn.REGEXTEST(C189, "Transactions Monitoring"), "トランザクション数の監視", _xlfn.REGEXTEST(C189, "RPC Latency"), "RPC（遠隔手続き呼出し）のレイテンシ", _xlfn.REGEXTEST(C189, "Directory Failures"), "ディレクトリ障害数", _xlfn.REGEXTEST(C189, "Out-Of-Sync JournalNodes"), "同期ズレが発生しているJournalNode数", _xlfn.REGEXTEST(C189, "Safemode Threshold Percentage"), "セーフモード解除閾値の割合（%）", _xlfn.REGEXTEST(C189, "Kerberos Ticket Renewer Monitoring"), "Kerberosチケット更新プロセスの稼働状態監視", _xlfn.REGEXTEST(C189, "Load Balancer Monitoring"), "ロードバランサーの稼働状態監視", _xlfn.REGEXTEST(C189, "Navigator Audit Failure"), "Cloudera Navigator監査ログの失敗イベント", _xlfn.REGEXTEST(C189, "Schema Registry Server Monitoring"), "Schema Registry Serverの稼働状態監視", _xlfn.REGEXTEST(C189, "SRM Service Monitoring"), "SRMサービスの稼働状態監視", _xlfn.REGEXTEST(C189, "SRM Driver Monitoring"), "SRMドライバーの稼働状態監視", _xlfn.REGEXTEST(C189, "Loggin"), "ログ出力状態・設定監視", _xlfn.REGEXTEST(C189, "Server Monitoring"), "サーバーの稼働状態監視", _xlfn.REGEXTEST(C189, "Server Connection Count"), "サーバーの接続数（コネクション数）", _xlfn.REGEXTEST(C189, "Server Outstanding Requests"), "サーバーの未処理リクエスト数（滞留要求数）", _xlfn.REGEXTEST(C189, "Repository Status"), "リポジトリのステータス状態", _xlfn.REGEXTEST(C189, "Monitor Long Running Task"), "長時間実行タスク（ジョブ）の監視", _xlfn.REGEXTEST(C189, "Token requests per second"), "1秒あたりのトークンリクエスト数（要求レート）", _xlfn.REGEXTEST(C189, "Connection Model Score"), "接続モデルスコア（コネクション品質）", _xlfn.REGEXTEST(C189, "Queue swap"), "キューのスワップ発生状態", _xlfn.REGEXTEST(C189, "NiFi Node Monitoring"), "NiFiノードの稼働状態監視", _xlfn.REGEXTEST(C189, "Host Clock Offset"), "ホストのクロックオフセット（時刻同期のズレ）", _xlfn.REGEXTEST(C189, "Memory Overcommit Validation"), "メモリオーバーコミット設定の検証", _xlfn.REGEXTEST(C189, "Gateway Logging"), "ゲートウェイのログ出力設定", _xlfn.REGEXTEST(C189, "CPU Balance"), "CPU使用率の分散バランス状態", _xlfn.REGEXTEST(C189, "Disk Balance"), "ディスク使用量の分散バランス状態", _xlfn.REGEXTEST(C189, "Network Inbound Balance"), "ネットワークインバウンド（受信）の分散バランス状態", _xlfn.REGEXTEST(C189, "Network Outbound Balance"), "ネットワークアウトバウンド（送信）の分散バランス状態", _xlfn.REGEXTEST(C189, "Replica Count Balance"), "レプリカ数の分散バランス状態", _xlfn.REGEXTEST(C189, "Disk Capacity"), "ディスク総容量の限界・使用容量", _xlfn.REGEXTEST(C189, "CPU Capacity"), "CPU総処理能力の限界・使用量", _xlfn.REGEXTEST(C189, "Network Inbound Capacity"), "ネットワークインバウンド（受信）帯域の限界・使用量", _xlfn.REGEXTEST(C189, "Network Outbound Capacity"), "ネットワークアウトバウンド（送信）帯域の限界・使用量", _xlfn.REGEXTEST(C189, "Leader Replica Count Balance"), "リーダーレプリカ数の分散バランス状態", _xlfn.REGEXTEST(C189, "Host DNS Resolution Duration"), "ホストのDNS名前解決の所要時間", _xlfn.REGEXTEST(C189, "TLS Certificate Expiry"), "TLS証明書の有効期限切れ", _xlfn.REGEXTEST(C189, "Host Entropy"), "ホストのエントロピー（乱数生成能力）の不足", _xlfn.REGEXTEST(C189, "File Descriptor"), "プロセスのファイルディスクリプタ使用率", _xlfn.REGEXTEST(C189, "Unexpected Exits"), "プロセスの異常終了（予期せぬ停止）", _xlfn.REGEXTEST(C189, "Swap Memory Thresholds"), "プロセスのスワップメモリ使用量", _xlfn.REGEXTEST(C189, "Swap Memory Usage Rate"), "スワップメモリ使用量の変化率（増加速度）", _xlfn.REGEXTEST(C189, "Log Directory Free Space.*Absolute"), "ログディレクトリの空き容量（絶対値）", _xlfn.REGEXTEST(C189, "Log Directory Free Space.*Percentage"), "ログディレクトリの空き容量割合（%）", _xlfn.REGEXTEST(C189, "Heap Dump Directory Free Space.*Absolute"), "ヒープダンプディレクトリの空き容量（絶対値）", _xlfn.REGEXTEST(C189, "Heap Dump Directory Free Space.*Percentage"), "ヒープダンプディレクトリの空き容量割合（%）", _xlfn.REGEXTEST(C189, "Data Directory Free Space.*Absolute"), "データディレクトリの空き容量（絶対値）", _xlfn.REGEXTEST(C189, "Data Directory Free Space.*Percentage"), "データディレクトリの空き容量割合（%）", _xlfn.REGEXTEST(C189, "Transaction Log Directory Free Space.*Absolute"), "トランザクションログディレクトリの空き容量（絶対値）", _xlfn.REGEXTEST(C189, "Logging Threshold|Logger Threshold"), "ログ出力レベルの閾値設定", _xlfn.REGEXTEST(C189, "Enable.*Alerts"), "ヘルスアラートの有効化状態", _xlfn.REGEXTEST(C189, "Triggers"), "カスタムアラート条件（トリガー設定）", _xlfn.REGEXTEST(C189, "Healthy Kafka Broker"), "Kafka Brokerの健全ノード割合（稼働率）", _xlfn.REGEXTEST(C189, "Healthy Kafka Connect"), "Kafka Connectの健全ノード割合（稼働率）", _xlfn.REGEXTEST(C189, "Healthy KRaft Controller"), "KRaft Controllerの健全ノード割合（稼働率）", _xlfn.REGEXTEST(C189, "Healthy Knox IDBroker"), "Knox IDBrokerの健全ノード割合（稼働率）", _xlfn.REGEXTEST(C189, "Healthy Knox Gateway"), "Knox Gatewayの健全ノード割合（稼働率）", _xlfn.REGEXTEST(C189, "Healthy ZooKeeper Server"), "ZooKeeper Serverの健全ノード割合（稼働率）", _xlfn.REGEXTEST(C189, "Healthy NodeManager"), "NodeManagerの健全ノード割合（稼働率）", _xlfn.REGEXTEST(C189, "Maximum Latency"), "リクエストの最大レイテンシ（処理遅延）", _xlfn.REGEXTEST(C189, "Garbage Collection Duration"), "Javaのガベージコレクション（GC）の所要時間", _xlfn.REGEXTEST(C189, "Spool Directory Usage"), "Rangerプラグインのスプールディレクトリ使用量", _xlfn.REGEXTEST(C189, "Process Directory Free Space Monitoring Absolute"), "プロセスディレクトリの空き容量（絶対値)", _xlfn.REGEXTEST(C189, "Process Directory Free Space.*Percentage"), "プロセスディレクトリの空き容量割合（%）", _xlfn.REGEXTEST(C189, "Parcel Directory Free Space.*Absolute"), "パーセルディレクトリの空き容量（絶対値）", _xlfn.REGEXTEST(C189, "Parcel Directory Free Space.*Percentage"), "パーセルディレクトリの空き容量割合（%）", _xlfn.REGEXTEST(C189, "Host Network Frame Error Percentage"), "ホストのネットワークフレームエラー割合（%）", _xlfn.REGEXTEST(C189, "Network Interfaces Slow Link Modes"), "ホストのネットワークインターフェースの低速リンクモード検出", _xlfn.REGEXTEST(C189, "Host Memory Swapping"), "ホストのメモリのスワップ発生状態", TRUE, "要手動確認")</f>
        <v>ログ出力状態・設定監視</v>
      </c>
      <c r="H189" s="479" t="s">
        <v>775</v>
      </c>
    </row>
    <row r="190" spans="1:8" ht="16.899999999999999">
      <c r="A190" s="514"/>
      <c r="B190" s="473"/>
      <c r="C190" s="471" t="s">
        <v>791</v>
      </c>
      <c r="D190" s="471" t="s">
        <v>792</v>
      </c>
      <c r="E190" s="471" t="s">
        <v>1004</v>
      </c>
      <c r="F190" s="471"/>
      <c r="G190" s="471" t="str" cm="1">
        <f t="array" ref="G190">_xlfn.IFS(C190 = "", "", _xlfn.REGEXTEST(C190, "Service Metric Migrator Minimum Consecutive Successful Checks"), "サービスメトリック移行ツールの連続正常チェック最小回数", _xlfn.REGEXTEST(C190, "Rebalancing"), "リバランシング（データ再配置）状態", _xlfn.REGEXTEST(C190, "Temporary Dump Directory"), "一時ダンプディレクトリの監視", _xlfn.REGEXTEST(C190, "Safemode Extension"), "セーフモード延長状態", _xlfn.REGEXTEST(C190, "Client Idle"), "クライアントのアイドル（待機）状態", _xlfn.REGEXTEST(C190, "Available Space Policy Balanced"), "空き容量ポリシーの分散バランス状態", _xlfn.REGEXTEST(C190, "Filesystem Checkpoint Transaction"), "ファイルシステムのチェックポイントトランザクション", _xlfn.REGEXTEST(C190, "Blocks With Corrupt Replicas Monitoring"), "破損レプリカを持つブロックの監視", _xlfn.REGEXTEST(C190, "Missing Block Monitoring"), "消失（ミッシング）ブロックの監視", _xlfn.REGEXTEST(C190, "Under-replicated Block Monitoring"), "レプリカ数不足ブロックの監視", _xlfn.REGEXTEST(C190, "HDFS Free Space Monitoring"), "HDFSの空き容量監視", _xlfn.REGEXTEST(C190, "DataNode Monitoring"), "DataNodeの稼働状態監視", _xlfn.REGEXTEST(C190, "Rules to Extract Events from Log Files"), "ログファイルからのイベント抽出ルール設定", _xlfn.REGEXTEST(C190, "Free Space Monitoring$"), "空き容量監視（一般設定）", _xlfn.REGEXTEST(C190, "Transceivers Usage"), "トランシーバー使用量（データ転送スレッド数）", _xlfn.REGEXTEST(C190, "Volume Failures"), "ボリューム障害（ディスクエラー）数", _xlfn.REGEXTEST(C190, "Block Count"), "ブロック総数", _xlfn.REGEXTEST(C190, "Audit Failure"), "監査（オーディット）ログの失敗イベント", _xlfn.REGEXTEST(C190, "Web Metric Collection Duration"), "Webメトリック収集の所要時間", _xlfn.REGEXTEST(C190, "Pause Duration"), "一時停止（ポーズ）の所要時間", _xlfn.REGEXTEST(C190, "Fsync Latency"), "Fsync（ディスク同期）のレイテンシ", _xlfn.REGEXTEST(C190, "Free Space Monitoring Absolute"), "空き容量（絶対値）", _xlfn.REGEXTEST(C190, "Free Space Monitoring Percentage"), "空き容量割合（%）", _xlfn.REGEXTEST(C190, "Age Monitoring"), "経過時間の監視", _xlfn.REGEXTEST(C190, "Transactions Monitoring"), "トランザクション数の監視", _xlfn.REGEXTEST(C190, "RPC Latency"), "RPC（遠隔手続き呼出し）のレイテンシ", _xlfn.REGEXTEST(C190, "Directory Failures"), "ディレクトリ障害数", _xlfn.REGEXTEST(C190, "Out-Of-Sync JournalNodes"), "同期ズレが発生しているJournalNode数", _xlfn.REGEXTEST(C190, "Safemode Threshold Percentage"), "セーフモード解除閾値の割合（%）", _xlfn.REGEXTEST(C190, "Kerberos Ticket Renewer Monitoring"), "Kerberosチケット更新プロセスの稼働状態監視", _xlfn.REGEXTEST(C190, "Load Balancer Monitoring"), "ロードバランサーの稼働状態監視", _xlfn.REGEXTEST(C190, "Navigator Audit Failure"), "Cloudera Navigator監査ログの失敗イベント", _xlfn.REGEXTEST(C190, "Schema Registry Server Monitoring"), "Schema Registry Serverの稼働状態監視", _xlfn.REGEXTEST(C190, "SRM Service Monitoring"), "SRMサービスの稼働状態監視", _xlfn.REGEXTEST(C190, "SRM Driver Monitoring"), "SRMドライバーの稼働状態監視", _xlfn.REGEXTEST(C190, "Loggin"), "ログ出力状態・設定監視", _xlfn.REGEXTEST(C190, "Server Monitoring"), "サーバーの稼働状態監視", _xlfn.REGEXTEST(C190, "Server Connection Count"), "サーバーの接続数（コネクション数）", _xlfn.REGEXTEST(C190, "Server Outstanding Requests"), "サーバーの未処理リクエスト数（滞留要求数）", _xlfn.REGEXTEST(C190, "Repository Status"), "リポジトリのステータス状態", _xlfn.REGEXTEST(C190, "Monitor Long Running Task"), "長時間実行タスク（ジョブ）の監視", _xlfn.REGEXTEST(C190, "Token requests per second"), "1秒あたりのトークンリクエスト数（要求レート）", _xlfn.REGEXTEST(C190, "Connection Model Score"), "接続モデルスコア（コネクション品質）", _xlfn.REGEXTEST(C190, "Queue swap"), "キューのスワップ発生状態", _xlfn.REGEXTEST(C190, "NiFi Node Monitoring"), "NiFiノードの稼働状態監視", _xlfn.REGEXTEST(C190, "Host Clock Offset"), "ホストのクロックオフセット（時刻同期のズレ）", _xlfn.REGEXTEST(C190, "Memory Overcommit Validation"), "メモリオーバーコミット設定の検証", _xlfn.REGEXTEST(C190, "Gateway Logging"), "ゲートウェイのログ出力設定", _xlfn.REGEXTEST(C190, "CPU Balance"), "CPU使用率の分散バランス状態", _xlfn.REGEXTEST(C190, "Disk Balance"), "ディスク使用量の分散バランス状態", _xlfn.REGEXTEST(C190, "Network Inbound Balance"), "ネットワークインバウンド（受信）の分散バランス状態", _xlfn.REGEXTEST(C190, "Network Outbound Balance"), "ネットワークアウトバウンド（送信）の分散バランス状態", _xlfn.REGEXTEST(C190, "Replica Count Balance"), "レプリカ数の分散バランス状態", _xlfn.REGEXTEST(C190, "Disk Capacity"), "ディスク総容量の限界・使用容量", _xlfn.REGEXTEST(C190, "CPU Capacity"), "CPU総処理能力の限界・使用量", _xlfn.REGEXTEST(C190, "Network Inbound Capacity"), "ネットワークインバウンド（受信）帯域の限界・使用量", _xlfn.REGEXTEST(C190, "Network Outbound Capacity"), "ネットワークアウトバウンド（送信）帯域の限界・使用量", _xlfn.REGEXTEST(C190, "Leader Replica Count Balance"), "リーダーレプリカ数の分散バランス状態", _xlfn.REGEXTEST(C190, "Host DNS Resolution Duration"), "ホストのDNS名前解決の所要時間", _xlfn.REGEXTEST(C190, "TLS Certificate Expiry"), "TLS証明書の有効期限切れ", _xlfn.REGEXTEST(C190, "Host Entropy"), "ホストのエントロピー（乱数生成能力）の不足", _xlfn.REGEXTEST(C190, "File Descriptor"), "プロセスのファイルディスクリプタ使用率", _xlfn.REGEXTEST(C190, "Unexpected Exits"), "プロセスの異常終了（予期せぬ停止）", _xlfn.REGEXTEST(C190, "Swap Memory Thresholds"), "プロセスのスワップメモリ使用量", _xlfn.REGEXTEST(C190, "Swap Memory Usage Rate"), "スワップメモリ使用量の変化率（増加速度）", _xlfn.REGEXTEST(C190, "Log Directory Free Space.*Absolute"), "ログディレクトリの空き容量（絶対値）", _xlfn.REGEXTEST(C190, "Log Directory Free Space.*Percentage"), "ログディレクトリの空き容量割合（%）", _xlfn.REGEXTEST(C190, "Heap Dump Directory Free Space.*Absolute"), "ヒープダンプディレクトリの空き容量（絶対値）", _xlfn.REGEXTEST(C190, "Heap Dump Directory Free Space.*Percentage"), "ヒープダンプディレクトリの空き容量割合（%）", _xlfn.REGEXTEST(C190, "Data Directory Free Space.*Absolute"), "データディレクトリの空き容量（絶対値）", _xlfn.REGEXTEST(C190, "Data Directory Free Space.*Percentage"), "データディレクトリの空き容量割合（%）", _xlfn.REGEXTEST(C190, "Transaction Log Directory Free Space.*Absolute"), "トランザクションログディレクトリの空き容量（絶対値）", _xlfn.REGEXTEST(C190, "Logging Threshold|Logger Threshold"), "ログ出力レベルの閾値設定", _xlfn.REGEXTEST(C190, "Enable.*Alerts"), "ヘルスアラートの有効化状態", _xlfn.REGEXTEST(C190, "Triggers"), "カスタムアラート条件（トリガー設定）", _xlfn.REGEXTEST(C190, "Healthy Kafka Broker"), "Kafka Brokerの健全ノード割合（稼働率）", _xlfn.REGEXTEST(C190, "Healthy Kafka Connect"), "Kafka Connectの健全ノード割合（稼働率）", _xlfn.REGEXTEST(C190, "Healthy KRaft Controller"), "KRaft Controllerの健全ノード割合（稼働率）", _xlfn.REGEXTEST(C190, "Healthy Knox IDBroker"), "Knox IDBrokerの健全ノード割合（稼働率）", _xlfn.REGEXTEST(C190, "Healthy Knox Gateway"), "Knox Gatewayの健全ノード割合（稼働率）", _xlfn.REGEXTEST(C190, "Healthy ZooKeeper Server"), "ZooKeeper Serverの健全ノード割合（稼働率）", _xlfn.REGEXTEST(C190, "Healthy NodeManager"), "NodeManagerの健全ノード割合（稼働率）", _xlfn.REGEXTEST(C190, "Maximum Latency"), "リクエストの最大レイテンシ（処理遅延）", _xlfn.REGEXTEST(C190, "Garbage Collection Duration"), "Javaのガベージコレクション（GC）の所要時間", _xlfn.REGEXTEST(C190, "Spool Directory Usage"), "Rangerプラグインのスプールディレクトリ使用量", _xlfn.REGEXTEST(C190, "Process Directory Free Space Monitoring Absolute"), "プロセスディレクトリの空き容量（絶対値)", _xlfn.REGEXTEST(C190, "Process Directory Free Space.*Percentage"), "プロセスディレクトリの空き容量割合（%）", _xlfn.REGEXTEST(C190, "Parcel Directory Free Space.*Absolute"), "パーセルディレクトリの空き容量（絶対値）", _xlfn.REGEXTEST(C190, "Parcel Directory Free Space.*Percentage"), "パーセルディレクトリの空き容量割合（%）", _xlfn.REGEXTEST(C190, "Host Network Frame Error Percentage"), "ホストのネットワークフレームエラー割合（%）", _xlfn.REGEXTEST(C190, "Network Interfaces Slow Link Modes"), "ホストのネットワークインターフェースの低速リンクモード検出", _xlfn.REGEXTEST(C190, "Host Memory Swapping"), "ホストのメモリのスワップ発生状態", TRUE, "要手動確認")</f>
        <v>カスタムアラート条件（トリガー設定）</v>
      </c>
      <c r="H190" s="479" t="s">
        <v>754</v>
      </c>
    </row>
    <row r="191" spans="1:8" ht="33.6">
      <c r="A191" s="514"/>
      <c r="B191" s="473"/>
      <c r="C191" s="471" t="s">
        <v>1005</v>
      </c>
      <c r="D191" s="471" t="s">
        <v>1006</v>
      </c>
      <c r="E191" s="471" t="s">
        <v>1004</v>
      </c>
      <c r="F191" s="471"/>
      <c r="G191" s="471" t="str" cm="1">
        <f t="array" ref="G191">_xlfn.IFS(C191 = "", "", _xlfn.REGEXTEST(C191, "Service Metric Migrator Minimum Consecutive Successful Checks"), "サービスメトリック移行ツールの連続正常チェック最小回数", _xlfn.REGEXTEST(C191, "Rebalancing"), "リバランシング（データ再配置）状態", _xlfn.REGEXTEST(C191, "Temporary Dump Directory"), "一時ダンプディレクトリの監視", _xlfn.REGEXTEST(C191, "Safemode Extension"), "セーフモード延長状態", _xlfn.REGEXTEST(C191, "Client Idle"), "クライアントのアイドル（待機）状態", _xlfn.REGEXTEST(C191, "Available Space Policy Balanced"), "空き容量ポリシーの分散バランス状態", _xlfn.REGEXTEST(C191, "Filesystem Checkpoint Transaction"), "ファイルシステムのチェックポイントトランザクション", _xlfn.REGEXTEST(C191, "Blocks With Corrupt Replicas Monitoring"), "破損レプリカを持つブロックの監視", _xlfn.REGEXTEST(C191, "Missing Block Monitoring"), "消失（ミッシング）ブロックの監視", _xlfn.REGEXTEST(C191, "Under-replicated Block Monitoring"), "レプリカ数不足ブロックの監視", _xlfn.REGEXTEST(C191, "HDFS Free Space Monitoring"), "HDFSの空き容量監視", _xlfn.REGEXTEST(C191, "DataNode Monitoring"), "DataNodeの稼働状態監視", _xlfn.REGEXTEST(C191, "Rules to Extract Events from Log Files"), "ログファイルからのイベント抽出ルール設定", _xlfn.REGEXTEST(C191, "Free Space Monitoring$"), "空き容量監視（一般設定）", _xlfn.REGEXTEST(C191, "Transceivers Usage"), "トランシーバー使用量（データ転送スレッド数）", _xlfn.REGEXTEST(C191, "Volume Failures"), "ボリューム障害（ディスクエラー）数", _xlfn.REGEXTEST(C191, "Block Count"), "ブロック総数", _xlfn.REGEXTEST(C191, "Audit Failure"), "監査（オーディット）ログの失敗イベント", _xlfn.REGEXTEST(C191, "Web Metric Collection Duration"), "Webメトリック収集の所要時間", _xlfn.REGEXTEST(C191, "Pause Duration"), "一時停止（ポーズ）の所要時間", _xlfn.REGEXTEST(C191, "Fsync Latency"), "Fsync（ディスク同期）のレイテンシ", _xlfn.REGEXTEST(C191, "Free Space Monitoring Absolute"), "空き容量（絶対値）", _xlfn.REGEXTEST(C191, "Free Space Monitoring Percentage"), "空き容量割合（%）", _xlfn.REGEXTEST(C191, "Age Monitoring"), "経過時間の監視", _xlfn.REGEXTEST(C191, "Transactions Monitoring"), "トランザクション数の監視", _xlfn.REGEXTEST(C191, "RPC Latency"), "RPC（遠隔手続き呼出し）のレイテンシ", _xlfn.REGEXTEST(C191, "Directory Failures"), "ディレクトリ障害数", _xlfn.REGEXTEST(C191, "Out-Of-Sync JournalNodes"), "同期ズレが発生しているJournalNode数", _xlfn.REGEXTEST(C191, "Safemode Threshold Percentage"), "セーフモード解除閾値の割合（%）", _xlfn.REGEXTEST(C191, "Kerberos Ticket Renewer Monitoring"), "Kerberosチケット更新プロセスの稼働状態監視", _xlfn.REGEXTEST(C191, "Load Balancer Monitoring"), "ロードバランサーの稼働状態監視", _xlfn.REGEXTEST(C191, "Navigator Audit Failure"), "Cloudera Navigator監査ログの失敗イベント", _xlfn.REGEXTEST(C191, "Schema Registry Server Monitoring"), "Schema Registry Serverの稼働状態監視", _xlfn.REGEXTEST(C191, "SRM Service Monitoring"), "SRMサービスの稼働状態監視", _xlfn.REGEXTEST(C191, "SRM Driver Monitoring"), "SRMドライバーの稼働状態監視", _xlfn.REGEXTEST(C191, "Loggin"), "ログ出力状態・設定監視", _xlfn.REGEXTEST(C191, "Server Monitoring"), "サーバーの稼働状態監視", _xlfn.REGEXTEST(C191, "Server Connection Count"), "サーバーの接続数（コネクション数）", _xlfn.REGEXTEST(C191, "Server Outstanding Requests"), "サーバーの未処理リクエスト数（滞留要求数）", _xlfn.REGEXTEST(C191, "Repository Status"), "リポジトリのステータス状態", _xlfn.REGEXTEST(C191, "Monitor Long Running Task"), "長時間実行タスク（ジョブ）の監視", _xlfn.REGEXTEST(C191, "Token requests per second"), "1秒あたりのトークンリクエスト数（要求レート）", _xlfn.REGEXTEST(C191, "Connection Model Score"), "接続モデルスコア（コネクション品質）", _xlfn.REGEXTEST(C191, "Queue swap"), "キューのスワップ発生状態", _xlfn.REGEXTEST(C191, "NiFi Node Monitoring"), "NiFiノードの稼働状態監視", _xlfn.REGEXTEST(C191, "Host Clock Offset"), "ホストのクロックオフセット（時刻同期のズレ）", _xlfn.REGEXTEST(C191, "Memory Overcommit Validation"), "メモリオーバーコミット設定の検証", _xlfn.REGEXTEST(C191, "Gateway Logging"), "ゲートウェイのログ出力設定", _xlfn.REGEXTEST(C191, "CPU Balance"), "CPU使用率の分散バランス状態", _xlfn.REGEXTEST(C191, "Disk Balance"), "ディスク使用量の分散バランス状態", _xlfn.REGEXTEST(C191, "Network Inbound Balance"), "ネットワークインバウンド（受信）の分散バランス状態", _xlfn.REGEXTEST(C191, "Network Outbound Balance"), "ネットワークアウトバウンド（送信）の分散バランス状態", _xlfn.REGEXTEST(C191, "Replica Count Balance"), "レプリカ数の分散バランス状態", _xlfn.REGEXTEST(C191, "Disk Capacity"), "ディスク総容量の限界・使用容量", _xlfn.REGEXTEST(C191, "CPU Capacity"), "CPU総処理能力の限界・使用量", _xlfn.REGEXTEST(C191, "Network Inbound Capacity"), "ネットワークインバウンド（受信）帯域の限界・使用量", _xlfn.REGEXTEST(C191, "Network Outbound Capacity"), "ネットワークアウトバウンド（送信）帯域の限界・使用量", _xlfn.REGEXTEST(C191, "Leader Replica Count Balance"), "リーダーレプリカ数の分散バランス状態", _xlfn.REGEXTEST(C191, "Host DNS Resolution Duration"), "ホストのDNS名前解決の所要時間", _xlfn.REGEXTEST(C191, "TLS Certificate Expiry"), "TLS証明書の有効期限切れ", _xlfn.REGEXTEST(C191, "Host Entropy"), "ホストのエントロピー（乱数生成能力）の不足", _xlfn.REGEXTEST(C191, "File Descriptor"), "プロセスのファイルディスクリプタ使用率", _xlfn.REGEXTEST(C191, "Unexpected Exits"), "プロセスの異常終了（予期せぬ停止）", _xlfn.REGEXTEST(C191, "Swap Memory Thresholds"), "プロセスのスワップメモリ使用量", _xlfn.REGEXTEST(C191, "Swap Memory Usage Rate"), "スワップメモリ使用量の変化率（増加速度）", _xlfn.REGEXTEST(C191, "Log Directory Free Space.*Absolute"), "ログディレクトリの空き容量（絶対値）", _xlfn.REGEXTEST(C191, "Log Directory Free Space.*Percentage"), "ログディレクトリの空き容量割合（%）", _xlfn.REGEXTEST(C191, "Heap Dump Directory Free Space.*Absolute"), "ヒープダンプディレクトリの空き容量（絶対値）", _xlfn.REGEXTEST(C191, "Heap Dump Directory Free Space.*Percentage"), "ヒープダンプディレクトリの空き容量割合（%）", _xlfn.REGEXTEST(C191, "Data Directory Free Space.*Absolute"), "データディレクトリの空き容量（絶対値）", _xlfn.REGEXTEST(C191, "Data Directory Free Space.*Percentage"), "データディレクトリの空き容量割合（%）", _xlfn.REGEXTEST(C191, "Transaction Log Directory Free Space.*Absolute"), "トランザクションログディレクトリの空き容量（絶対値）", _xlfn.REGEXTEST(C191, "Logging Threshold|Logger Threshold"), "ログ出力レベルの閾値設定", _xlfn.REGEXTEST(C191, "Enable.*Alerts"), "ヘルスアラートの有効化状態", _xlfn.REGEXTEST(C191, "Triggers"), "カスタムアラート条件（トリガー設定）", _xlfn.REGEXTEST(C191, "Healthy Kafka Broker"), "Kafka Brokerの健全ノード割合（稼働率）", _xlfn.REGEXTEST(C191, "Healthy Kafka Connect"), "Kafka Connectの健全ノード割合（稼働率）", _xlfn.REGEXTEST(C191, "Healthy KRaft Controller"), "KRaft Controllerの健全ノード割合（稼働率）", _xlfn.REGEXTEST(C191, "Healthy Knox IDBroker"), "Knox IDBrokerの健全ノード割合（稼働率）", _xlfn.REGEXTEST(C191, "Healthy Knox Gateway"), "Knox Gatewayの健全ノード割合（稼働率）", _xlfn.REGEXTEST(C191, "Healthy ZooKeeper Server"), "ZooKeeper Serverの健全ノード割合（稼働率）", _xlfn.REGEXTEST(C191, "Healthy NodeManager"), "NodeManagerの健全ノード割合（稼働率）", _xlfn.REGEXTEST(C191, "Maximum Latency"), "リクエストの最大レイテンシ（処理遅延）", _xlfn.REGEXTEST(C191, "Garbage Collection Duration"), "Javaのガベージコレクション（GC）の所要時間", _xlfn.REGEXTEST(C191, "Spool Directory Usage"), "Rangerプラグインのスプールディレクトリ使用量", _xlfn.REGEXTEST(C191, "Process Directory Free Space Monitoring Absolute"), "プロセスディレクトリの空き容量（絶対値)", _xlfn.REGEXTEST(C191, "Process Directory Free Space.*Percentage"), "プロセスディレクトリの空き容量割合（%）", _xlfn.REGEXTEST(C191, "Parcel Directory Free Space.*Absolute"), "パーセルディレクトリの空き容量（絶対値）", _xlfn.REGEXTEST(C191, "Parcel Directory Free Space.*Percentage"), "パーセルディレクトリの空き容量割合（%）", _xlfn.REGEXTEST(C191, "Host Network Frame Error Percentage"), "ホストのネットワークフレームエラー割合（%）", _xlfn.REGEXTEST(C191, "Network Interfaces Slow Link Modes"), "ホストのネットワークインターフェースの低速リンクモード検出", _xlfn.REGEXTEST(C191, "Host Memory Swapping"), "ホストのメモリのスワップ発生状態", TRUE, "要手動確認")</f>
        <v>NiFiノードの稼働状態監視</v>
      </c>
      <c r="H191" s="479" t="s">
        <v>1007</v>
      </c>
    </row>
    <row r="192" spans="1:8" ht="33.6">
      <c r="A192" s="514"/>
      <c r="B192" s="473"/>
      <c r="C192" s="471" t="s">
        <v>736</v>
      </c>
      <c r="D192" s="471" t="s">
        <v>1008</v>
      </c>
      <c r="E192" s="471" t="s">
        <v>983</v>
      </c>
      <c r="F192" s="471"/>
      <c r="G192" s="471" t="str" cm="1">
        <f t="array" ref="G192">_xlfn.IFS(C192 = "", "", _xlfn.REGEXTEST(C192, "Service Metric Migrator Minimum Consecutive Successful Checks"), "サービスメトリック移行ツールの連続正常チェック最小回数", _xlfn.REGEXTEST(C192, "Rebalancing"), "リバランシング（データ再配置）状態", _xlfn.REGEXTEST(C192, "Temporary Dump Directory"), "一時ダンプディレクトリの監視", _xlfn.REGEXTEST(C192, "Safemode Extension"), "セーフモード延長状態", _xlfn.REGEXTEST(C192, "Client Idle"), "クライアントのアイドル（待機）状態", _xlfn.REGEXTEST(C192, "Available Space Policy Balanced"), "空き容量ポリシーの分散バランス状態", _xlfn.REGEXTEST(C192, "Filesystem Checkpoint Transaction"), "ファイルシステムのチェックポイントトランザクション", _xlfn.REGEXTEST(C192, "Blocks With Corrupt Replicas Monitoring"), "破損レプリカを持つブロックの監視", _xlfn.REGEXTEST(C192, "Missing Block Monitoring"), "消失（ミッシング）ブロックの監視", _xlfn.REGEXTEST(C192, "Under-replicated Block Monitoring"), "レプリカ数不足ブロックの監視", _xlfn.REGEXTEST(C192, "HDFS Free Space Monitoring"), "HDFSの空き容量監視", _xlfn.REGEXTEST(C192, "DataNode Monitoring"), "DataNodeの稼働状態監視", _xlfn.REGEXTEST(C192, "Rules to Extract Events from Log Files"), "ログファイルからのイベント抽出ルール設定", _xlfn.REGEXTEST(C192, "Free Space Monitoring$"), "空き容量監視（一般設定）", _xlfn.REGEXTEST(C192, "Transceivers Usage"), "トランシーバー使用量（データ転送スレッド数）", _xlfn.REGEXTEST(C192, "Volume Failures"), "ボリューム障害（ディスクエラー）数", _xlfn.REGEXTEST(C192, "Block Count"), "ブロック総数", _xlfn.REGEXTEST(C192, "Audit Failure"), "監査（オーディット）ログの失敗イベント", _xlfn.REGEXTEST(C192, "Web Metric Collection Duration"), "Webメトリック収集の所要時間", _xlfn.REGEXTEST(C192, "Pause Duration"), "一時停止（ポーズ）の所要時間", _xlfn.REGEXTEST(C192, "Fsync Latency"), "Fsync（ディスク同期）のレイテンシ", _xlfn.REGEXTEST(C192, "Free Space Monitoring Absolute"), "空き容量（絶対値）", _xlfn.REGEXTEST(C192, "Free Space Monitoring Percentage"), "空き容量割合（%）", _xlfn.REGEXTEST(C192, "Age Monitoring"), "経過時間の監視", _xlfn.REGEXTEST(C192, "Transactions Monitoring"), "トランザクション数の監視", _xlfn.REGEXTEST(C192, "RPC Latency"), "RPC（遠隔手続き呼出し）のレイテンシ", _xlfn.REGEXTEST(C192, "Directory Failures"), "ディレクトリ障害数", _xlfn.REGEXTEST(C192, "Out-Of-Sync JournalNodes"), "同期ズレが発生しているJournalNode数", _xlfn.REGEXTEST(C192, "Safemode Threshold Percentage"), "セーフモード解除閾値の割合（%）", _xlfn.REGEXTEST(C192, "Kerberos Ticket Renewer Monitoring"), "Kerberosチケット更新プロセスの稼働状態監視", _xlfn.REGEXTEST(C192, "Load Balancer Monitoring"), "ロードバランサーの稼働状態監視", _xlfn.REGEXTEST(C192, "Navigator Audit Failure"), "Cloudera Navigator監査ログの失敗イベント", _xlfn.REGEXTEST(C192, "Schema Registry Server Monitoring"), "Schema Registry Serverの稼働状態監視", _xlfn.REGEXTEST(C192, "SRM Service Monitoring"), "SRMサービスの稼働状態監視", _xlfn.REGEXTEST(C192, "SRM Driver Monitoring"), "SRMドライバーの稼働状態監視", _xlfn.REGEXTEST(C192, "Loggin"), "ログ出力状態・設定監視", _xlfn.REGEXTEST(C192, "Server Monitoring"), "サーバーの稼働状態監視", _xlfn.REGEXTEST(C192, "Server Connection Count"), "サーバーの接続数（コネクション数）", _xlfn.REGEXTEST(C192, "Server Outstanding Requests"), "サーバーの未処理リクエスト数（滞留要求数）", _xlfn.REGEXTEST(C192, "Repository Status"), "リポジトリのステータス状態", _xlfn.REGEXTEST(C192, "Monitor Long Running Task"), "長時間実行タスク（ジョブ）の監視", _xlfn.REGEXTEST(C192, "Token requests per second"), "1秒あたりのトークンリクエスト数（要求レート）", _xlfn.REGEXTEST(C192, "Connection Model Score"), "接続モデルスコア（コネクション品質）", _xlfn.REGEXTEST(C192, "Queue swap"), "キューのスワップ発生状態", _xlfn.REGEXTEST(C192, "NiFi Node Monitoring"), "NiFiノードの稼働状態監視", _xlfn.REGEXTEST(C192, "Host Clock Offset"), "ホストのクロックオフセット（時刻同期のズレ）", _xlfn.REGEXTEST(C192, "Memory Overcommit Validation"), "メモリオーバーコミット設定の検証", _xlfn.REGEXTEST(C192, "Gateway Logging"), "ゲートウェイのログ出力設定", _xlfn.REGEXTEST(C192, "CPU Balance"), "CPU使用率の分散バランス状態", _xlfn.REGEXTEST(C192, "Disk Balance"), "ディスク使用量の分散バランス状態", _xlfn.REGEXTEST(C192, "Network Inbound Balance"), "ネットワークインバウンド（受信）の分散バランス状態", _xlfn.REGEXTEST(C192, "Network Outbound Balance"), "ネットワークアウトバウンド（送信）の分散バランス状態", _xlfn.REGEXTEST(C192, "Replica Count Balance"), "レプリカ数の分散バランス状態", _xlfn.REGEXTEST(C192, "Disk Capacity"), "ディスク総容量の限界・使用容量", _xlfn.REGEXTEST(C192, "CPU Capacity"), "CPU総処理能力の限界・使用量", _xlfn.REGEXTEST(C192, "Network Inbound Capacity"), "ネットワークインバウンド（受信）帯域の限界・使用量", _xlfn.REGEXTEST(C192, "Network Outbound Capacity"), "ネットワークアウトバウンド（送信）帯域の限界・使用量", _xlfn.REGEXTEST(C192, "Leader Replica Count Balance"), "リーダーレプリカ数の分散バランス状態", _xlfn.REGEXTEST(C192, "Host DNS Resolution Duration"), "ホストのDNS名前解決の所要時間", _xlfn.REGEXTEST(C192, "TLS Certificate Expiry"), "TLS証明書の有効期限切れ", _xlfn.REGEXTEST(C192, "Host Entropy"), "ホストのエントロピー（乱数生成能力）の不足", _xlfn.REGEXTEST(C192, "File Descriptor"), "プロセスのファイルディスクリプタ使用率", _xlfn.REGEXTEST(C192, "Unexpected Exits"), "プロセスの異常終了（予期せぬ停止）", _xlfn.REGEXTEST(C192, "Swap Memory Thresholds"), "プロセスのスワップメモリ使用量", _xlfn.REGEXTEST(C192, "Swap Memory Usage Rate"), "スワップメモリ使用量の変化率（増加速度）", _xlfn.REGEXTEST(C192, "Log Directory Free Space.*Absolute"), "ログディレクトリの空き容量（絶対値）", _xlfn.REGEXTEST(C192, "Log Directory Free Space.*Percentage"), "ログディレクトリの空き容量割合（%）", _xlfn.REGEXTEST(C192, "Heap Dump Directory Free Space.*Absolute"), "ヒープダンプディレクトリの空き容量（絶対値）", _xlfn.REGEXTEST(C192, "Heap Dump Directory Free Space.*Percentage"), "ヒープダンプディレクトリの空き容量割合（%）", _xlfn.REGEXTEST(C192, "Data Directory Free Space.*Absolute"), "データディレクトリの空き容量（絶対値）", _xlfn.REGEXTEST(C192, "Data Directory Free Space.*Percentage"), "データディレクトリの空き容量割合（%）", _xlfn.REGEXTEST(C192, "Transaction Log Directory Free Space.*Absolute"), "トランザクションログディレクトリの空き容量（絶対値）", _xlfn.REGEXTEST(C192, "Logging Threshold|Logger Threshold"), "ログ出力レベルの閾値設定", _xlfn.REGEXTEST(C192, "Enable.*Alerts"), "ヘルスアラートの有効化状態", _xlfn.REGEXTEST(C192, "Triggers"), "カスタムアラート条件（トリガー設定）", _xlfn.REGEXTEST(C192, "Healthy Kafka Broker"), "Kafka Brokerの健全ノード割合（稼働率）", _xlfn.REGEXTEST(C192, "Healthy Kafka Connect"), "Kafka Connectの健全ノード割合（稼働率）", _xlfn.REGEXTEST(C192, "Healthy KRaft Controller"), "KRaft Controllerの健全ノード割合（稼働率）", _xlfn.REGEXTEST(C192, "Healthy Knox IDBroker"), "Knox IDBrokerの健全ノード割合（稼働率）", _xlfn.REGEXTEST(C192, "Healthy Knox Gateway"), "Knox Gatewayの健全ノード割合（稼働率）", _xlfn.REGEXTEST(C192, "Healthy ZooKeeper Server"), "ZooKeeper Serverの健全ノード割合（稼働率）", _xlfn.REGEXTEST(C192, "Healthy NodeManager"), "NodeManagerの健全ノード割合（稼働率）", _xlfn.REGEXTEST(C192, "Maximum Latency"), "リクエストの最大レイテンシ（処理遅延）", _xlfn.REGEXTEST(C192, "Garbage Collection Duration"), "Javaのガベージコレクション（GC）の所要時間", _xlfn.REGEXTEST(C192, "Spool Directory Usage"), "Rangerプラグインのスプールディレクトリ使用量", _xlfn.REGEXTEST(C192, "Process Directory Free Space Monitoring Absolute"), "プロセスディレクトリの空き容量（絶対値)", _xlfn.REGEXTEST(C192, "Process Directory Free Space.*Percentage"), "プロセスディレクトリの空き容量割合（%）", _xlfn.REGEXTEST(C192, "Parcel Directory Free Space.*Absolute"), "パーセルディレクトリの空き容量（絶対値）", _xlfn.REGEXTEST(C192, "Parcel Directory Free Space.*Percentage"), "パーセルディレクトリの空き容量割合（%）", _xlfn.REGEXTEST(C192, "Host Network Frame Error Percentage"), "ホストのネットワークフレームエラー割合（%）", _xlfn.REGEXTEST(C192, "Network Interfaces Slow Link Modes"), "ホストのネットワークインターフェースの低速リンクモード検出", _xlfn.REGEXTEST(C192, "Host Memory Swapping"), "ホストのメモリのスワップ発生状態", TRUE, "要手動確認")</f>
        <v>プロセスのファイルディスクリプタ使用率</v>
      </c>
      <c r="H192" s="479" t="s">
        <v>933</v>
      </c>
    </row>
    <row r="193" spans="1:8" ht="33.6">
      <c r="A193" s="514"/>
      <c r="B193" s="473"/>
      <c r="C193" s="471" t="s">
        <v>741</v>
      </c>
      <c r="D193" s="471" t="s">
        <v>742</v>
      </c>
      <c r="E193" s="471" t="s">
        <v>983</v>
      </c>
      <c r="F193" s="471"/>
      <c r="G193" s="471" t="str" cm="1">
        <f t="array" ref="G193">_xlfn.IFS(C193 = "", "", _xlfn.REGEXTEST(C193, "Service Metric Migrator Minimum Consecutive Successful Checks"), "サービスメトリック移行ツールの連続正常チェック最小回数", _xlfn.REGEXTEST(C193, "Rebalancing"), "リバランシング（データ再配置）状態", _xlfn.REGEXTEST(C193, "Temporary Dump Directory"), "一時ダンプディレクトリの監視", _xlfn.REGEXTEST(C193, "Safemode Extension"), "セーフモード延長状態", _xlfn.REGEXTEST(C193, "Client Idle"), "クライアントのアイドル（待機）状態", _xlfn.REGEXTEST(C193, "Available Space Policy Balanced"), "空き容量ポリシーの分散バランス状態", _xlfn.REGEXTEST(C193, "Filesystem Checkpoint Transaction"), "ファイルシステムのチェックポイントトランザクション", _xlfn.REGEXTEST(C193, "Blocks With Corrupt Replicas Monitoring"), "破損レプリカを持つブロックの監視", _xlfn.REGEXTEST(C193, "Missing Block Monitoring"), "消失（ミッシング）ブロックの監視", _xlfn.REGEXTEST(C193, "Under-replicated Block Monitoring"), "レプリカ数不足ブロックの監視", _xlfn.REGEXTEST(C193, "HDFS Free Space Monitoring"), "HDFSの空き容量監視", _xlfn.REGEXTEST(C193, "DataNode Monitoring"), "DataNodeの稼働状態監視", _xlfn.REGEXTEST(C193, "Rules to Extract Events from Log Files"), "ログファイルからのイベント抽出ルール設定", _xlfn.REGEXTEST(C193, "Free Space Monitoring$"), "空き容量監視（一般設定）", _xlfn.REGEXTEST(C193, "Transceivers Usage"), "トランシーバー使用量（データ転送スレッド数）", _xlfn.REGEXTEST(C193, "Volume Failures"), "ボリューム障害（ディスクエラー）数", _xlfn.REGEXTEST(C193, "Block Count"), "ブロック総数", _xlfn.REGEXTEST(C193, "Audit Failure"), "監査（オーディット）ログの失敗イベント", _xlfn.REGEXTEST(C193, "Web Metric Collection Duration"), "Webメトリック収集の所要時間", _xlfn.REGEXTEST(C193, "Pause Duration"), "一時停止（ポーズ）の所要時間", _xlfn.REGEXTEST(C193, "Fsync Latency"), "Fsync（ディスク同期）のレイテンシ", _xlfn.REGEXTEST(C193, "Free Space Monitoring Absolute"), "空き容量（絶対値）", _xlfn.REGEXTEST(C193, "Free Space Monitoring Percentage"), "空き容量割合（%）", _xlfn.REGEXTEST(C193, "Age Monitoring"), "経過時間の監視", _xlfn.REGEXTEST(C193, "Transactions Monitoring"), "トランザクション数の監視", _xlfn.REGEXTEST(C193, "RPC Latency"), "RPC（遠隔手続き呼出し）のレイテンシ", _xlfn.REGEXTEST(C193, "Directory Failures"), "ディレクトリ障害数", _xlfn.REGEXTEST(C193, "Out-Of-Sync JournalNodes"), "同期ズレが発生しているJournalNode数", _xlfn.REGEXTEST(C193, "Safemode Threshold Percentage"), "セーフモード解除閾値の割合（%）", _xlfn.REGEXTEST(C193, "Kerberos Ticket Renewer Monitoring"), "Kerberosチケット更新プロセスの稼働状態監視", _xlfn.REGEXTEST(C193, "Load Balancer Monitoring"), "ロードバランサーの稼働状態監視", _xlfn.REGEXTEST(C193, "Navigator Audit Failure"), "Cloudera Navigator監査ログの失敗イベント", _xlfn.REGEXTEST(C193, "Schema Registry Server Monitoring"), "Schema Registry Serverの稼働状態監視", _xlfn.REGEXTEST(C193, "SRM Service Monitoring"), "SRMサービスの稼働状態監視", _xlfn.REGEXTEST(C193, "SRM Driver Monitoring"), "SRMドライバーの稼働状態監視", _xlfn.REGEXTEST(C193, "Loggin"), "ログ出力状態・設定監視", _xlfn.REGEXTEST(C193, "Server Monitoring"), "サーバーの稼働状態監視", _xlfn.REGEXTEST(C193, "Server Connection Count"), "サーバーの接続数（コネクション数）", _xlfn.REGEXTEST(C193, "Server Outstanding Requests"), "サーバーの未処理リクエスト数（滞留要求数）", _xlfn.REGEXTEST(C193, "Repository Status"), "リポジトリのステータス状態", _xlfn.REGEXTEST(C193, "Monitor Long Running Task"), "長時間実行タスク（ジョブ）の監視", _xlfn.REGEXTEST(C193, "Token requests per second"), "1秒あたりのトークンリクエスト数（要求レート）", _xlfn.REGEXTEST(C193, "Connection Model Score"), "接続モデルスコア（コネクション品質）", _xlfn.REGEXTEST(C193, "Queue swap"), "キューのスワップ発生状態", _xlfn.REGEXTEST(C193, "NiFi Node Monitoring"), "NiFiノードの稼働状態監視", _xlfn.REGEXTEST(C193, "Host Clock Offset"), "ホストのクロックオフセット（時刻同期のズレ）", _xlfn.REGEXTEST(C193, "Memory Overcommit Validation"), "メモリオーバーコミット設定の検証", _xlfn.REGEXTEST(C193, "Gateway Logging"), "ゲートウェイのログ出力設定", _xlfn.REGEXTEST(C193, "CPU Balance"), "CPU使用率の分散バランス状態", _xlfn.REGEXTEST(C193, "Disk Balance"), "ディスク使用量の分散バランス状態", _xlfn.REGEXTEST(C193, "Network Inbound Balance"), "ネットワークインバウンド（受信）の分散バランス状態", _xlfn.REGEXTEST(C193, "Network Outbound Balance"), "ネットワークアウトバウンド（送信）の分散バランス状態", _xlfn.REGEXTEST(C193, "Replica Count Balance"), "レプリカ数の分散バランス状態", _xlfn.REGEXTEST(C193, "Disk Capacity"), "ディスク総容量の限界・使用容量", _xlfn.REGEXTEST(C193, "CPU Capacity"), "CPU総処理能力の限界・使用量", _xlfn.REGEXTEST(C193, "Network Inbound Capacity"), "ネットワークインバウンド（受信）帯域の限界・使用量", _xlfn.REGEXTEST(C193, "Network Outbound Capacity"), "ネットワークアウトバウンド（送信）帯域の限界・使用量", _xlfn.REGEXTEST(C193, "Leader Replica Count Balance"), "リーダーレプリカ数の分散バランス状態", _xlfn.REGEXTEST(C193, "Host DNS Resolution Duration"), "ホストのDNS名前解決の所要時間", _xlfn.REGEXTEST(C193, "TLS Certificate Expiry"), "TLS証明書の有効期限切れ", _xlfn.REGEXTEST(C193, "Host Entropy"), "ホストのエントロピー（乱数生成能力）の不足", _xlfn.REGEXTEST(C193, "File Descriptor"), "プロセスのファイルディスクリプタ使用率", _xlfn.REGEXTEST(C193, "Unexpected Exits"), "プロセスの異常終了（予期せぬ停止）", _xlfn.REGEXTEST(C193, "Swap Memory Thresholds"), "プロセスのスワップメモリ使用量", _xlfn.REGEXTEST(C193, "Swap Memory Usage Rate"), "スワップメモリ使用量の変化率（増加速度）", _xlfn.REGEXTEST(C193, "Log Directory Free Space.*Absolute"), "ログディレクトリの空き容量（絶対値）", _xlfn.REGEXTEST(C193, "Log Directory Free Space.*Percentage"), "ログディレクトリの空き容量割合（%）", _xlfn.REGEXTEST(C193, "Heap Dump Directory Free Space.*Absolute"), "ヒープダンプディレクトリの空き容量（絶対値）", _xlfn.REGEXTEST(C193, "Heap Dump Directory Free Space.*Percentage"), "ヒープダンプディレクトリの空き容量割合（%）", _xlfn.REGEXTEST(C193, "Data Directory Free Space.*Absolute"), "データディレクトリの空き容量（絶対値）", _xlfn.REGEXTEST(C193, "Data Directory Free Space.*Percentage"), "データディレクトリの空き容量割合（%）", _xlfn.REGEXTEST(C193, "Transaction Log Directory Free Space.*Absolute"), "トランザクションログディレクトリの空き容量（絶対値）", _xlfn.REGEXTEST(C193, "Logging Threshold|Logger Threshold"), "ログ出力レベルの閾値設定", _xlfn.REGEXTEST(C193, "Enable.*Alerts"), "ヘルスアラートの有効化状態", _xlfn.REGEXTEST(C193, "Triggers"), "カスタムアラート条件（トリガー設定）", _xlfn.REGEXTEST(C193, "Healthy Kafka Broker"), "Kafka Brokerの健全ノード割合（稼働率）", _xlfn.REGEXTEST(C193, "Healthy Kafka Connect"), "Kafka Connectの健全ノード割合（稼働率）", _xlfn.REGEXTEST(C193, "Healthy KRaft Controller"), "KRaft Controllerの健全ノード割合（稼働率）", _xlfn.REGEXTEST(C193, "Healthy Knox IDBroker"), "Knox IDBrokerの健全ノード割合（稼働率）", _xlfn.REGEXTEST(C193, "Healthy Knox Gateway"), "Knox Gatewayの健全ノード割合（稼働率）", _xlfn.REGEXTEST(C193, "Healthy ZooKeeper Server"), "ZooKeeper Serverの健全ノード割合（稼働率）", _xlfn.REGEXTEST(C193, "Healthy NodeManager"), "NodeManagerの健全ノード割合（稼働率）", _xlfn.REGEXTEST(C193, "Maximum Latency"), "リクエストの最大レイテンシ（処理遅延）", _xlfn.REGEXTEST(C193, "Garbage Collection Duration"), "Javaのガベージコレクション（GC）の所要時間", _xlfn.REGEXTEST(C193, "Spool Directory Usage"), "Rangerプラグインのスプールディレクトリ使用量", _xlfn.REGEXTEST(C193, "Process Directory Free Space Monitoring Absolute"), "プロセスディレクトリの空き容量（絶対値)", _xlfn.REGEXTEST(C193, "Process Directory Free Space.*Percentage"), "プロセスディレクトリの空き容量割合（%）", _xlfn.REGEXTEST(C193, "Parcel Directory Free Space.*Absolute"), "パーセルディレクトリの空き容量（絶対値）", _xlfn.REGEXTEST(C193, "Parcel Directory Free Space.*Percentage"), "パーセルディレクトリの空き容量割合（%）", _xlfn.REGEXTEST(C193, "Host Network Frame Error Percentage"), "ホストのネットワークフレームエラー割合（%）", _xlfn.REGEXTEST(C193, "Network Interfaces Slow Link Modes"), "ホストのネットワークインターフェースの低速リンクモード検出", _xlfn.REGEXTEST(C193, "Host Memory Swapping"), "ホストのメモリのスワップ発生状態", TRUE, "要手動確認")</f>
        <v>空き容量（絶対値）</v>
      </c>
      <c r="H193" s="479" t="s">
        <v>935</v>
      </c>
    </row>
    <row r="194" spans="1:8" ht="33.6">
      <c r="A194" s="514"/>
      <c r="B194" s="473"/>
      <c r="C194" s="471" t="s">
        <v>746</v>
      </c>
      <c r="D194" s="471" t="s">
        <v>747</v>
      </c>
      <c r="E194" s="471" t="s">
        <v>983</v>
      </c>
      <c r="F194" s="471"/>
      <c r="G194" s="471" t="str" cm="1">
        <f t="array" ref="G194">_xlfn.IFS(C194 = "", "", _xlfn.REGEXTEST(C194, "Service Metric Migrator Minimum Consecutive Successful Checks"), "サービスメトリック移行ツールの連続正常チェック最小回数", _xlfn.REGEXTEST(C194, "Rebalancing"), "リバランシング（データ再配置）状態", _xlfn.REGEXTEST(C194, "Temporary Dump Directory"), "一時ダンプディレクトリの監視", _xlfn.REGEXTEST(C194, "Safemode Extension"), "セーフモード延長状態", _xlfn.REGEXTEST(C194, "Client Idle"), "クライアントのアイドル（待機）状態", _xlfn.REGEXTEST(C194, "Available Space Policy Balanced"), "空き容量ポリシーの分散バランス状態", _xlfn.REGEXTEST(C194, "Filesystem Checkpoint Transaction"), "ファイルシステムのチェックポイントトランザクション", _xlfn.REGEXTEST(C194, "Blocks With Corrupt Replicas Monitoring"), "破損レプリカを持つブロックの監視", _xlfn.REGEXTEST(C194, "Missing Block Monitoring"), "消失（ミッシング）ブロックの監視", _xlfn.REGEXTEST(C194, "Under-replicated Block Monitoring"), "レプリカ数不足ブロックの監視", _xlfn.REGEXTEST(C194, "HDFS Free Space Monitoring"), "HDFSの空き容量監視", _xlfn.REGEXTEST(C194, "DataNode Monitoring"), "DataNodeの稼働状態監視", _xlfn.REGEXTEST(C194, "Rules to Extract Events from Log Files"), "ログファイルからのイベント抽出ルール設定", _xlfn.REGEXTEST(C194, "Free Space Monitoring$"), "空き容量監視（一般設定）", _xlfn.REGEXTEST(C194, "Transceivers Usage"), "トランシーバー使用量（データ転送スレッド数）", _xlfn.REGEXTEST(C194, "Volume Failures"), "ボリューム障害（ディスクエラー）数", _xlfn.REGEXTEST(C194, "Block Count"), "ブロック総数", _xlfn.REGEXTEST(C194, "Audit Failure"), "監査（オーディット）ログの失敗イベント", _xlfn.REGEXTEST(C194, "Web Metric Collection Duration"), "Webメトリック収集の所要時間", _xlfn.REGEXTEST(C194, "Pause Duration"), "一時停止（ポーズ）の所要時間", _xlfn.REGEXTEST(C194, "Fsync Latency"), "Fsync（ディスク同期）のレイテンシ", _xlfn.REGEXTEST(C194, "Free Space Monitoring Absolute"), "空き容量（絶対値）", _xlfn.REGEXTEST(C194, "Free Space Monitoring Percentage"), "空き容量割合（%）", _xlfn.REGEXTEST(C194, "Age Monitoring"), "経過時間の監視", _xlfn.REGEXTEST(C194, "Transactions Monitoring"), "トランザクション数の監視", _xlfn.REGEXTEST(C194, "RPC Latency"), "RPC（遠隔手続き呼出し）のレイテンシ", _xlfn.REGEXTEST(C194, "Directory Failures"), "ディレクトリ障害数", _xlfn.REGEXTEST(C194, "Out-Of-Sync JournalNodes"), "同期ズレが発生しているJournalNode数", _xlfn.REGEXTEST(C194, "Safemode Threshold Percentage"), "セーフモード解除閾値の割合（%）", _xlfn.REGEXTEST(C194, "Kerberos Ticket Renewer Monitoring"), "Kerberosチケット更新プロセスの稼働状態監視", _xlfn.REGEXTEST(C194, "Load Balancer Monitoring"), "ロードバランサーの稼働状態監視", _xlfn.REGEXTEST(C194, "Navigator Audit Failure"), "Cloudera Navigator監査ログの失敗イベント", _xlfn.REGEXTEST(C194, "Schema Registry Server Monitoring"), "Schema Registry Serverの稼働状態監視", _xlfn.REGEXTEST(C194, "SRM Service Monitoring"), "SRMサービスの稼働状態監視", _xlfn.REGEXTEST(C194, "SRM Driver Monitoring"), "SRMドライバーの稼働状態監視", _xlfn.REGEXTEST(C194, "Loggin"), "ログ出力状態・設定監視", _xlfn.REGEXTEST(C194, "Server Monitoring"), "サーバーの稼働状態監視", _xlfn.REGEXTEST(C194, "Server Connection Count"), "サーバーの接続数（コネクション数）", _xlfn.REGEXTEST(C194, "Server Outstanding Requests"), "サーバーの未処理リクエスト数（滞留要求数）", _xlfn.REGEXTEST(C194, "Repository Status"), "リポジトリのステータス状態", _xlfn.REGEXTEST(C194, "Monitor Long Running Task"), "長時間実行タスク（ジョブ）の監視", _xlfn.REGEXTEST(C194, "Token requests per second"), "1秒あたりのトークンリクエスト数（要求レート）", _xlfn.REGEXTEST(C194, "Connection Model Score"), "接続モデルスコア（コネクション品質）", _xlfn.REGEXTEST(C194, "Queue swap"), "キューのスワップ発生状態", _xlfn.REGEXTEST(C194, "NiFi Node Monitoring"), "NiFiノードの稼働状態監視", _xlfn.REGEXTEST(C194, "Host Clock Offset"), "ホストのクロックオフセット（時刻同期のズレ）", _xlfn.REGEXTEST(C194, "Memory Overcommit Validation"), "メモリオーバーコミット設定の検証", _xlfn.REGEXTEST(C194, "Gateway Logging"), "ゲートウェイのログ出力設定", _xlfn.REGEXTEST(C194, "CPU Balance"), "CPU使用率の分散バランス状態", _xlfn.REGEXTEST(C194, "Disk Balance"), "ディスク使用量の分散バランス状態", _xlfn.REGEXTEST(C194, "Network Inbound Balance"), "ネットワークインバウンド（受信）の分散バランス状態", _xlfn.REGEXTEST(C194, "Network Outbound Balance"), "ネットワークアウトバウンド（送信）の分散バランス状態", _xlfn.REGEXTEST(C194, "Replica Count Balance"), "レプリカ数の分散バランス状態", _xlfn.REGEXTEST(C194, "Disk Capacity"), "ディスク総容量の限界・使用容量", _xlfn.REGEXTEST(C194, "CPU Capacity"), "CPU総処理能力の限界・使用量", _xlfn.REGEXTEST(C194, "Network Inbound Capacity"), "ネットワークインバウンド（受信）帯域の限界・使用量", _xlfn.REGEXTEST(C194, "Network Outbound Capacity"), "ネットワークアウトバウンド（送信）帯域の限界・使用量", _xlfn.REGEXTEST(C194, "Leader Replica Count Balance"), "リーダーレプリカ数の分散バランス状態", _xlfn.REGEXTEST(C194, "Host DNS Resolution Duration"), "ホストのDNS名前解決の所要時間", _xlfn.REGEXTEST(C194, "TLS Certificate Expiry"), "TLS証明書の有効期限切れ", _xlfn.REGEXTEST(C194, "Host Entropy"), "ホストのエントロピー（乱数生成能力）の不足", _xlfn.REGEXTEST(C194, "File Descriptor"), "プロセスのファイルディスクリプタ使用率", _xlfn.REGEXTEST(C194, "Unexpected Exits"), "プロセスの異常終了（予期せぬ停止）", _xlfn.REGEXTEST(C194, "Swap Memory Thresholds"), "プロセスのスワップメモリ使用量", _xlfn.REGEXTEST(C194, "Swap Memory Usage Rate"), "スワップメモリ使用量の変化率（増加速度）", _xlfn.REGEXTEST(C194, "Log Directory Free Space.*Absolute"), "ログディレクトリの空き容量（絶対値）", _xlfn.REGEXTEST(C194, "Log Directory Free Space.*Percentage"), "ログディレクトリの空き容量割合（%）", _xlfn.REGEXTEST(C194, "Heap Dump Directory Free Space.*Absolute"), "ヒープダンプディレクトリの空き容量（絶対値）", _xlfn.REGEXTEST(C194, "Heap Dump Directory Free Space.*Percentage"), "ヒープダンプディレクトリの空き容量割合（%）", _xlfn.REGEXTEST(C194, "Data Directory Free Space.*Absolute"), "データディレクトリの空き容量（絶対値）", _xlfn.REGEXTEST(C194, "Data Directory Free Space.*Percentage"), "データディレクトリの空き容量割合（%）", _xlfn.REGEXTEST(C194, "Transaction Log Directory Free Space.*Absolute"), "トランザクションログディレクトリの空き容量（絶対値）", _xlfn.REGEXTEST(C194, "Logging Threshold|Logger Threshold"), "ログ出力レベルの閾値設定", _xlfn.REGEXTEST(C194, "Enable.*Alerts"), "ヘルスアラートの有効化状態", _xlfn.REGEXTEST(C194, "Triggers"), "カスタムアラート条件（トリガー設定）", _xlfn.REGEXTEST(C194, "Healthy Kafka Broker"), "Kafka Brokerの健全ノード割合（稼働率）", _xlfn.REGEXTEST(C194, "Healthy Kafka Connect"), "Kafka Connectの健全ノード割合（稼働率）", _xlfn.REGEXTEST(C194, "Healthy KRaft Controller"), "KRaft Controllerの健全ノード割合（稼働率）", _xlfn.REGEXTEST(C194, "Healthy Knox IDBroker"), "Knox IDBrokerの健全ノード割合（稼働率）", _xlfn.REGEXTEST(C194, "Healthy Knox Gateway"), "Knox Gatewayの健全ノード割合（稼働率）", _xlfn.REGEXTEST(C194, "Healthy ZooKeeper Server"), "ZooKeeper Serverの健全ノード割合（稼働率）", _xlfn.REGEXTEST(C194, "Healthy NodeManager"), "NodeManagerの健全ノード割合（稼働率）", _xlfn.REGEXTEST(C194, "Maximum Latency"), "リクエストの最大レイテンシ（処理遅延）", _xlfn.REGEXTEST(C194, "Garbage Collection Duration"), "Javaのガベージコレクション（GC）の所要時間", _xlfn.REGEXTEST(C194, "Spool Directory Usage"), "Rangerプラグインのスプールディレクトリ使用量", _xlfn.REGEXTEST(C194, "Process Directory Free Space Monitoring Absolute"), "プロセスディレクトリの空き容量（絶対値)", _xlfn.REGEXTEST(C194, "Process Directory Free Space.*Percentage"), "プロセスディレクトリの空き容量割合（%）", _xlfn.REGEXTEST(C194, "Parcel Directory Free Space.*Absolute"), "パーセルディレクトリの空き容量（絶対値）", _xlfn.REGEXTEST(C194, "Parcel Directory Free Space.*Percentage"), "パーセルディレクトリの空き容量割合（%）", _xlfn.REGEXTEST(C194, "Host Network Frame Error Percentage"), "ホストのネットワークフレームエラー割合（%）", _xlfn.REGEXTEST(C194, "Network Interfaces Slow Link Modes"), "ホストのネットワークインターフェースの低速リンクモード検出", _xlfn.REGEXTEST(C194, "Host Memory Swapping"), "ホストのメモリのスワップ発生状態", TRUE, "要手動確認")</f>
        <v>空き容量割合（%）</v>
      </c>
      <c r="H194" s="479" t="s">
        <v>683</v>
      </c>
    </row>
    <row r="195" spans="1:8" ht="33.6">
      <c r="A195" s="514"/>
      <c r="B195" s="473"/>
      <c r="C195" s="471" t="s">
        <v>749</v>
      </c>
      <c r="D195" s="471" t="s">
        <v>750</v>
      </c>
      <c r="E195" s="471" t="s">
        <v>983</v>
      </c>
      <c r="F195" s="471"/>
      <c r="G195" s="471" t="str" cm="1">
        <f t="array" ref="G195">_xlfn.IFS(C195 = "", "", _xlfn.REGEXTEST(C195, "Service Metric Migrator Minimum Consecutive Successful Checks"), "サービスメトリック移行ツールの連続正常チェック最小回数", _xlfn.REGEXTEST(C195, "Rebalancing"), "リバランシング（データ再配置）状態", _xlfn.REGEXTEST(C195, "Temporary Dump Directory"), "一時ダンプディレクトリの監視", _xlfn.REGEXTEST(C195, "Safemode Extension"), "セーフモード延長状態", _xlfn.REGEXTEST(C195, "Client Idle"), "クライアントのアイドル（待機）状態", _xlfn.REGEXTEST(C195, "Available Space Policy Balanced"), "空き容量ポリシーの分散バランス状態", _xlfn.REGEXTEST(C195, "Filesystem Checkpoint Transaction"), "ファイルシステムのチェックポイントトランザクション", _xlfn.REGEXTEST(C195, "Blocks With Corrupt Replicas Monitoring"), "破損レプリカを持つブロックの監視", _xlfn.REGEXTEST(C195, "Missing Block Monitoring"), "消失（ミッシング）ブロックの監視", _xlfn.REGEXTEST(C195, "Under-replicated Block Monitoring"), "レプリカ数不足ブロックの監視", _xlfn.REGEXTEST(C195, "HDFS Free Space Monitoring"), "HDFSの空き容量監視", _xlfn.REGEXTEST(C195, "DataNode Monitoring"), "DataNodeの稼働状態監視", _xlfn.REGEXTEST(C195, "Rules to Extract Events from Log Files"), "ログファイルからのイベント抽出ルール設定", _xlfn.REGEXTEST(C195, "Free Space Monitoring$"), "空き容量監視（一般設定）", _xlfn.REGEXTEST(C195, "Transceivers Usage"), "トランシーバー使用量（データ転送スレッド数）", _xlfn.REGEXTEST(C195, "Volume Failures"), "ボリューム障害（ディスクエラー）数", _xlfn.REGEXTEST(C195, "Block Count"), "ブロック総数", _xlfn.REGEXTEST(C195, "Audit Failure"), "監査（オーディット）ログの失敗イベント", _xlfn.REGEXTEST(C195, "Web Metric Collection Duration"), "Webメトリック収集の所要時間", _xlfn.REGEXTEST(C195, "Pause Duration"), "一時停止（ポーズ）の所要時間", _xlfn.REGEXTEST(C195, "Fsync Latency"), "Fsync（ディスク同期）のレイテンシ", _xlfn.REGEXTEST(C195, "Free Space Monitoring Absolute"), "空き容量（絶対値）", _xlfn.REGEXTEST(C195, "Free Space Monitoring Percentage"), "空き容量割合（%）", _xlfn.REGEXTEST(C195, "Age Monitoring"), "経過時間の監視", _xlfn.REGEXTEST(C195, "Transactions Monitoring"), "トランザクション数の監視", _xlfn.REGEXTEST(C195, "RPC Latency"), "RPC（遠隔手続き呼出し）のレイテンシ", _xlfn.REGEXTEST(C195, "Directory Failures"), "ディレクトリ障害数", _xlfn.REGEXTEST(C195, "Out-Of-Sync JournalNodes"), "同期ズレが発生しているJournalNode数", _xlfn.REGEXTEST(C195, "Safemode Threshold Percentage"), "セーフモード解除閾値の割合（%）", _xlfn.REGEXTEST(C195, "Kerberos Ticket Renewer Monitoring"), "Kerberosチケット更新プロセスの稼働状態監視", _xlfn.REGEXTEST(C195, "Load Balancer Monitoring"), "ロードバランサーの稼働状態監視", _xlfn.REGEXTEST(C195, "Navigator Audit Failure"), "Cloudera Navigator監査ログの失敗イベント", _xlfn.REGEXTEST(C195, "Schema Registry Server Monitoring"), "Schema Registry Serverの稼働状態監視", _xlfn.REGEXTEST(C195, "SRM Service Monitoring"), "SRMサービスの稼働状態監視", _xlfn.REGEXTEST(C195, "SRM Driver Monitoring"), "SRMドライバーの稼働状態監視", _xlfn.REGEXTEST(C195, "Loggin"), "ログ出力状態・設定監視", _xlfn.REGEXTEST(C195, "Server Monitoring"), "サーバーの稼働状態監視", _xlfn.REGEXTEST(C195, "Server Connection Count"), "サーバーの接続数（コネクション数）", _xlfn.REGEXTEST(C195, "Server Outstanding Requests"), "サーバーの未処理リクエスト数（滞留要求数）", _xlfn.REGEXTEST(C195, "Repository Status"), "リポジトリのステータス状態", _xlfn.REGEXTEST(C195, "Monitor Long Running Task"), "長時間実行タスク（ジョブ）の監視", _xlfn.REGEXTEST(C195, "Token requests per second"), "1秒あたりのトークンリクエスト数（要求レート）", _xlfn.REGEXTEST(C195, "Connection Model Score"), "接続モデルスコア（コネクション品質）", _xlfn.REGEXTEST(C195, "Queue swap"), "キューのスワップ発生状態", _xlfn.REGEXTEST(C195, "NiFi Node Monitoring"), "NiFiノードの稼働状態監視", _xlfn.REGEXTEST(C195, "Host Clock Offset"), "ホストのクロックオフセット（時刻同期のズレ）", _xlfn.REGEXTEST(C195, "Memory Overcommit Validation"), "メモリオーバーコミット設定の検証", _xlfn.REGEXTEST(C195, "Gateway Logging"), "ゲートウェイのログ出力設定", _xlfn.REGEXTEST(C195, "CPU Balance"), "CPU使用率の分散バランス状態", _xlfn.REGEXTEST(C195, "Disk Balance"), "ディスク使用量の分散バランス状態", _xlfn.REGEXTEST(C195, "Network Inbound Balance"), "ネットワークインバウンド（受信）の分散バランス状態", _xlfn.REGEXTEST(C195, "Network Outbound Balance"), "ネットワークアウトバウンド（送信）の分散バランス状態", _xlfn.REGEXTEST(C195, "Replica Count Balance"), "レプリカ数の分散バランス状態", _xlfn.REGEXTEST(C195, "Disk Capacity"), "ディスク総容量の限界・使用容量", _xlfn.REGEXTEST(C195, "CPU Capacity"), "CPU総処理能力の限界・使用量", _xlfn.REGEXTEST(C195, "Network Inbound Capacity"), "ネットワークインバウンド（受信）帯域の限界・使用量", _xlfn.REGEXTEST(C195, "Network Outbound Capacity"), "ネットワークアウトバウンド（送信）帯域の限界・使用量", _xlfn.REGEXTEST(C195, "Leader Replica Count Balance"), "リーダーレプリカ数の分散バランス状態", _xlfn.REGEXTEST(C195, "Host DNS Resolution Duration"), "ホストのDNS名前解決の所要時間", _xlfn.REGEXTEST(C195, "TLS Certificate Expiry"), "TLS証明書の有効期限切れ", _xlfn.REGEXTEST(C195, "Host Entropy"), "ホストのエントロピー（乱数生成能力）の不足", _xlfn.REGEXTEST(C195, "File Descriptor"), "プロセスのファイルディスクリプタ使用率", _xlfn.REGEXTEST(C195, "Unexpected Exits"), "プロセスの異常終了（予期せぬ停止）", _xlfn.REGEXTEST(C195, "Swap Memory Thresholds"), "プロセスのスワップメモリ使用量", _xlfn.REGEXTEST(C195, "Swap Memory Usage Rate"), "スワップメモリ使用量の変化率（増加速度）", _xlfn.REGEXTEST(C195, "Log Directory Free Space.*Absolute"), "ログディレクトリの空き容量（絶対値）", _xlfn.REGEXTEST(C195, "Log Directory Free Space.*Percentage"), "ログディレクトリの空き容量割合（%）", _xlfn.REGEXTEST(C195, "Heap Dump Directory Free Space.*Absolute"), "ヒープダンプディレクトリの空き容量（絶対値）", _xlfn.REGEXTEST(C195, "Heap Dump Directory Free Space.*Percentage"), "ヒープダンプディレクトリの空き容量割合（%）", _xlfn.REGEXTEST(C195, "Data Directory Free Space.*Absolute"), "データディレクトリの空き容量（絶対値）", _xlfn.REGEXTEST(C195, "Data Directory Free Space.*Percentage"), "データディレクトリの空き容量割合（%）", _xlfn.REGEXTEST(C195, "Transaction Log Directory Free Space.*Absolute"), "トランザクションログディレクトリの空き容量（絶対値）", _xlfn.REGEXTEST(C195, "Logging Threshold|Logger Threshold"), "ログ出力レベルの閾値設定", _xlfn.REGEXTEST(C195, "Enable.*Alerts"), "ヘルスアラートの有効化状態", _xlfn.REGEXTEST(C195, "Triggers"), "カスタムアラート条件（トリガー設定）", _xlfn.REGEXTEST(C195, "Healthy Kafka Broker"), "Kafka Brokerの健全ノード割合（稼働率）", _xlfn.REGEXTEST(C195, "Healthy Kafka Connect"), "Kafka Connectの健全ノード割合（稼働率）", _xlfn.REGEXTEST(C195, "Healthy KRaft Controller"), "KRaft Controllerの健全ノード割合（稼働率）", _xlfn.REGEXTEST(C195, "Healthy Knox IDBroker"), "Knox IDBrokerの健全ノード割合（稼働率）", _xlfn.REGEXTEST(C195, "Healthy Knox Gateway"), "Knox Gatewayの健全ノード割合（稼働率）", _xlfn.REGEXTEST(C195, "Healthy ZooKeeper Server"), "ZooKeeper Serverの健全ノード割合（稼働率）", _xlfn.REGEXTEST(C195, "Healthy NodeManager"), "NodeManagerの健全ノード割合（稼働率）", _xlfn.REGEXTEST(C195, "Maximum Latency"), "リクエストの最大レイテンシ（処理遅延）", _xlfn.REGEXTEST(C195, "Garbage Collection Duration"), "Javaのガベージコレクション（GC）の所要時間", _xlfn.REGEXTEST(C195, "Spool Directory Usage"), "Rangerプラグインのスプールディレクトリ使用量", _xlfn.REGEXTEST(C195, "Process Directory Free Space Monitoring Absolute"), "プロセスディレクトリの空き容量（絶対値)", _xlfn.REGEXTEST(C195, "Process Directory Free Space.*Percentage"), "プロセスディレクトリの空き容量割合（%）", _xlfn.REGEXTEST(C195, "Parcel Directory Free Space.*Absolute"), "パーセルディレクトリの空き容量（絶対値）", _xlfn.REGEXTEST(C195, "Parcel Directory Free Space.*Percentage"), "パーセルディレクトリの空き容量割合（%）", _xlfn.REGEXTEST(C195, "Host Network Frame Error Percentage"), "ホストのネットワークフレームエラー割合（%）", _xlfn.REGEXTEST(C195, "Network Interfaces Slow Link Modes"), "ホストのネットワークインターフェースの低速リンクモード検出", _xlfn.REGEXTEST(C195, "Host Memory Swapping"), "ホストのメモリのスワップ発生状態", TRUE, "要手動確認")</f>
        <v>プロセスの異常終了（予期せぬ停止）</v>
      </c>
      <c r="H195" s="479" t="s">
        <v>751</v>
      </c>
    </row>
    <row r="196" spans="1:8" ht="16.899999999999999">
      <c r="A196" s="514"/>
      <c r="B196" s="473"/>
      <c r="C196" s="471" t="s">
        <v>752</v>
      </c>
      <c r="D196" s="471" t="s">
        <v>753</v>
      </c>
      <c r="E196" s="471" t="s">
        <v>983</v>
      </c>
      <c r="F196" s="471"/>
      <c r="G196" s="471" t="str" cm="1">
        <f t="array" ref="G196">_xlfn.IFS(C196 = "", "", _xlfn.REGEXTEST(C196, "Service Metric Migrator Minimum Consecutive Successful Checks"), "サービスメトリック移行ツールの連続正常チェック最小回数", _xlfn.REGEXTEST(C196, "Rebalancing"), "リバランシング（データ再配置）状態", _xlfn.REGEXTEST(C196, "Temporary Dump Directory"), "一時ダンプディレクトリの監視", _xlfn.REGEXTEST(C196, "Safemode Extension"), "セーフモード延長状態", _xlfn.REGEXTEST(C196, "Client Idle"), "クライアントのアイドル（待機）状態", _xlfn.REGEXTEST(C196, "Available Space Policy Balanced"), "空き容量ポリシーの分散バランス状態", _xlfn.REGEXTEST(C196, "Filesystem Checkpoint Transaction"), "ファイルシステムのチェックポイントトランザクション", _xlfn.REGEXTEST(C196, "Blocks With Corrupt Replicas Monitoring"), "破損レプリカを持つブロックの監視", _xlfn.REGEXTEST(C196, "Missing Block Monitoring"), "消失（ミッシング）ブロックの監視", _xlfn.REGEXTEST(C196, "Under-replicated Block Monitoring"), "レプリカ数不足ブロックの監視", _xlfn.REGEXTEST(C196, "HDFS Free Space Monitoring"), "HDFSの空き容量監視", _xlfn.REGEXTEST(C196, "DataNode Monitoring"), "DataNodeの稼働状態監視", _xlfn.REGEXTEST(C196, "Rules to Extract Events from Log Files"), "ログファイルからのイベント抽出ルール設定", _xlfn.REGEXTEST(C196, "Free Space Monitoring$"), "空き容量監視（一般設定）", _xlfn.REGEXTEST(C196, "Transceivers Usage"), "トランシーバー使用量（データ転送スレッド数）", _xlfn.REGEXTEST(C196, "Volume Failures"), "ボリューム障害（ディスクエラー）数", _xlfn.REGEXTEST(C196, "Block Count"), "ブロック総数", _xlfn.REGEXTEST(C196, "Audit Failure"), "監査（オーディット）ログの失敗イベント", _xlfn.REGEXTEST(C196, "Web Metric Collection Duration"), "Webメトリック収集の所要時間", _xlfn.REGEXTEST(C196, "Pause Duration"), "一時停止（ポーズ）の所要時間", _xlfn.REGEXTEST(C196, "Fsync Latency"), "Fsync（ディスク同期）のレイテンシ", _xlfn.REGEXTEST(C196, "Free Space Monitoring Absolute"), "空き容量（絶対値）", _xlfn.REGEXTEST(C196, "Free Space Monitoring Percentage"), "空き容量割合（%）", _xlfn.REGEXTEST(C196, "Age Monitoring"), "経過時間の監視", _xlfn.REGEXTEST(C196, "Transactions Monitoring"), "トランザクション数の監視", _xlfn.REGEXTEST(C196, "RPC Latency"), "RPC（遠隔手続き呼出し）のレイテンシ", _xlfn.REGEXTEST(C196, "Directory Failures"), "ディレクトリ障害数", _xlfn.REGEXTEST(C196, "Out-Of-Sync JournalNodes"), "同期ズレが発生しているJournalNode数", _xlfn.REGEXTEST(C196, "Safemode Threshold Percentage"), "セーフモード解除閾値の割合（%）", _xlfn.REGEXTEST(C196, "Kerberos Ticket Renewer Monitoring"), "Kerberosチケット更新プロセスの稼働状態監視", _xlfn.REGEXTEST(C196, "Load Balancer Monitoring"), "ロードバランサーの稼働状態監視", _xlfn.REGEXTEST(C196, "Navigator Audit Failure"), "Cloudera Navigator監査ログの失敗イベント", _xlfn.REGEXTEST(C196, "Schema Registry Server Monitoring"), "Schema Registry Serverの稼働状態監視", _xlfn.REGEXTEST(C196, "SRM Service Monitoring"), "SRMサービスの稼働状態監視", _xlfn.REGEXTEST(C196, "SRM Driver Monitoring"), "SRMドライバーの稼働状態監視", _xlfn.REGEXTEST(C196, "Loggin"), "ログ出力状態・設定監視", _xlfn.REGEXTEST(C196, "Server Monitoring"), "サーバーの稼働状態監視", _xlfn.REGEXTEST(C196, "Server Connection Count"), "サーバーの接続数（コネクション数）", _xlfn.REGEXTEST(C196, "Server Outstanding Requests"), "サーバーの未処理リクエスト数（滞留要求数）", _xlfn.REGEXTEST(C196, "Repository Status"), "リポジトリのステータス状態", _xlfn.REGEXTEST(C196, "Monitor Long Running Task"), "長時間実行タスク（ジョブ）の監視", _xlfn.REGEXTEST(C196, "Token requests per second"), "1秒あたりのトークンリクエスト数（要求レート）", _xlfn.REGEXTEST(C196, "Connection Model Score"), "接続モデルスコア（コネクション品質）", _xlfn.REGEXTEST(C196, "Queue swap"), "キューのスワップ発生状態", _xlfn.REGEXTEST(C196, "NiFi Node Monitoring"), "NiFiノードの稼働状態監視", _xlfn.REGEXTEST(C196, "Host Clock Offset"), "ホストのクロックオフセット（時刻同期のズレ）", _xlfn.REGEXTEST(C196, "Memory Overcommit Validation"), "メモリオーバーコミット設定の検証", _xlfn.REGEXTEST(C196, "Gateway Logging"), "ゲートウェイのログ出力設定", _xlfn.REGEXTEST(C196, "CPU Balance"), "CPU使用率の分散バランス状態", _xlfn.REGEXTEST(C196, "Disk Balance"), "ディスク使用量の分散バランス状態", _xlfn.REGEXTEST(C196, "Network Inbound Balance"), "ネットワークインバウンド（受信）の分散バランス状態", _xlfn.REGEXTEST(C196, "Network Outbound Balance"), "ネットワークアウトバウンド（送信）の分散バランス状態", _xlfn.REGEXTEST(C196, "Replica Count Balance"), "レプリカ数の分散バランス状態", _xlfn.REGEXTEST(C196, "Disk Capacity"), "ディスク総容量の限界・使用容量", _xlfn.REGEXTEST(C196, "CPU Capacity"), "CPU総処理能力の限界・使用量", _xlfn.REGEXTEST(C196, "Network Inbound Capacity"), "ネットワークインバウンド（受信）帯域の限界・使用量", _xlfn.REGEXTEST(C196, "Network Outbound Capacity"), "ネットワークアウトバウンド（送信）帯域の限界・使用量", _xlfn.REGEXTEST(C196, "Leader Replica Count Balance"), "リーダーレプリカ数の分散バランス状態", _xlfn.REGEXTEST(C196, "Host DNS Resolution Duration"), "ホストのDNS名前解決の所要時間", _xlfn.REGEXTEST(C196, "TLS Certificate Expiry"), "TLS証明書の有効期限切れ", _xlfn.REGEXTEST(C196, "Host Entropy"), "ホストのエントロピー（乱数生成能力）の不足", _xlfn.REGEXTEST(C196, "File Descriptor"), "プロセスのファイルディスクリプタ使用率", _xlfn.REGEXTEST(C196, "Unexpected Exits"), "プロセスの異常終了（予期せぬ停止）", _xlfn.REGEXTEST(C196, "Swap Memory Thresholds"), "プロセスのスワップメモリ使用量", _xlfn.REGEXTEST(C196, "Swap Memory Usage Rate"), "スワップメモリ使用量の変化率（増加速度）", _xlfn.REGEXTEST(C196, "Log Directory Free Space.*Absolute"), "ログディレクトリの空き容量（絶対値）", _xlfn.REGEXTEST(C196, "Log Directory Free Space.*Percentage"), "ログディレクトリの空き容量割合（%）", _xlfn.REGEXTEST(C196, "Heap Dump Directory Free Space.*Absolute"), "ヒープダンプディレクトリの空き容量（絶対値）", _xlfn.REGEXTEST(C196, "Heap Dump Directory Free Space.*Percentage"), "ヒープダンプディレクトリの空き容量割合（%）", _xlfn.REGEXTEST(C196, "Data Directory Free Space.*Absolute"), "データディレクトリの空き容量（絶対値）", _xlfn.REGEXTEST(C196, "Data Directory Free Space.*Percentage"), "データディレクトリの空き容量割合（%）", _xlfn.REGEXTEST(C196, "Transaction Log Directory Free Space.*Absolute"), "トランザクションログディレクトリの空き容量（絶対値）", _xlfn.REGEXTEST(C196, "Logging Threshold|Logger Threshold"), "ログ出力レベルの閾値設定", _xlfn.REGEXTEST(C196, "Enable.*Alerts"), "ヘルスアラートの有効化状態", _xlfn.REGEXTEST(C196, "Triggers"), "カスタムアラート条件（トリガー設定）", _xlfn.REGEXTEST(C196, "Healthy Kafka Broker"), "Kafka Brokerの健全ノード割合（稼働率）", _xlfn.REGEXTEST(C196, "Healthy Kafka Connect"), "Kafka Connectの健全ノード割合（稼働率）", _xlfn.REGEXTEST(C196, "Healthy KRaft Controller"), "KRaft Controllerの健全ノード割合（稼働率）", _xlfn.REGEXTEST(C196, "Healthy Knox IDBroker"), "Knox IDBrokerの健全ノード割合（稼働率）", _xlfn.REGEXTEST(C196, "Healthy Knox Gateway"), "Knox Gatewayの健全ノード割合（稼働率）", _xlfn.REGEXTEST(C196, "Healthy ZooKeeper Server"), "ZooKeeper Serverの健全ノード割合（稼働率）", _xlfn.REGEXTEST(C196, "Healthy NodeManager"), "NodeManagerの健全ノード割合（稼働率）", _xlfn.REGEXTEST(C196, "Maximum Latency"), "リクエストの最大レイテンシ（処理遅延）", _xlfn.REGEXTEST(C196, "Garbage Collection Duration"), "Javaのガベージコレクション（GC）の所要時間", _xlfn.REGEXTEST(C196, "Spool Directory Usage"), "Rangerプラグインのスプールディレクトリ使用量", _xlfn.REGEXTEST(C196, "Process Directory Free Space Monitoring Absolute"), "プロセスディレクトリの空き容量（絶対値)", _xlfn.REGEXTEST(C196, "Process Directory Free Space.*Percentage"), "プロセスディレクトリの空き容量割合（%）", _xlfn.REGEXTEST(C196, "Parcel Directory Free Space.*Absolute"), "パーセルディレクトリの空き容量（絶対値）", _xlfn.REGEXTEST(C196, "Parcel Directory Free Space.*Percentage"), "パーセルディレクトリの空き容量割合（%）", _xlfn.REGEXTEST(C196, "Host Network Frame Error Percentage"), "ホストのネットワークフレームエラー割合（%）", _xlfn.REGEXTEST(C196, "Network Interfaces Slow Link Modes"), "ホストのネットワークインターフェースの低速リンクモード検出", _xlfn.REGEXTEST(C196, "Host Memory Swapping"), "ホストのメモリのスワップ発生状態", TRUE, "要手動確認")</f>
        <v>カスタムアラート条件（トリガー設定）</v>
      </c>
      <c r="H196" s="479" t="s">
        <v>754</v>
      </c>
    </row>
    <row r="197" spans="1:8" ht="33.6">
      <c r="A197" s="514"/>
      <c r="B197" s="473"/>
      <c r="C197" s="471" t="s">
        <v>755</v>
      </c>
      <c r="D197" s="471" t="s">
        <v>756</v>
      </c>
      <c r="E197" s="471" t="s">
        <v>983</v>
      </c>
      <c r="F197" s="471"/>
      <c r="G197" s="471" t="str" cm="1">
        <f t="array" ref="G197">_xlfn.IFS(C197 = "", "", _xlfn.REGEXTEST(C197, "Service Metric Migrator Minimum Consecutive Successful Checks"), "サービスメトリック移行ツールの連続正常チェック最小回数", _xlfn.REGEXTEST(C197, "Rebalancing"), "リバランシング（データ再配置）状態", _xlfn.REGEXTEST(C197, "Temporary Dump Directory"), "一時ダンプディレクトリの監視", _xlfn.REGEXTEST(C197, "Safemode Extension"), "セーフモード延長状態", _xlfn.REGEXTEST(C197, "Client Idle"), "クライアントのアイドル（待機）状態", _xlfn.REGEXTEST(C197, "Available Space Policy Balanced"), "空き容量ポリシーの分散バランス状態", _xlfn.REGEXTEST(C197, "Filesystem Checkpoint Transaction"), "ファイルシステムのチェックポイントトランザクション", _xlfn.REGEXTEST(C197, "Blocks With Corrupt Replicas Monitoring"), "破損レプリカを持つブロックの監視", _xlfn.REGEXTEST(C197, "Missing Block Monitoring"), "消失（ミッシング）ブロックの監視", _xlfn.REGEXTEST(C197, "Under-replicated Block Monitoring"), "レプリカ数不足ブロックの監視", _xlfn.REGEXTEST(C197, "HDFS Free Space Monitoring"), "HDFSの空き容量監視", _xlfn.REGEXTEST(C197, "DataNode Monitoring"), "DataNodeの稼働状態監視", _xlfn.REGEXTEST(C197, "Rules to Extract Events from Log Files"), "ログファイルからのイベント抽出ルール設定", _xlfn.REGEXTEST(C197, "Free Space Monitoring$"), "空き容量監視（一般設定）", _xlfn.REGEXTEST(C197, "Transceivers Usage"), "トランシーバー使用量（データ転送スレッド数）", _xlfn.REGEXTEST(C197, "Volume Failures"), "ボリューム障害（ディスクエラー）数", _xlfn.REGEXTEST(C197, "Block Count"), "ブロック総数", _xlfn.REGEXTEST(C197, "Audit Failure"), "監査（オーディット）ログの失敗イベント", _xlfn.REGEXTEST(C197, "Web Metric Collection Duration"), "Webメトリック収集の所要時間", _xlfn.REGEXTEST(C197, "Pause Duration"), "一時停止（ポーズ）の所要時間", _xlfn.REGEXTEST(C197, "Fsync Latency"), "Fsync（ディスク同期）のレイテンシ", _xlfn.REGEXTEST(C197, "Free Space Monitoring Absolute"), "空き容量（絶対値）", _xlfn.REGEXTEST(C197, "Free Space Monitoring Percentage"), "空き容量割合（%）", _xlfn.REGEXTEST(C197, "Age Monitoring"), "経過時間の監視", _xlfn.REGEXTEST(C197, "Transactions Monitoring"), "トランザクション数の監視", _xlfn.REGEXTEST(C197, "RPC Latency"), "RPC（遠隔手続き呼出し）のレイテンシ", _xlfn.REGEXTEST(C197, "Directory Failures"), "ディレクトリ障害数", _xlfn.REGEXTEST(C197, "Out-Of-Sync JournalNodes"), "同期ズレが発生しているJournalNode数", _xlfn.REGEXTEST(C197, "Safemode Threshold Percentage"), "セーフモード解除閾値の割合（%）", _xlfn.REGEXTEST(C197, "Kerberos Ticket Renewer Monitoring"), "Kerberosチケット更新プロセスの稼働状態監視", _xlfn.REGEXTEST(C197, "Load Balancer Monitoring"), "ロードバランサーの稼働状態監視", _xlfn.REGEXTEST(C197, "Navigator Audit Failure"), "Cloudera Navigator監査ログの失敗イベント", _xlfn.REGEXTEST(C197, "Schema Registry Server Monitoring"), "Schema Registry Serverの稼働状態監視", _xlfn.REGEXTEST(C197, "SRM Service Monitoring"), "SRMサービスの稼働状態監視", _xlfn.REGEXTEST(C197, "SRM Driver Monitoring"), "SRMドライバーの稼働状態監視", _xlfn.REGEXTEST(C197, "Loggin"), "ログ出力状態・設定監視", _xlfn.REGEXTEST(C197, "Server Monitoring"), "サーバーの稼働状態監視", _xlfn.REGEXTEST(C197, "Server Connection Count"), "サーバーの接続数（コネクション数）", _xlfn.REGEXTEST(C197, "Server Outstanding Requests"), "サーバーの未処理リクエスト数（滞留要求数）", _xlfn.REGEXTEST(C197, "Repository Status"), "リポジトリのステータス状態", _xlfn.REGEXTEST(C197, "Monitor Long Running Task"), "長時間実行タスク（ジョブ）の監視", _xlfn.REGEXTEST(C197, "Token requests per second"), "1秒あたりのトークンリクエスト数（要求レート）", _xlfn.REGEXTEST(C197, "Connection Model Score"), "接続モデルスコア（コネクション品質）", _xlfn.REGEXTEST(C197, "Queue swap"), "キューのスワップ発生状態", _xlfn.REGEXTEST(C197, "NiFi Node Monitoring"), "NiFiノードの稼働状態監視", _xlfn.REGEXTEST(C197, "Host Clock Offset"), "ホストのクロックオフセット（時刻同期のズレ）", _xlfn.REGEXTEST(C197, "Memory Overcommit Validation"), "メモリオーバーコミット設定の検証", _xlfn.REGEXTEST(C197, "Gateway Logging"), "ゲートウェイのログ出力設定", _xlfn.REGEXTEST(C197, "CPU Balance"), "CPU使用率の分散バランス状態", _xlfn.REGEXTEST(C197, "Disk Balance"), "ディスク使用量の分散バランス状態", _xlfn.REGEXTEST(C197, "Network Inbound Balance"), "ネットワークインバウンド（受信）の分散バランス状態", _xlfn.REGEXTEST(C197, "Network Outbound Balance"), "ネットワークアウトバウンド（送信）の分散バランス状態", _xlfn.REGEXTEST(C197, "Replica Count Balance"), "レプリカ数の分散バランス状態", _xlfn.REGEXTEST(C197, "Disk Capacity"), "ディスク総容量の限界・使用容量", _xlfn.REGEXTEST(C197, "CPU Capacity"), "CPU総処理能力の限界・使用量", _xlfn.REGEXTEST(C197, "Network Inbound Capacity"), "ネットワークインバウンド（受信）帯域の限界・使用量", _xlfn.REGEXTEST(C197, "Network Outbound Capacity"), "ネットワークアウトバウンド（送信）帯域の限界・使用量", _xlfn.REGEXTEST(C197, "Leader Replica Count Balance"), "リーダーレプリカ数の分散バランス状態", _xlfn.REGEXTEST(C197, "Host DNS Resolution Duration"), "ホストのDNS名前解決の所要時間", _xlfn.REGEXTEST(C197, "TLS Certificate Expiry"), "TLS証明書の有効期限切れ", _xlfn.REGEXTEST(C197, "Host Entropy"), "ホストのエントロピー（乱数生成能力）の不足", _xlfn.REGEXTEST(C197, "File Descriptor"), "プロセスのファイルディスクリプタ使用率", _xlfn.REGEXTEST(C197, "Unexpected Exits"), "プロセスの異常終了（予期せぬ停止）", _xlfn.REGEXTEST(C197, "Swap Memory Thresholds"), "プロセスのスワップメモリ使用量", _xlfn.REGEXTEST(C197, "Swap Memory Usage Rate"), "スワップメモリ使用量の変化率（増加速度）", _xlfn.REGEXTEST(C197, "Log Directory Free Space.*Absolute"), "ログディレクトリの空き容量（絶対値）", _xlfn.REGEXTEST(C197, "Log Directory Free Space.*Percentage"), "ログディレクトリの空き容量割合（%）", _xlfn.REGEXTEST(C197, "Heap Dump Directory Free Space.*Absolute"), "ヒープダンプディレクトリの空き容量（絶対値）", _xlfn.REGEXTEST(C197, "Heap Dump Directory Free Space.*Percentage"), "ヒープダンプディレクトリの空き容量割合（%）", _xlfn.REGEXTEST(C197, "Data Directory Free Space.*Absolute"), "データディレクトリの空き容量（絶対値）", _xlfn.REGEXTEST(C197, "Data Directory Free Space.*Percentage"), "データディレクトリの空き容量割合（%）", _xlfn.REGEXTEST(C197, "Transaction Log Directory Free Space.*Absolute"), "トランザクションログディレクトリの空き容量（絶対値）", _xlfn.REGEXTEST(C197, "Logging Threshold|Logger Threshold"), "ログ出力レベルの閾値設定", _xlfn.REGEXTEST(C197, "Enable.*Alerts"), "ヘルスアラートの有効化状態", _xlfn.REGEXTEST(C197, "Triggers"), "カスタムアラート条件（トリガー設定）", _xlfn.REGEXTEST(C197, "Healthy Kafka Broker"), "Kafka Brokerの健全ノード割合（稼働率）", _xlfn.REGEXTEST(C197, "Healthy Kafka Connect"), "Kafka Connectの健全ノード割合（稼働率）", _xlfn.REGEXTEST(C197, "Healthy KRaft Controller"), "KRaft Controllerの健全ノード割合（稼働率）", _xlfn.REGEXTEST(C197, "Healthy Knox IDBroker"), "Knox IDBrokerの健全ノード割合（稼働率）", _xlfn.REGEXTEST(C197, "Healthy Knox Gateway"), "Knox Gatewayの健全ノード割合（稼働率）", _xlfn.REGEXTEST(C197, "Healthy ZooKeeper Server"), "ZooKeeper Serverの健全ノード割合（稼働率）", _xlfn.REGEXTEST(C197, "Healthy NodeManager"), "NodeManagerの健全ノード割合（稼働率）", _xlfn.REGEXTEST(C197, "Maximum Latency"), "リクエストの最大レイテンシ（処理遅延）", _xlfn.REGEXTEST(C197, "Garbage Collection Duration"), "Javaのガベージコレクション（GC）の所要時間", _xlfn.REGEXTEST(C197, "Spool Directory Usage"), "Rangerプラグインのスプールディレクトリ使用量", _xlfn.REGEXTEST(C197, "Process Directory Free Space Monitoring Absolute"), "プロセスディレクトリの空き容量（絶対値)", _xlfn.REGEXTEST(C197, "Process Directory Free Space.*Percentage"), "プロセスディレクトリの空き容量割合（%）", _xlfn.REGEXTEST(C197, "Parcel Directory Free Space.*Absolute"), "パーセルディレクトリの空き容量（絶対値）", _xlfn.REGEXTEST(C197, "Parcel Directory Free Space.*Percentage"), "パーセルディレクトリの空き容量割合（%）", _xlfn.REGEXTEST(C197, "Host Network Frame Error Percentage"), "ホストのネットワークフレームエラー割合（%）", _xlfn.REGEXTEST(C197, "Network Interfaces Slow Link Modes"), "ホストのネットワークインターフェースの低速リンクモード検出", _xlfn.REGEXTEST(C197, "Host Memory Swapping"), "ホストのメモリのスワップ発生状態", TRUE, "要手動確認")</f>
        <v>プロセスのスワップメモリ使用量</v>
      </c>
      <c r="H197" s="479" t="s">
        <v>1009</v>
      </c>
    </row>
    <row r="198" spans="1:8" ht="33.6">
      <c r="A198" s="514"/>
      <c r="B198" s="470"/>
      <c r="C198" s="471" t="s">
        <v>758</v>
      </c>
      <c r="D198" s="471" t="s">
        <v>759</v>
      </c>
      <c r="E198" s="471" t="s">
        <v>983</v>
      </c>
      <c r="F198" s="471"/>
      <c r="G198" s="471" t="str" cm="1">
        <f t="array" ref="G198">_xlfn.IFS(C198 = "", "", _xlfn.REGEXTEST(C198, "Service Metric Migrator Minimum Consecutive Successful Checks"), "サービスメトリック移行ツールの連続正常チェック最小回数", _xlfn.REGEXTEST(C198, "Rebalancing"), "リバランシング（データ再配置）状態", _xlfn.REGEXTEST(C198, "Temporary Dump Directory"), "一時ダンプディレクトリの監視", _xlfn.REGEXTEST(C198, "Safemode Extension"), "セーフモード延長状態", _xlfn.REGEXTEST(C198, "Client Idle"), "クライアントのアイドル（待機）状態", _xlfn.REGEXTEST(C198, "Available Space Policy Balanced"), "空き容量ポリシーの分散バランス状態", _xlfn.REGEXTEST(C198, "Filesystem Checkpoint Transaction"), "ファイルシステムのチェックポイントトランザクション", _xlfn.REGEXTEST(C198, "Blocks With Corrupt Replicas Monitoring"), "破損レプリカを持つブロックの監視", _xlfn.REGEXTEST(C198, "Missing Block Monitoring"), "消失（ミッシング）ブロックの監視", _xlfn.REGEXTEST(C198, "Under-replicated Block Monitoring"), "レプリカ数不足ブロックの監視", _xlfn.REGEXTEST(C198, "HDFS Free Space Monitoring"), "HDFSの空き容量監視", _xlfn.REGEXTEST(C198, "DataNode Monitoring"), "DataNodeの稼働状態監視", _xlfn.REGEXTEST(C198, "Rules to Extract Events from Log Files"), "ログファイルからのイベント抽出ルール設定", _xlfn.REGEXTEST(C198, "Free Space Monitoring$"), "空き容量監視（一般設定）", _xlfn.REGEXTEST(C198, "Transceivers Usage"), "トランシーバー使用量（データ転送スレッド数）", _xlfn.REGEXTEST(C198, "Volume Failures"), "ボリューム障害（ディスクエラー）数", _xlfn.REGEXTEST(C198, "Block Count"), "ブロック総数", _xlfn.REGEXTEST(C198, "Audit Failure"), "監査（オーディット）ログの失敗イベント", _xlfn.REGEXTEST(C198, "Web Metric Collection Duration"), "Webメトリック収集の所要時間", _xlfn.REGEXTEST(C198, "Pause Duration"), "一時停止（ポーズ）の所要時間", _xlfn.REGEXTEST(C198, "Fsync Latency"), "Fsync（ディスク同期）のレイテンシ", _xlfn.REGEXTEST(C198, "Free Space Monitoring Absolute"), "空き容量（絶対値）", _xlfn.REGEXTEST(C198, "Free Space Monitoring Percentage"), "空き容量割合（%）", _xlfn.REGEXTEST(C198, "Age Monitoring"), "経過時間の監視", _xlfn.REGEXTEST(C198, "Transactions Monitoring"), "トランザクション数の監視", _xlfn.REGEXTEST(C198, "RPC Latency"), "RPC（遠隔手続き呼出し）のレイテンシ", _xlfn.REGEXTEST(C198, "Directory Failures"), "ディレクトリ障害数", _xlfn.REGEXTEST(C198, "Out-Of-Sync JournalNodes"), "同期ズレが発生しているJournalNode数", _xlfn.REGEXTEST(C198, "Safemode Threshold Percentage"), "セーフモード解除閾値の割合（%）", _xlfn.REGEXTEST(C198, "Kerberos Ticket Renewer Monitoring"), "Kerberosチケット更新プロセスの稼働状態監視", _xlfn.REGEXTEST(C198, "Load Balancer Monitoring"), "ロードバランサーの稼働状態監視", _xlfn.REGEXTEST(C198, "Navigator Audit Failure"), "Cloudera Navigator監査ログの失敗イベント", _xlfn.REGEXTEST(C198, "Schema Registry Server Monitoring"), "Schema Registry Serverの稼働状態監視", _xlfn.REGEXTEST(C198, "SRM Service Monitoring"), "SRMサービスの稼働状態監視", _xlfn.REGEXTEST(C198, "SRM Driver Monitoring"), "SRMドライバーの稼働状態監視", _xlfn.REGEXTEST(C198, "Loggin"), "ログ出力状態・設定監視", _xlfn.REGEXTEST(C198, "Server Monitoring"), "サーバーの稼働状態監視", _xlfn.REGEXTEST(C198, "Server Connection Count"), "サーバーの接続数（コネクション数）", _xlfn.REGEXTEST(C198, "Server Outstanding Requests"), "サーバーの未処理リクエスト数（滞留要求数）", _xlfn.REGEXTEST(C198, "Repository Status"), "リポジトリのステータス状態", _xlfn.REGEXTEST(C198, "Monitor Long Running Task"), "長時間実行タスク（ジョブ）の監視", _xlfn.REGEXTEST(C198, "Token requests per second"), "1秒あたりのトークンリクエスト数（要求レート）", _xlfn.REGEXTEST(C198, "Connection Model Score"), "接続モデルスコア（コネクション品質）", _xlfn.REGEXTEST(C198, "Queue swap"), "キューのスワップ発生状態", _xlfn.REGEXTEST(C198, "NiFi Node Monitoring"), "NiFiノードの稼働状態監視", _xlfn.REGEXTEST(C198, "Host Clock Offset"), "ホストのクロックオフセット（時刻同期のズレ）", _xlfn.REGEXTEST(C198, "Memory Overcommit Validation"), "メモリオーバーコミット設定の検証", _xlfn.REGEXTEST(C198, "Gateway Logging"), "ゲートウェイのログ出力設定", _xlfn.REGEXTEST(C198, "CPU Balance"), "CPU使用率の分散バランス状態", _xlfn.REGEXTEST(C198, "Disk Balance"), "ディスク使用量の分散バランス状態", _xlfn.REGEXTEST(C198, "Network Inbound Balance"), "ネットワークインバウンド（受信）の分散バランス状態", _xlfn.REGEXTEST(C198, "Network Outbound Balance"), "ネットワークアウトバウンド（送信）の分散バランス状態", _xlfn.REGEXTEST(C198, "Replica Count Balance"), "レプリカ数の分散バランス状態", _xlfn.REGEXTEST(C198, "Disk Capacity"), "ディスク総容量の限界・使用容量", _xlfn.REGEXTEST(C198, "CPU Capacity"), "CPU総処理能力の限界・使用量", _xlfn.REGEXTEST(C198, "Network Inbound Capacity"), "ネットワークインバウンド（受信）帯域の限界・使用量", _xlfn.REGEXTEST(C198, "Network Outbound Capacity"), "ネットワークアウトバウンド（送信）帯域の限界・使用量", _xlfn.REGEXTEST(C198, "Leader Replica Count Balance"), "リーダーレプリカ数の分散バランス状態", _xlfn.REGEXTEST(C198, "Host DNS Resolution Duration"), "ホストのDNS名前解決の所要時間", _xlfn.REGEXTEST(C198, "TLS Certificate Expiry"), "TLS証明書の有効期限切れ", _xlfn.REGEXTEST(C198, "Host Entropy"), "ホストのエントロピー（乱数生成能力）の不足", _xlfn.REGEXTEST(C198, "File Descriptor"), "プロセスのファイルディスクリプタ使用率", _xlfn.REGEXTEST(C198, "Unexpected Exits"), "プロセスの異常終了（予期せぬ停止）", _xlfn.REGEXTEST(C198, "Swap Memory Thresholds"), "プロセスのスワップメモリ使用量", _xlfn.REGEXTEST(C198, "Swap Memory Usage Rate"), "スワップメモリ使用量の変化率（増加速度）", _xlfn.REGEXTEST(C198, "Log Directory Free Space.*Absolute"), "ログディレクトリの空き容量（絶対値）", _xlfn.REGEXTEST(C198, "Log Directory Free Space.*Percentage"), "ログディレクトリの空き容量割合（%）", _xlfn.REGEXTEST(C198, "Heap Dump Directory Free Space.*Absolute"), "ヒープダンプディレクトリの空き容量（絶対値）", _xlfn.REGEXTEST(C198, "Heap Dump Directory Free Space.*Percentage"), "ヒープダンプディレクトリの空き容量割合（%）", _xlfn.REGEXTEST(C198, "Data Directory Free Space.*Absolute"), "データディレクトリの空き容量（絶対値）", _xlfn.REGEXTEST(C198, "Data Directory Free Space.*Percentage"), "データディレクトリの空き容量割合（%）", _xlfn.REGEXTEST(C198, "Transaction Log Directory Free Space.*Absolute"), "トランザクションログディレクトリの空き容量（絶対値）", _xlfn.REGEXTEST(C198, "Logging Threshold|Logger Threshold"), "ログ出力レベルの閾値設定", _xlfn.REGEXTEST(C198, "Enable.*Alerts"), "ヘルスアラートの有効化状態", _xlfn.REGEXTEST(C198, "Triggers"), "カスタムアラート条件（トリガー設定）", _xlfn.REGEXTEST(C198, "Healthy Kafka Broker"), "Kafka Brokerの健全ノード割合（稼働率）", _xlfn.REGEXTEST(C198, "Healthy Kafka Connect"), "Kafka Connectの健全ノード割合（稼働率）", _xlfn.REGEXTEST(C198, "Healthy KRaft Controller"), "KRaft Controllerの健全ノード割合（稼働率）", _xlfn.REGEXTEST(C198, "Healthy Knox IDBroker"), "Knox IDBrokerの健全ノード割合（稼働率）", _xlfn.REGEXTEST(C198, "Healthy Knox Gateway"), "Knox Gatewayの健全ノード割合（稼働率）", _xlfn.REGEXTEST(C198, "Healthy ZooKeeper Server"), "ZooKeeper Serverの健全ノード割合（稼働率）", _xlfn.REGEXTEST(C198, "Healthy NodeManager"), "NodeManagerの健全ノード割合（稼働率）", _xlfn.REGEXTEST(C198, "Maximum Latency"), "リクエストの最大レイテンシ（処理遅延）", _xlfn.REGEXTEST(C198, "Garbage Collection Duration"), "Javaのガベージコレクション（GC）の所要時間", _xlfn.REGEXTEST(C198, "Spool Directory Usage"), "Rangerプラグインのスプールディレクトリ使用量", _xlfn.REGEXTEST(C198, "Process Directory Free Space Monitoring Absolute"), "プロセスディレクトリの空き容量（絶対値)", _xlfn.REGEXTEST(C198, "Process Directory Free Space.*Percentage"), "プロセスディレクトリの空き容量割合（%）", _xlfn.REGEXTEST(C198, "Parcel Directory Free Space.*Absolute"), "パーセルディレクトリの空き容量（絶対値）", _xlfn.REGEXTEST(C198, "Parcel Directory Free Space.*Percentage"), "パーセルディレクトリの空き容量割合（%）", _xlfn.REGEXTEST(C198, "Host Network Frame Error Percentage"), "ホストのネットワークフレームエラー割合（%）", _xlfn.REGEXTEST(C198, "Network Interfaces Slow Link Modes"), "ホストのネットワークインターフェースの低速リンクモード検出", _xlfn.REGEXTEST(C198, "Host Memory Swapping"), "ホストのメモリのスワップ発生状態", TRUE, "要手動確認")</f>
        <v>スワップメモリ使用量の変化率（増加速度）</v>
      </c>
      <c r="H198" s="479" t="s">
        <v>683</v>
      </c>
    </row>
    <row r="199" spans="1:8" ht="16.899999999999999">
      <c r="A199" s="514"/>
      <c r="B199" s="472" t="s">
        <v>1010</v>
      </c>
      <c r="C199" s="471" t="s">
        <v>1011</v>
      </c>
      <c r="D199" s="471" t="s">
        <v>772</v>
      </c>
      <c r="E199" s="471" t="s">
        <v>1012</v>
      </c>
      <c r="F199" s="471"/>
      <c r="G199" s="471" t="str" cm="1">
        <f t="array" ref="G199">_xlfn.IFS(C199 = "", "", _xlfn.REGEXTEST(C199, "Service Metric Migrator Minimum Consecutive Successful Checks"), "サービスメトリック移行ツールの連続正常チェック最小回数", _xlfn.REGEXTEST(C199, "Rebalancing"), "リバランシング（データ再配置）状態", _xlfn.REGEXTEST(C199, "Temporary Dump Directory"), "一時ダンプディレクトリの監視", _xlfn.REGEXTEST(C199, "Safemode Extension"), "セーフモード延長状態", _xlfn.REGEXTEST(C199, "Client Idle"), "クライアントのアイドル（待機）状態", _xlfn.REGEXTEST(C199, "Available Space Policy Balanced"), "空き容量ポリシーの分散バランス状態", _xlfn.REGEXTEST(C199, "Filesystem Checkpoint Transaction"), "ファイルシステムのチェックポイントトランザクション", _xlfn.REGEXTEST(C199, "Blocks With Corrupt Replicas Monitoring"), "破損レプリカを持つブロックの監視", _xlfn.REGEXTEST(C199, "Missing Block Monitoring"), "消失（ミッシング）ブロックの監視", _xlfn.REGEXTEST(C199, "Under-replicated Block Monitoring"), "レプリカ数不足ブロックの監視", _xlfn.REGEXTEST(C199, "HDFS Free Space Monitoring"), "HDFSの空き容量監視", _xlfn.REGEXTEST(C199, "DataNode Monitoring"), "DataNodeの稼働状態監視", _xlfn.REGEXTEST(C199, "Rules to Extract Events from Log Files"), "ログファイルからのイベント抽出ルール設定", _xlfn.REGEXTEST(C199, "Free Space Monitoring$"), "空き容量監視（一般設定）", _xlfn.REGEXTEST(C199, "Transceivers Usage"), "トランシーバー使用量（データ転送スレッド数）", _xlfn.REGEXTEST(C199, "Volume Failures"), "ボリューム障害（ディスクエラー）数", _xlfn.REGEXTEST(C199, "Block Count"), "ブロック総数", _xlfn.REGEXTEST(C199, "Audit Failure"), "監査（オーディット）ログの失敗イベント", _xlfn.REGEXTEST(C199, "Web Metric Collection Duration"), "Webメトリック収集の所要時間", _xlfn.REGEXTEST(C199, "Pause Duration"), "一時停止（ポーズ）の所要時間", _xlfn.REGEXTEST(C199, "Fsync Latency"), "Fsync（ディスク同期）のレイテンシ", _xlfn.REGEXTEST(C199, "Free Space Monitoring Absolute"), "空き容量（絶対値）", _xlfn.REGEXTEST(C199, "Free Space Monitoring Percentage"), "空き容量割合（%）", _xlfn.REGEXTEST(C199, "Age Monitoring"), "経過時間の監視", _xlfn.REGEXTEST(C199, "Transactions Monitoring"), "トランザクション数の監視", _xlfn.REGEXTEST(C199, "RPC Latency"), "RPC（遠隔手続き呼出し）のレイテンシ", _xlfn.REGEXTEST(C199, "Directory Failures"), "ディレクトリ障害数", _xlfn.REGEXTEST(C199, "Out-Of-Sync JournalNodes"), "同期ズレが発生しているJournalNode数", _xlfn.REGEXTEST(C199, "Safemode Threshold Percentage"), "セーフモード解除閾値の割合（%）", _xlfn.REGEXTEST(C199, "Kerberos Ticket Renewer Monitoring"), "Kerberosチケット更新プロセスの稼働状態監視", _xlfn.REGEXTEST(C199, "Load Balancer Monitoring"), "ロードバランサーの稼働状態監視", _xlfn.REGEXTEST(C199, "Navigator Audit Failure"), "Cloudera Navigator監査ログの失敗イベント", _xlfn.REGEXTEST(C199, "Schema Registry Server Monitoring"), "Schema Registry Serverの稼働状態監視", _xlfn.REGEXTEST(C199, "SRM Service Monitoring"), "SRMサービスの稼働状態監視", _xlfn.REGEXTEST(C199, "SRM Driver Monitoring"), "SRMドライバーの稼働状態監視", _xlfn.REGEXTEST(C199, "Loggin"), "ログ出力状態・設定監視", _xlfn.REGEXTEST(C199, "Server Monitoring"), "サーバーの稼働状態監視", _xlfn.REGEXTEST(C199, "Server Connection Count"), "サーバーの接続数（コネクション数）", _xlfn.REGEXTEST(C199, "Server Outstanding Requests"), "サーバーの未処理リクエスト数（滞留要求数）", _xlfn.REGEXTEST(C199, "Repository Status"), "リポジトリのステータス状態", _xlfn.REGEXTEST(C199, "Monitor Long Running Task"), "長時間実行タスク（ジョブ）の監視", _xlfn.REGEXTEST(C199, "Token requests per second"), "1秒あたりのトークンリクエスト数（要求レート）", _xlfn.REGEXTEST(C199, "Connection Model Score"), "接続モデルスコア（コネクション品質）", _xlfn.REGEXTEST(C199, "Queue swap"), "キューのスワップ発生状態", _xlfn.REGEXTEST(C199, "NiFi Node Monitoring"), "NiFiノードの稼働状態監視", _xlfn.REGEXTEST(C199, "Host Clock Offset"), "ホストのクロックオフセット（時刻同期のズレ）", _xlfn.REGEXTEST(C199, "Memory Overcommit Validation"), "メモリオーバーコミット設定の検証", _xlfn.REGEXTEST(C199, "Gateway Logging"), "ゲートウェイのログ出力設定", _xlfn.REGEXTEST(C199, "CPU Balance"), "CPU使用率の分散バランス状態", _xlfn.REGEXTEST(C199, "Disk Balance"), "ディスク使用量の分散バランス状態", _xlfn.REGEXTEST(C199, "Network Inbound Balance"), "ネットワークインバウンド（受信）の分散バランス状態", _xlfn.REGEXTEST(C199, "Network Outbound Balance"), "ネットワークアウトバウンド（送信）の分散バランス状態", _xlfn.REGEXTEST(C199, "Replica Count Balance"), "レプリカ数の分散バランス状態", _xlfn.REGEXTEST(C199, "Disk Capacity"), "ディスク総容量の限界・使用容量", _xlfn.REGEXTEST(C199, "CPU Capacity"), "CPU総処理能力の限界・使用量", _xlfn.REGEXTEST(C199, "Network Inbound Capacity"), "ネットワークインバウンド（受信）帯域の限界・使用量", _xlfn.REGEXTEST(C199, "Network Outbound Capacity"), "ネットワークアウトバウンド（送信）帯域の限界・使用量", _xlfn.REGEXTEST(C199, "Leader Replica Count Balance"), "リーダーレプリカ数の分散バランス状態", _xlfn.REGEXTEST(C199, "Host DNS Resolution Duration"), "ホストのDNS名前解決の所要時間", _xlfn.REGEXTEST(C199, "TLS Certificate Expiry"), "TLS証明書の有効期限切れ", _xlfn.REGEXTEST(C199, "Host Entropy"), "ホストのエントロピー（乱数生成能力）の不足", _xlfn.REGEXTEST(C199, "File Descriptor"), "プロセスのファイルディスクリプタ使用率", _xlfn.REGEXTEST(C199, "Unexpected Exits"), "プロセスの異常終了（予期せぬ停止）", _xlfn.REGEXTEST(C199, "Swap Memory Thresholds"), "プロセスのスワップメモリ使用量", _xlfn.REGEXTEST(C199, "Swap Memory Usage Rate"), "スワップメモリ使用量の変化率（増加速度）", _xlfn.REGEXTEST(C199, "Log Directory Free Space.*Absolute"), "ログディレクトリの空き容量（絶対値）", _xlfn.REGEXTEST(C199, "Log Directory Free Space.*Percentage"), "ログディレクトリの空き容量割合（%）", _xlfn.REGEXTEST(C199, "Heap Dump Directory Free Space.*Absolute"), "ヒープダンプディレクトリの空き容量（絶対値）", _xlfn.REGEXTEST(C199, "Heap Dump Directory Free Space.*Percentage"), "ヒープダンプディレクトリの空き容量割合（%）", _xlfn.REGEXTEST(C199, "Data Directory Free Space.*Absolute"), "データディレクトリの空き容量（絶対値）", _xlfn.REGEXTEST(C199, "Data Directory Free Space.*Percentage"), "データディレクトリの空き容量割合（%）", _xlfn.REGEXTEST(C199, "Transaction Log Directory Free Space.*Absolute"), "トランザクションログディレクトリの空き容量（絶対値）", _xlfn.REGEXTEST(C199, "Logging Threshold|Logger Threshold"), "ログ出力レベルの閾値設定", _xlfn.REGEXTEST(C199, "Enable.*Alerts"), "ヘルスアラートの有効化状態", _xlfn.REGEXTEST(C199, "Triggers"), "カスタムアラート条件（トリガー設定）", _xlfn.REGEXTEST(C199, "Healthy Kafka Broker"), "Kafka Brokerの健全ノード割合（稼働率）", _xlfn.REGEXTEST(C199, "Healthy Kafka Connect"), "Kafka Connectの健全ノード割合（稼働率）", _xlfn.REGEXTEST(C199, "Healthy KRaft Controller"), "KRaft Controllerの健全ノード割合（稼働率）", _xlfn.REGEXTEST(C199, "Healthy Knox IDBroker"), "Knox IDBrokerの健全ノード割合（稼働率）", _xlfn.REGEXTEST(C199, "Healthy Knox Gateway"), "Knox Gatewayの健全ノード割合（稼働率）", _xlfn.REGEXTEST(C199, "Healthy ZooKeeper Server"), "ZooKeeper Serverの健全ノード割合（稼働率）", _xlfn.REGEXTEST(C199, "Healthy NodeManager"), "NodeManagerの健全ノード割合（稼働率）", _xlfn.REGEXTEST(C199, "Maximum Latency"), "リクエストの最大レイテンシ（処理遅延）", _xlfn.REGEXTEST(C199, "Garbage Collection Duration"), "Javaのガベージコレクション（GC）の所要時間", _xlfn.REGEXTEST(C199, "Spool Directory Usage"), "Rangerプラグインのスプールディレクトリ使用量", _xlfn.REGEXTEST(C199, "Process Directory Free Space Monitoring Absolute"), "プロセスディレクトリの空き容量（絶対値)", _xlfn.REGEXTEST(C199, "Process Directory Free Space.*Percentage"), "プロセスディレクトリの空き容量割合（%）", _xlfn.REGEXTEST(C199, "Parcel Directory Free Space.*Absolute"), "パーセルディレクトリの空き容量（絶対値）", _xlfn.REGEXTEST(C199, "Parcel Directory Free Space.*Percentage"), "パーセルディレクトリの空き容量割合（%）", _xlfn.REGEXTEST(C199, "Host Network Frame Error Percentage"), "ホストのネットワークフレームエラー割合（%）", _xlfn.REGEXTEST(C199, "Network Interfaces Slow Link Modes"), "ホストのネットワークインターフェースの低速リンクモード検出", _xlfn.REGEXTEST(C199, "Host Memory Swapping"), "ホストのメモリのスワップ発生状態", TRUE, "要手動確認")</f>
        <v>ログ出力状態・設定監視</v>
      </c>
      <c r="H199" s="479" t="s">
        <v>775</v>
      </c>
    </row>
    <row r="200" spans="1:8" ht="16.899999999999999">
      <c r="A200" s="514"/>
      <c r="B200" s="473"/>
      <c r="C200" s="471" t="s">
        <v>788</v>
      </c>
      <c r="D200" s="471" t="s">
        <v>710</v>
      </c>
      <c r="E200" s="471" t="s">
        <v>1013</v>
      </c>
      <c r="F200" s="471"/>
      <c r="G200" s="471" t="str" cm="1">
        <f t="array" ref="G200">_xlfn.IFS(C200 = "", "", _xlfn.REGEXTEST(C200, "Service Metric Migrator Minimum Consecutive Successful Checks"), "サービスメトリック移行ツールの連続正常チェック最小回数", _xlfn.REGEXTEST(C200, "Rebalancing"), "リバランシング（データ再配置）状態", _xlfn.REGEXTEST(C200, "Temporary Dump Directory"), "一時ダンプディレクトリの監視", _xlfn.REGEXTEST(C200, "Safemode Extension"), "セーフモード延長状態", _xlfn.REGEXTEST(C200, "Client Idle"), "クライアントのアイドル（待機）状態", _xlfn.REGEXTEST(C200, "Available Space Policy Balanced"), "空き容量ポリシーの分散バランス状態", _xlfn.REGEXTEST(C200, "Filesystem Checkpoint Transaction"), "ファイルシステムのチェックポイントトランザクション", _xlfn.REGEXTEST(C200, "Blocks With Corrupt Replicas Monitoring"), "破損レプリカを持つブロックの監視", _xlfn.REGEXTEST(C200, "Missing Block Monitoring"), "消失（ミッシング）ブロックの監視", _xlfn.REGEXTEST(C200, "Under-replicated Block Monitoring"), "レプリカ数不足ブロックの監視", _xlfn.REGEXTEST(C200, "HDFS Free Space Monitoring"), "HDFSの空き容量監視", _xlfn.REGEXTEST(C200, "DataNode Monitoring"), "DataNodeの稼働状態監視", _xlfn.REGEXTEST(C200, "Rules to Extract Events from Log Files"), "ログファイルからのイベント抽出ルール設定", _xlfn.REGEXTEST(C200, "Free Space Monitoring$"), "空き容量監視（一般設定）", _xlfn.REGEXTEST(C200, "Transceivers Usage"), "トランシーバー使用量（データ転送スレッド数）", _xlfn.REGEXTEST(C200, "Volume Failures"), "ボリューム障害（ディスクエラー）数", _xlfn.REGEXTEST(C200, "Block Count"), "ブロック総数", _xlfn.REGEXTEST(C200, "Audit Failure"), "監査（オーディット）ログの失敗イベント", _xlfn.REGEXTEST(C200, "Web Metric Collection Duration"), "Webメトリック収集の所要時間", _xlfn.REGEXTEST(C200, "Pause Duration"), "一時停止（ポーズ）の所要時間", _xlfn.REGEXTEST(C200, "Fsync Latency"), "Fsync（ディスク同期）のレイテンシ", _xlfn.REGEXTEST(C200, "Free Space Monitoring Absolute"), "空き容量（絶対値）", _xlfn.REGEXTEST(C200, "Free Space Monitoring Percentage"), "空き容量割合（%）", _xlfn.REGEXTEST(C200, "Age Monitoring"), "経過時間の監視", _xlfn.REGEXTEST(C200, "Transactions Monitoring"), "トランザクション数の監視", _xlfn.REGEXTEST(C200, "RPC Latency"), "RPC（遠隔手続き呼出し）のレイテンシ", _xlfn.REGEXTEST(C200, "Directory Failures"), "ディレクトリ障害数", _xlfn.REGEXTEST(C200, "Out-Of-Sync JournalNodes"), "同期ズレが発生しているJournalNode数", _xlfn.REGEXTEST(C200, "Safemode Threshold Percentage"), "セーフモード解除閾値の割合（%）", _xlfn.REGEXTEST(C200, "Kerberos Ticket Renewer Monitoring"), "Kerberosチケット更新プロセスの稼働状態監視", _xlfn.REGEXTEST(C200, "Load Balancer Monitoring"), "ロードバランサーの稼働状態監視", _xlfn.REGEXTEST(C200, "Navigator Audit Failure"), "Cloudera Navigator監査ログの失敗イベント", _xlfn.REGEXTEST(C200, "Schema Registry Server Monitoring"), "Schema Registry Serverの稼働状態監視", _xlfn.REGEXTEST(C200, "SRM Service Monitoring"), "SRMサービスの稼働状態監視", _xlfn.REGEXTEST(C200, "SRM Driver Monitoring"), "SRMドライバーの稼働状態監視", _xlfn.REGEXTEST(C200, "Loggin"), "ログ出力状態・設定監視", _xlfn.REGEXTEST(C200, "Server Monitoring"), "サーバーの稼働状態監視", _xlfn.REGEXTEST(C200, "Server Connection Count"), "サーバーの接続数（コネクション数）", _xlfn.REGEXTEST(C200, "Server Outstanding Requests"), "サーバーの未処理リクエスト数（滞留要求数）", _xlfn.REGEXTEST(C200, "Repository Status"), "リポジトリのステータス状態", _xlfn.REGEXTEST(C200, "Monitor Long Running Task"), "長時間実行タスク（ジョブ）の監視", _xlfn.REGEXTEST(C200, "Token requests per second"), "1秒あたりのトークンリクエスト数（要求レート）", _xlfn.REGEXTEST(C200, "Connection Model Score"), "接続モデルスコア（コネクション品質）", _xlfn.REGEXTEST(C200, "Queue swap"), "キューのスワップ発生状態", _xlfn.REGEXTEST(C200, "NiFi Node Monitoring"), "NiFiノードの稼働状態監視", _xlfn.REGEXTEST(C200, "Host Clock Offset"), "ホストのクロックオフセット（時刻同期のズレ）", _xlfn.REGEXTEST(C200, "Memory Overcommit Validation"), "メモリオーバーコミット設定の検証", _xlfn.REGEXTEST(C200, "Gateway Logging"), "ゲートウェイのログ出力設定", _xlfn.REGEXTEST(C200, "CPU Balance"), "CPU使用率の分散バランス状態", _xlfn.REGEXTEST(C200, "Disk Balance"), "ディスク使用量の分散バランス状態", _xlfn.REGEXTEST(C200, "Network Inbound Balance"), "ネットワークインバウンド（受信）の分散バランス状態", _xlfn.REGEXTEST(C200, "Network Outbound Balance"), "ネットワークアウトバウンド（送信）の分散バランス状態", _xlfn.REGEXTEST(C200, "Replica Count Balance"), "レプリカ数の分散バランス状態", _xlfn.REGEXTEST(C200, "Disk Capacity"), "ディスク総容量の限界・使用容量", _xlfn.REGEXTEST(C200, "CPU Capacity"), "CPU総処理能力の限界・使用量", _xlfn.REGEXTEST(C200, "Network Inbound Capacity"), "ネットワークインバウンド（受信）帯域の限界・使用量", _xlfn.REGEXTEST(C200, "Network Outbound Capacity"), "ネットワークアウトバウンド（送信）帯域の限界・使用量", _xlfn.REGEXTEST(C200, "Leader Replica Count Balance"), "リーダーレプリカ数の分散バランス状態", _xlfn.REGEXTEST(C200, "Host DNS Resolution Duration"), "ホストのDNS名前解決の所要時間", _xlfn.REGEXTEST(C200, "TLS Certificate Expiry"), "TLS証明書の有効期限切れ", _xlfn.REGEXTEST(C200, "Host Entropy"), "ホストのエントロピー（乱数生成能力）の不足", _xlfn.REGEXTEST(C200, "File Descriptor"), "プロセスのファイルディスクリプタ使用率", _xlfn.REGEXTEST(C200, "Unexpected Exits"), "プロセスの異常終了（予期せぬ停止）", _xlfn.REGEXTEST(C200, "Swap Memory Thresholds"), "プロセスのスワップメモリ使用量", _xlfn.REGEXTEST(C200, "Swap Memory Usage Rate"), "スワップメモリ使用量の変化率（増加速度）", _xlfn.REGEXTEST(C200, "Log Directory Free Space.*Absolute"), "ログディレクトリの空き容量（絶対値）", _xlfn.REGEXTEST(C200, "Log Directory Free Space.*Percentage"), "ログディレクトリの空き容量割合（%）", _xlfn.REGEXTEST(C200, "Heap Dump Directory Free Space.*Absolute"), "ヒープダンプディレクトリの空き容量（絶対値）", _xlfn.REGEXTEST(C200, "Heap Dump Directory Free Space.*Percentage"), "ヒープダンプディレクトリの空き容量割合（%）", _xlfn.REGEXTEST(C200, "Data Directory Free Space.*Absolute"), "データディレクトリの空き容量（絶対値）", _xlfn.REGEXTEST(C200, "Data Directory Free Space.*Percentage"), "データディレクトリの空き容量割合（%）", _xlfn.REGEXTEST(C200, "Transaction Log Directory Free Space.*Absolute"), "トランザクションログディレクトリの空き容量（絶対値）", _xlfn.REGEXTEST(C200, "Logging Threshold|Logger Threshold"), "ログ出力レベルの閾値設定", _xlfn.REGEXTEST(C200, "Enable.*Alerts"), "ヘルスアラートの有効化状態", _xlfn.REGEXTEST(C200, "Triggers"), "カスタムアラート条件（トリガー設定）", _xlfn.REGEXTEST(C200, "Healthy Kafka Broker"), "Kafka Brokerの健全ノード割合（稼働率）", _xlfn.REGEXTEST(C200, "Healthy Kafka Connect"), "Kafka Connectの健全ノード割合（稼働率）", _xlfn.REGEXTEST(C200, "Healthy KRaft Controller"), "KRaft Controllerの健全ノード割合（稼働率）", _xlfn.REGEXTEST(C200, "Healthy Knox IDBroker"), "Knox IDBrokerの健全ノード割合（稼働率）", _xlfn.REGEXTEST(C200, "Healthy Knox Gateway"), "Knox Gatewayの健全ノード割合（稼働率）", _xlfn.REGEXTEST(C200, "Healthy ZooKeeper Server"), "ZooKeeper Serverの健全ノード割合（稼働率）", _xlfn.REGEXTEST(C200, "Healthy NodeManager"), "NodeManagerの健全ノード割合（稼働率）", _xlfn.REGEXTEST(C200, "Maximum Latency"), "リクエストの最大レイテンシ（処理遅延）", _xlfn.REGEXTEST(C200, "Garbage Collection Duration"), "Javaのガベージコレクション（GC）の所要時間", _xlfn.REGEXTEST(C200, "Spool Directory Usage"), "Rangerプラグインのスプールディレクトリ使用量", _xlfn.REGEXTEST(C200, "Process Directory Free Space Monitoring Absolute"), "プロセスディレクトリの空き容量（絶対値)", _xlfn.REGEXTEST(C200, "Process Directory Free Space.*Percentage"), "プロセスディレクトリの空き容量割合（%）", _xlfn.REGEXTEST(C200, "Parcel Directory Free Space.*Absolute"), "パーセルディレクトリの空き容量（絶対値）", _xlfn.REGEXTEST(C200, "Parcel Directory Free Space.*Percentage"), "パーセルディレクトリの空き容量割合（%）", _xlfn.REGEXTEST(C200, "Host Network Frame Error Percentage"), "ホストのネットワークフレームエラー割合（%）", _xlfn.REGEXTEST(C200, "Network Interfaces Slow Link Modes"), "ホストのネットワークインターフェースの低速リンクモード検出", _xlfn.REGEXTEST(C200, "Host Memory Swapping"), "ホストのメモリのスワップ発生状態", TRUE, "要手動確認")</f>
        <v>ヘルスアラートの有効化状態</v>
      </c>
      <c r="H200" s="479" t="s">
        <v>790</v>
      </c>
    </row>
    <row r="201" spans="1:8" ht="16.899999999999999">
      <c r="A201" s="514"/>
      <c r="B201" s="473"/>
      <c r="C201" s="471" t="s">
        <v>791</v>
      </c>
      <c r="D201" s="471" t="s">
        <v>792</v>
      </c>
      <c r="E201" s="471" t="s">
        <v>1013</v>
      </c>
      <c r="F201" s="471"/>
      <c r="G201" s="471" t="str" cm="1">
        <f t="array" ref="G201">_xlfn.IFS(C201 = "", "", _xlfn.REGEXTEST(C201, "Service Metric Migrator Minimum Consecutive Successful Checks"), "サービスメトリック移行ツールの連続正常チェック最小回数", _xlfn.REGEXTEST(C201, "Rebalancing"), "リバランシング（データ再配置）状態", _xlfn.REGEXTEST(C201, "Temporary Dump Directory"), "一時ダンプディレクトリの監視", _xlfn.REGEXTEST(C201, "Safemode Extension"), "セーフモード延長状態", _xlfn.REGEXTEST(C201, "Client Idle"), "クライアントのアイドル（待機）状態", _xlfn.REGEXTEST(C201, "Available Space Policy Balanced"), "空き容量ポリシーの分散バランス状態", _xlfn.REGEXTEST(C201, "Filesystem Checkpoint Transaction"), "ファイルシステムのチェックポイントトランザクション", _xlfn.REGEXTEST(C201, "Blocks With Corrupt Replicas Monitoring"), "破損レプリカを持つブロックの監視", _xlfn.REGEXTEST(C201, "Missing Block Monitoring"), "消失（ミッシング）ブロックの監視", _xlfn.REGEXTEST(C201, "Under-replicated Block Monitoring"), "レプリカ数不足ブロックの監視", _xlfn.REGEXTEST(C201, "HDFS Free Space Monitoring"), "HDFSの空き容量監視", _xlfn.REGEXTEST(C201, "DataNode Monitoring"), "DataNodeの稼働状態監視", _xlfn.REGEXTEST(C201, "Rules to Extract Events from Log Files"), "ログファイルからのイベント抽出ルール設定", _xlfn.REGEXTEST(C201, "Free Space Monitoring$"), "空き容量監視（一般設定）", _xlfn.REGEXTEST(C201, "Transceivers Usage"), "トランシーバー使用量（データ転送スレッド数）", _xlfn.REGEXTEST(C201, "Volume Failures"), "ボリューム障害（ディスクエラー）数", _xlfn.REGEXTEST(C201, "Block Count"), "ブロック総数", _xlfn.REGEXTEST(C201, "Audit Failure"), "監査（オーディット）ログの失敗イベント", _xlfn.REGEXTEST(C201, "Web Metric Collection Duration"), "Webメトリック収集の所要時間", _xlfn.REGEXTEST(C201, "Pause Duration"), "一時停止（ポーズ）の所要時間", _xlfn.REGEXTEST(C201, "Fsync Latency"), "Fsync（ディスク同期）のレイテンシ", _xlfn.REGEXTEST(C201, "Free Space Monitoring Absolute"), "空き容量（絶対値）", _xlfn.REGEXTEST(C201, "Free Space Monitoring Percentage"), "空き容量割合（%）", _xlfn.REGEXTEST(C201, "Age Monitoring"), "経過時間の監視", _xlfn.REGEXTEST(C201, "Transactions Monitoring"), "トランザクション数の監視", _xlfn.REGEXTEST(C201, "RPC Latency"), "RPC（遠隔手続き呼出し）のレイテンシ", _xlfn.REGEXTEST(C201, "Directory Failures"), "ディレクトリ障害数", _xlfn.REGEXTEST(C201, "Out-Of-Sync JournalNodes"), "同期ズレが発生しているJournalNode数", _xlfn.REGEXTEST(C201, "Safemode Threshold Percentage"), "セーフモード解除閾値の割合（%）", _xlfn.REGEXTEST(C201, "Kerberos Ticket Renewer Monitoring"), "Kerberosチケット更新プロセスの稼働状態監視", _xlfn.REGEXTEST(C201, "Load Balancer Monitoring"), "ロードバランサーの稼働状態監視", _xlfn.REGEXTEST(C201, "Navigator Audit Failure"), "Cloudera Navigator監査ログの失敗イベント", _xlfn.REGEXTEST(C201, "Schema Registry Server Monitoring"), "Schema Registry Serverの稼働状態監視", _xlfn.REGEXTEST(C201, "SRM Service Monitoring"), "SRMサービスの稼働状態監視", _xlfn.REGEXTEST(C201, "SRM Driver Monitoring"), "SRMドライバーの稼働状態監視", _xlfn.REGEXTEST(C201, "Loggin"), "ログ出力状態・設定監視", _xlfn.REGEXTEST(C201, "Server Monitoring"), "サーバーの稼働状態監視", _xlfn.REGEXTEST(C201, "Server Connection Count"), "サーバーの接続数（コネクション数）", _xlfn.REGEXTEST(C201, "Server Outstanding Requests"), "サーバーの未処理リクエスト数（滞留要求数）", _xlfn.REGEXTEST(C201, "Repository Status"), "リポジトリのステータス状態", _xlfn.REGEXTEST(C201, "Monitor Long Running Task"), "長時間実行タスク（ジョブ）の監視", _xlfn.REGEXTEST(C201, "Token requests per second"), "1秒あたりのトークンリクエスト数（要求レート）", _xlfn.REGEXTEST(C201, "Connection Model Score"), "接続モデルスコア（コネクション品質）", _xlfn.REGEXTEST(C201, "Queue swap"), "キューのスワップ発生状態", _xlfn.REGEXTEST(C201, "NiFi Node Monitoring"), "NiFiノードの稼働状態監視", _xlfn.REGEXTEST(C201, "Host Clock Offset"), "ホストのクロックオフセット（時刻同期のズレ）", _xlfn.REGEXTEST(C201, "Memory Overcommit Validation"), "メモリオーバーコミット設定の検証", _xlfn.REGEXTEST(C201, "Gateway Logging"), "ゲートウェイのログ出力設定", _xlfn.REGEXTEST(C201, "CPU Balance"), "CPU使用率の分散バランス状態", _xlfn.REGEXTEST(C201, "Disk Balance"), "ディスク使用量の分散バランス状態", _xlfn.REGEXTEST(C201, "Network Inbound Balance"), "ネットワークインバウンド（受信）の分散バランス状態", _xlfn.REGEXTEST(C201, "Network Outbound Balance"), "ネットワークアウトバウンド（送信）の分散バランス状態", _xlfn.REGEXTEST(C201, "Replica Count Balance"), "レプリカ数の分散バランス状態", _xlfn.REGEXTEST(C201, "Disk Capacity"), "ディスク総容量の限界・使用容量", _xlfn.REGEXTEST(C201, "CPU Capacity"), "CPU総処理能力の限界・使用量", _xlfn.REGEXTEST(C201, "Network Inbound Capacity"), "ネットワークインバウンド（受信）帯域の限界・使用量", _xlfn.REGEXTEST(C201, "Network Outbound Capacity"), "ネットワークアウトバウンド（送信）帯域の限界・使用量", _xlfn.REGEXTEST(C201, "Leader Replica Count Balance"), "リーダーレプリカ数の分散バランス状態", _xlfn.REGEXTEST(C201, "Host DNS Resolution Duration"), "ホストのDNS名前解決の所要時間", _xlfn.REGEXTEST(C201, "TLS Certificate Expiry"), "TLS証明書の有効期限切れ", _xlfn.REGEXTEST(C201, "Host Entropy"), "ホストのエントロピー（乱数生成能力）の不足", _xlfn.REGEXTEST(C201, "File Descriptor"), "プロセスのファイルディスクリプタ使用率", _xlfn.REGEXTEST(C201, "Unexpected Exits"), "プロセスの異常終了（予期せぬ停止）", _xlfn.REGEXTEST(C201, "Swap Memory Thresholds"), "プロセスのスワップメモリ使用量", _xlfn.REGEXTEST(C201, "Swap Memory Usage Rate"), "スワップメモリ使用量の変化率（増加速度）", _xlfn.REGEXTEST(C201, "Log Directory Free Space.*Absolute"), "ログディレクトリの空き容量（絶対値）", _xlfn.REGEXTEST(C201, "Log Directory Free Space.*Percentage"), "ログディレクトリの空き容量割合（%）", _xlfn.REGEXTEST(C201, "Heap Dump Directory Free Space.*Absolute"), "ヒープダンプディレクトリの空き容量（絶対値）", _xlfn.REGEXTEST(C201, "Heap Dump Directory Free Space.*Percentage"), "ヒープダンプディレクトリの空き容量割合（%）", _xlfn.REGEXTEST(C201, "Data Directory Free Space.*Absolute"), "データディレクトリの空き容量（絶対値）", _xlfn.REGEXTEST(C201, "Data Directory Free Space.*Percentage"), "データディレクトリの空き容量割合（%）", _xlfn.REGEXTEST(C201, "Transaction Log Directory Free Space.*Absolute"), "トランザクションログディレクトリの空き容量（絶対値）", _xlfn.REGEXTEST(C201, "Logging Threshold|Logger Threshold"), "ログ出力レベルの閾値設定", _xlfn.REGEXTEST(C201, "Enable.*Alerts"), "ヘルスアラートの有効化状態", _xlfn.REGEXTEST(C201, "Triggers"), "カスタムアラート条件（トリガー設定）", _xlfn.REGEXTEST(C201, "Healthy Kafka Broker"), "Kafka Brokerの健全ノード割合（稼働率）", _xlfn.REGEXTEST(C201, "Healthy Kafka Connect"), "Kafka Connectの健全ノード割合（稼働率）", _xlfn.REGEXTEST(C201, "Healthy KRaft Controller"), "KRaft Controllerの健全ノード割合（稼働率）", _xlfn.REGEXTEST(C201, "Healthy Knox IDBroker"), "Knox IDBrokerの健全ノード割合（稼働率）", _xlfn.REGEXTEST(C201, "Healthy Knox Gateway"), "Knox Gatewayの健全ノード割合（稼働率）", _xlfn.REGEXTEST(C201, "Healthy ZooKeeper Server"), "ZooKeeper Serverの健全ノード割合（稼働率）", _xlfn.REGEXTEST(C201, "Healthy NodeManager"), "NodeManagerの健全ノード割合（稼働率）", _xlfn.REGEXTEST(C201, "Maximum Latency"), "リクエストの最大レイテンシ（処理遅延）", _xlfn.REGEXTEST(C201, "Garbage Collection Duration"), "Javaのガベージコレクション（GC）の所要時間", _xlfn.REGEXTEST(C201, "Spool Directory Usage"), "Rangerプラグインのスプールディレクトリ使用量", _xlfn.REGEXTEST(C201, "Process Directory Free Space Monitoring Absolute"), "プロセスディレクトリの空き容量（絶対値)", _xlfn.REGEXTEST(C201, "Process Directory Free Space.*Percentage"), "プロセスディレクトリの空き容量割合（%）", _xlfn.REGEXTEST(C201, "Parcel Directory Free Space.*Absolute"), "パーセルディレクトリの空き容量（絶対値）", _xlfn.REGEXTEST(C201, "Parcel Directory Free Space.*Percentage"), "パーセルディレクトリの空き容量割合（%）", _xlfn.REGEXTEST(C201, "Host Network Frame Error Percentage"), "ホストのネットワークフレームエラー割合（%）", _xlfn.REGEXTEST(C201, "Network Interfaces Slow Link Modes"), "ホストのネットワークインターフェースの低速リンクモード検出", _xlfn.REGEXTEST(C201, "Host Memory Swapping"), "ホストのメモリのスワップ発生状態", TRUE, "要手動確認")</f>
        <v>カスタムアラート条件（トリガー設定）</v>
      </c>
      <c r="H201" s="479" t="s">
        <v>754</v>
      </c>
    </row>
    <row r="202" spans="1:8" ht="16.899999999999999">
      <c r="A202" s="514"/>
      <c r="B202" s="473"/>
      <c r="C202" s="471" t="s">
        <v>1014</v>
      </c>
      <c r="D202" s="471" t="s">
        <v>710</v>
      </c>
      <c r="E202" s="471" t="s">
        <v>1015</v>
      </c>
      <c r="F202" s="471"/>
      <c r="G202" s="471" t="str" cm="1">
        <f t="array" ref="G202">_xlfn.IFS(C202 = "", "", _xlfn.REGEXTEST(C202, "Service Metric Migrator Minimum Consecutive Successful Checks"), "サービスメトリック移行ツールの連続正常チェック最小回数", _xlfn.REGEXTEST(C202, "Rebalancing"), "リバランシング（データ再配置）状態", _xlfn.REGEXTEST(C202, "Temporary Dump Directory"), "一時ダンプディレクトリの監視", _xlfn.REGEXTEST(C202, "Safemode Extension"), "セーフモード延長状態", _xlfn.REGEXTEST(C202, "Client Idle"), "クライアントのアイドル（待機）状態", _xlfn.REGEXTEST(C202, "Available Space Policy Balanced"), "空き容量ポリシーの分散バランス状態", _xlfn.REGEXTEST(C202, "Filesystem Checkpoint Transaction"), "ファイルシステムのチェックポイントトランザクション", _xlfn.REGEXTEST(C202, "Blocks With Corrupt Replicas Monitoring"), "破損レプリカを持つブロックの監視", _xlfn.REGEXTEST(C202, "Missing Block Monitoring"), "消失（ミッシング）ブロックの監視", _xlfn.REGEXTEST(C202, "Under-replicated Block Monitoring"), "レプリカ数不足ブロックの監視", _xlfn.REGEXTEST(C202, "HDFS Free Space Monitoring"), "HDFSの空き容量監視", _xlfn.REGEXTEST(C202, "DataNode Monitoring"), "DataNodeの稼働状態監視", _xlfn.REGEXTEST(C202, "Rules to Extract Events from Log Files"), "ログファイルからのイベント抽出ルール設定", _xlfn.REGEXTEST(C202, "Free Space Monitoring$"), "空き容量監視（一般設定）", _xlfn.REGEXTEST(C202, "Transceivers Usage"), "トランシーバー使用量（データ転送スレッド数）", _xlfn.REGEXTEST(C202, "Volume Failures"), "ボリューム障害（ディスクエラー）数", _xlfn.REGEXTEST(C202, "Block Count"), "ブロック総数", _xlfn.REGEXTEST(C202, "Audit Failure"), "監査（オーディット）ログの失敗イベント", _xlfn.REGEXTEST(C202, "Web Metric Collection Duration"), "Webメトリック収集の所要時間", _xlfn.REGEXTEST(C202, "Pause Duration"), "一時停止（ポーズ）の所要時間", _xlfn.REGEXTEST(C202, "Fsync Latency"), "Fsync（ディスク同期）のレイテンシ", _xlfn.REGEXTEST(C202, "Free Space Monitoring Absolute"), "空き容量（絶対値）", _xlfn.REGEXTEST(C202, "Free Space Monitoring Percentage"), "空き容量割合（%）", _xlfn.REGEXTEST(C202, "Age Monitoring"), "経過時間の監視", _xlfn.REGEXTEST(C202, "Transactions Monitoring"), "トランザクション数の監視", _xlfn.REGEXTEST(C202, "RPC Latency"), "RPC（遠隔手続き呼出し）のレイテンシ", _xlfn.REGEXTEST(C202, "Directory Failures"), "ディレクトリ障害数", _xlfn.REGEXTEST(C202, "Out-Of-Sync JournalNodes"), "同期ズレが発生しているJournalNode数", _xlfn.REGEXTEST(C202, "Safemode Threshold Percentage"), "セーフモード解除閾値の割合（%）", _xlfn.REGEXTEST(C202, "Kerberos Ticket Renewer Monitoring"), "Kerberosチケット更新プロセスの稼働状態監視", _xlfn.REGEXTEST(C202, "Load Balancer Monitoring"), "ロードバランサーの稼働状態監視", _xlfn.REGEXTEST(C202, "Navigator Audit Failure"), "Cloudera Navigator監査ログの失敗イベント", _xlfn.REGEXTEST(C202, "Schema Registry Server Monitoring"), "Schema Registry Serverの稼働状態監視", _xlfn.REGEXTEST(C202, "SRM Service Monitoring"), "SRMサービスの稼働状態監視", _xlfn.REGEXTEST(C202, "SRM Driver Monitoring"), "SRMドライバーの稼働状態監視", _xlfn.REGEXTEST(C202, "Loggin"), "ログ出力状態・設定監視", _xlfn.REGEXTEST(C202, "Server Monitoring"), "サーバーの稼働状態監視", _xlfn.REGEXTEST(C202, "Server Connection Count"), "サーバーの接続数（コネクション数）", _xlfn.REGEXTEST(C202, "Server Outstanding Requests"), "サーバーの未処理リクエスト数（滞留要求数）", _xlfn.REGEXTEST(C202, "Repository Status"), "リポジトリのステータス状態", _xlfn.REGEXTEST(C202, "Monitor Long Running Task"), "長時間実行タスク（ジョブ）の監視", _xlfn.REGEXTEST(C202, "Token requests per second"), "1秒あたりのトークンリクエスト数（要求レート）", _xlfn.REGEXTEST(C202, "Connection Model Score"), "接続モデルスコア（コネクション品質）", _xlfn.REGEXTEST(C202, "Queue swap"), "キューのスワップ発生状態", _xlfn.REGEXTEST(C202, "NiFi Node Monitoring"), "NiFiノードの稼働状態監視", _xlfn.REGEXTEST(C202, "Host Clock Offset"), "ホストのクロックオフセット（時刻同期のズレ）", _xlfn.REGEXTEST(C202, "Memory Overcommit Validation"), "メモリオーバーコミット設定の検証", _xlfn.REGEXTEST(C202, "Gateway Logging"), "ゲートウェイのログ出力設定", _xlfn.REGEXTEST(C202, "CPU Balance"), "CPU使用率の分散バランス状態", _xlfn.REGEXTEST(C202, "Disk Balance"), "ディスク使用量の分散バランス状態", _xlfn.REGEXTEST(C202, "Network Inbound Balance"), "ネットワークインバウンド（受信）の分散バランス状態", _xlfn.REGEXTEST(C202, "Network Outbound Balance"), "ネットワークアウトバウンド（送信）の分散バランス状態", _xlfn.REGEXTEST(C202, "Replica Count Balance"), "レプリカ数の分散バランス状態", _xlfn.REGEXTEST(C202, "Disk Capacity"), "ディスク総容量の限界・使用容量", _xlfn.REGEXTEST(C202, "CPU Capacity"), "CPU総処理能力の限界・使用量", _xlfn.REGEXTEST(C202, "Network Inbound Capacity"), "ネットワークインバウンド（受信）帯域の限界・使用量", _xlfn.REGEXTEST(C202, "Network Outbound Capacity"), "ネットワークアウトバウンド（送信）帯域の限界・使用量", _xlfn.REGEXTEST(C202, "Leader Replica Count Balance"), "リーダーレプリカ数の分散バランス状態", _xlfn.REGEXTEST(C202, "Host DNS Resolution Duration"), "ホストのDNS名前解決の所要時間", _xlfn.REGEXTEST(C202, "TLS Certificate Expiry"), "TLS証明書の有効期限切れ", _xlfn.REGEXTEST(C202, "Host Entropy"), "ホストのエントロピー（乱数生成能力）の不足", _xlfn.REGEXTEST(C202, "File Descriptor"), "プロセスのファイルディスクリプタ使用率", _xlfn.REGEXTEST(C202, "Unexpected Exits"), "プロセスの異常終了（予期せぬ停止）", _xlfn.REGEXTEST(C202, "Swap Memory Thresholds"), "プロセスのスワップメモリ使用量", _xlfn.REGEXTEST(C202, "Swap Memory Usage Rate"), "スワップメモリ使用量の変化率（増加速度）", _xlfn.REGEXTEST(C202, "Log Directory Free Space.*Absolute"), "ログディレクトリの空き容量（絶対値）", _xlfn.REGEXTEST(C202, "Log Directory Free Space.*Percentage"), "ログディレクトリの空き容量割合（%）", _xlfn.REGEXTEST(C202, "Heap Dump Directory Free Space.*Absolute"), "ヒープダンプディレクトリの空き容量（絶対値）", _xlfn.REGEXTEST(C202, "Heap Dump Directory Free Space.*Percentage"), "ヒープダンプディレクトリの空き容量割合（%）", _xlfn.REGEXTEST(C202, "Data Directory Free Space.*Absolute"), "データディレクトリの空き容量（絶対値）", _xlfn.REGEXTEST(C202, "Data Directory Free Space.*Percentage"), "データディレクトリの空き容量割合（%）", _xlfn.REGEXTEST(C202, "Transaction Log Directory Free Space.*Absolute"), "トランザクションログディレクトリの空き容量（絶対値）", _xlfn.REGEXTEST(C202, "Logging Threshold|Logger Threshold"), "ログ出力レベルの閾値設定", _xlfn.REGEXTEST(C202, "Enable.*Alerts"), "ヘルスアラートの有効化状態", _xlfn.REGEXTEST(C202, "Triggers"), "カスタムアラート条件（トリガー設定）", _xlfn.REGEXTEST(C202, "Healthy Kafka Broker"), "Kafka Brokerの健全ノード割合（稼働率）", _xlfn.REGEXTEST(C202, "Healthy Kafka Connect"), "Kafka Connectの健全ノード割合（稼働率）", _xlfn.REGEXTEST(C202, "Healthy KRaft Controller"), "KRaft Controllerの健全ノード割合（稼働率）", _xlfn.REGEXTEST(C202, "Healthy Knox IDBroker"), "Knox IDBrokerの健全ノード割合（稼働率）", _xlfn.REGEXTEST(C202, "Healthy Knox Gateway"), "Knox Gatewayの健全ノード割合（稼働率）", _xlfn.REGEXTEST(C202, "Healthy ZooKeeper Server"), "ZooKeeper Serverの健全ノード割合（稼働率）", _xlfn.REGEXTEST(C202, "Healthy NodeManager"), "NodeManagerの健全ノード割合（稼働率）", _xlfn.REGEXTEST(C202, "Maximum Latency"), "リクエストの最大レイテンシ（処理遅延）", _xlfn.REGEXTEST(C202, "Garbage Collection Duration"), "Javaのガベージコレクション（GC）の所要時間", _xlfn.REGEXTEST(C202, "Spool Directory Usage"), "Rangerプラグインのスプールディレクトリ使用量", _xlfn.REGEXTEST(C202, "Process Directory Free Space Monitoring Absolute"), "プロセスディレクトリの空き容量（絶対値)", _xlfn.REGEXTEST(C202, "Process Directory Free Space.*Percentage"), "プロセスディレクトリの空き容量割合（%）", _xlfn.REGEXTEST(C202, "Parcel Directory Free Space.*Absolute"), "パーセルディレクトリの空き容量（絶対値）", _xlfn.REGEXTEST(C202, "Parcel Directory Free Space.*Percentage"), "パーセルディレクトリの空き容量割合（%）", _xlfn.REGEXTEST(C202, "Host Network Frame Error Percentage"), "ホストのネットワークフレームエラー割合（%）", _xlfn.REGEXTEST(C202, "Network Interfaces Slow Link Modes"), "ホストのネットワークインターフェースの低速リンクモード検出", _xlfn.REGEXTEST(C202, "Host Memory Swapping"), "ホストのメモリのスワップ発生状態", TRUE, "要手動確認")</f>
        <v>ヘルスアラートの有効化状態</v>
      </c>
      <c r="H202" s="479" t="s">
        <v>790</v>
      </c>
    </row>
    <row r="203" spans="1:8" ht="33.6">
      <c r="A203" s="514"/>
      <c r="B203" s="473"/>
      <c r="C203" s="471" t="s">
        <v>736</v>
      </c>
      <c r="D203" s="471" t="s">
        <v>1016</v>
      </c>
      <c r="E203" s="471" t="s">
        <v>983</v>
      </c>
      <c r="F203" s="471"/>
      <c r="G203" s="471" t="str" cm="1">
        <f t="array" ref="G203">_xlfn.IFS(C203 = "", "", _xlfn.REGEXTEST(C203, "Service Metric Migrator Minimum Consecutive Successful Checks"), "サービスメトリック移行ツールの連続正常チェック最小回数", _xlfn.REGEXTEST(C203, "Rebalancing"), "リバランシング（データ再配置）状態", _xlfn.REGEXTEST(C203, "Temporary Dump Directory"), "一時ダンプディレクトリの監視", _xlfn.REGEXTEST(C203, "Safemode Extension"), "セーフモード延長状態", _xlfn.REGEXTEST(C203, "Client Idle"), "クライアントのアイドル（待機）状態", _xlfn.REGEXTEST(C203, "Available Space Policy Balanced"), "空き容量ポリシーの分散バランス状態", _xlfn.REGEXTEST(C203, "Filesystem Checkpoint Transaction"), "ファイルシステムのチェックポイントトランザクション", _xlfn.REGEXTEST(C203, "Blocks With Corrupt Replicas Monitoring"), "破損レプリカを持つブロックの監視", _xlfn.REGEXTEST(C203, "Missing Block Monitoring"), "消失（ミッシング）ブロックの監視", _xlfn.REGEXTEST(C203, "Under-replicated Block Monitoring"), "レプリカ数不足ブロックの監視", _xlfn.REGEXTEST(C203, "HDFS Free Space Monitoring"), "HDFSの空き容量監視", _xlfn.REGEXTEST(C203, "DataNode Monitoring"), "DataNodeの稼働状態監視", _xlfn.REGEXTEST(C203, "Rules to Extract Events from Log Files"), "ログファイルからのイベント抽出ルール設定", _xlfn.REGEXTEST(C203, "Free Space Monitoring$"), "空き容量監視（一般設定）", _xlfn.REGEXTEST(C203, "Transceivers Usage"), "トランシーバー使用量（データ転送スレッド数）", _xlfn.REGEXTEST(C203, "Volume Failures"), "ボリューム障害（ディスクエラー）数", _xlfn.REGEXTEST(C203, "Block Count"), "ブロック総数", _xlfn.REGEXTEST(C203, "Audit Failure"), "監査（オーディット）ログの失敗イベント", _xlfn.REGEXTEST(C203, "Web Metric Collection Duration"), "Webメトリック収集の所要時間", _xlfn.REGEXTEST(C203, "Pause Duration"), "一時停止（ポーズ）の所要時間", _xlfn.REGEXTEST(C203, "Fsync Latency"), "Fsync（ディスク同期）のレイテンシ", _xlfn.REGEXTEST(C203, "Free Space Monitoring Absolute"), "空き容量（絶対値）", _xlfn.REGEXTEST(C203, "Free Space Monitoring Percentage"), "空き容量割合（%）", _xlfn.REGEXTEST(C203, "Age Monitoring"), "経過時間の監視", _xlfn.REGEXTEST(C203, "Transactions Monitoring"), "トランザクション数の監視", _xlfn.REGEXTEST(C203, "RPC Latency"), "RPC（遠隔手続き呼出し）のレイテンシ", _xlfn.REGEXTEST(C203, "Directory Failures"), "ディレクトリ障害数", _xlfn.REGEXTEST(C203, "Out-Of-Sync JournalNodes"), "同期ズレが発生しているJournalNode数", _xlfn.REGEXTEST(C203, "Safemode Threshold Percentage"), "セーフモード解除閾値の割合（%）", _xlfn.REGEXTEST(C203, "Kerberos Ticket Renewer Monitoring"), "Kerberosチケット更新プロセスの稼働状態監視", _xlfn.REGEXTEST(C203, "Load Balancer Monitoring"), "ロードバランサーの稼働状態監視", _xlfn.REGEXTEST(C203, "Navigator Audit Failure"), "Cloudera Navigator監査ログの失敗イベント", _xlfn.REGEXTEST(C203, "Schema Registry Server Monitoring"), "Schema Registry Serverの稼働状態監視", _xlfn.REGEXTEST(C203, "SRM Service Monitoring"), "SRMサービスの稼働状態監視", _xlfn.REGEXTEST(C203, "SRM Driver Monitoring"), "SRMドライバーの稼働状態監視", _xlfn.REGEXTEST(C203, "Loggin"), "ログ出力状態・設定監視", _xlfn.REGEXTEST(C203, "Server Monitoring"), "サーバーの稼働状態監視", _xlfn.REGEXTEST(C203, "Server Connection Count"), "サーバーの接続数（コネクション数）", _xlfn.REGEXTEST(C203, "Server Outstanding Requests"), "サーバーの未処理リクエスト数（滞留要求数）", _xlfn.REGEXTEST(C203, "Repository Status"), "リポジトリのステータス状態", _xlfn.REGEXTEST(C203, "Monitor Long Running Task"), "長時間実行タスク（ジョブ）の監視", _xlfn.REGEXTEST(C203, "Token requests per second"), "1秒あたりのトークンリクエスト数（要求レート）", _xlfn.REGEXTEST(C203, "Connection Model Score"), "接続モデルスコア（コネクション品質）", _xlfn.REGEXTEST(C203, "Queue swap"), "キューのスワップ発生状態", _xlfn.REGEXTEST(C203, "NiFi Node Monitoring"), "NiFiノードの稼働状態監視", _xlfn.REGEXTEST(C203, "Host Clock Offset"), "ホストのクロックオフセット（時刻同期のズレ）", _xlfn.REGEXTEST(C203, "Memory Overcommit Validation"), "メモリオーバーコミット設定の検証", _xlfn.REGEXTEST(C203, "Gateway Logging"), "ゲートウェイのログ出力設定", _xlfn.REGEXTEST(C203, "CPU Balance"), "CPU使用率の分散バランス状態", _xlfn.REGEXTEST(C203, "Disk Balance"), "ディスク使用量の分散バランス状態", _xlfn.REGEXTEST(C203, "Network Inbound Balance"), "ネットワークインバウンド（受信）の分散バランス状態", _xlfn.REGEXTEST(C203, "Network Outbound Balance"), "ネットワークアウトバウンド（送信）の分散バランス状態", _xlfn.REGEXTEST(C203, "Replica Count Balance"), "レプリカ数の分散バランス状態", _xlfn.REGEXTEST(C203, "Disk Capacity"), "ディスク総容量の限界・使用容量", _xlfn.REGEXTEST(C203, "CPU Capacity"), "CPU総処理能力の限界・使用量", _xlfn.REGEXTEST(C203, "Network Inbound Capacity"), "ネットワークインバウンド（受信）帯域の限界・使用量", _xlfn.REGEXTEST(C203, "Network Outbound Capacity"), "ネットワークアウトバウンド（送信）帯域の限界・使用量", _xlfn.REGEXTEST(C203, "Leader Replica Count Balance"), "リーダーレプリカ数の分散バランス状態", _xlfn.REGEXTEST(C203, "Host DNS Resolution Duration"), "ホストのDNS名前解決の所要時間", _xlfn.REGEXTEST(C203, "TLS Certificate Expiry"), "TLS証明書の有効期限切れ", _xlfn.REGEXTEST(C203, "Host Entropy"), "ホストのエントロピー（乱数生成能力）の不足", _xlfn.REGEXTEST(C203, "File Descriptor"), "プロセスのファイルディスクリプタ使用率", _xlfn.REGEXTEST(C203, "Unexpected Exits"), "プロセスの異常終了（予期せぬ停止）", _xlfn.REGEXTEST(C203, "Swap Memory Thresholds"), "プロセスのスワップメモリ使用量", _xlfn.REGEXTEST(C203, "Swap Memory Usage Rate"), "スワップメモリ使用量の変化率（増加速度）", _xlfn.REGEXTEST(C203, "Log Directory Free Space.*Absolute"), "ログディレクトリの空き容量（絶対値）", _xlfn.REGEXTEST(C203, "Log Directory Free Space.*Percentage"), "ログディレクトリの空き容量割合（%）", _xlfn.REGEXTEST(C203, "Heap Dump Directory Free Space.*Absolute"), "ヒープダンプディレクトリの空き容量（絶対値）", _xlfn.REGEXTEST(C203, "Heap Dump Directory Free Space.*Percentage"), "ヒープダンプディレクトリの空き容量割合（%）", _xlfn.REGEXTEST(C203, "Data Directory Free Space.*Absolute"), "データディレクトリの空き容量（絶対値）", _xlfn.REGEXTEST(C203, "Data Directory Free Space.*Percentage"), "データディレクトリの空き容量割合（%）", _xlfn.REGEXTEST(C203, "Transaction Log Directory Free Space.*Absolute"), "トランザクションログディレクトリの空き容量（絶対値）", _xlfn.REGEXTEST(C203, "Logging Threshold|Logger Threshold"), "ログ出力レベルの閾値設定", _xlfn.REGEXTEST(C203, "Enable.*Alerts"), "ヘルスアラートの有効化状態", _xlfn.REGEXTEST(C203, "Triggers"), "カスタムアラート条件（トリガー設定）", _xlfn.REGEXTEST(C203, "Healthy Kafka Broker"), "Kafka Brokerの健全ノード割合（稼働率）", _xlfn.REGEXTEST(C203, "Healthy Kafka Connect"), "Kafka Connectの健全ノード割合（稼働率）", _xlfn.REGEXTEST(C203, "Healthy KRaft Controller"), "KRaft Controllerの健全ノード割合（稼働率）", _xlfn.REGEXTEST(C203, "Healthy Knox IDBroker"), "Knox IDBrokerの健全ノード割合（稼働率）", _xlfn.REGEXTEST(C203, "Healthy Knox Gateway"), "Knox Gatewayの健全ノード割合（稼働率）", _xlfn.REGEXTEST(C203, "Healthy ZooKeeper Server"), "ZooKeeper Serverの健全ノード割合（稼働率）", _xlfn.REGEXTEST(C203, "Healthy NodeManager"), "NodeManagerの健全ノード割合（稼働率）", _xlfn.REGEXTEST(C203, "Maximum Latency"), "リクエストの最大レイテンシ（処理遅延）", _xlfn.REGEXTEST(C203, "Garbage Collection Duration"), "Javaのガベージコレクション（GC）の所要時間", _xlfn.REGEXTEST(C203, "Spool Directory Usage"), "Rangerプラグインのスプールディレクトリ使用量", _xlfn.REGEXTEST(C203, "Process Directory Free Space Monitoring Absolute"), "プロセスディレクトリの空き容量（絶対値)", _xlfn.REGEXTEST(C203, "Process Directory Free Space.*Percentage"), "プロセスディレクトリの空き容量割合（%）", _xlfn.REGEXTEST(C203, "Parcel Directory Free Space.*Absolute"), "パーセルディレクトリの空き容量（絶対値）", _xlfn.REGEXTEST(C203, "Parcel Directory Free Space.*Percentage"), "パーセルディレクトリの空き容量割合（%）", _xlfn.REGEXTEST(C203, "Host Network Frame Error Percentage"), "ホストのネットワークフレームエラー割合（%）", _xlfn.REGEXTEST(C203, "Network Interfaces Slow Link Modes"), "ホストのネットワークインターフェースの低速リンクモード検出", _xlfn.REGEXTEST(C203, "Host Memory Swapping"), "ホストのメモリのスワップ発生状態", TRUE, "要手動確認")</f>
        <v>プロセスのファイルディスクリプタ使用率</v>
      </c>
      <c r="H203" s="479" t="s">
        <v>933</v>
      </c>
    </row>
    <row r="204" spans="1:8" ht="33.6">
      <c r="A204" s="514"/>
      <c r="B204" s="473"/>
      <c r="C204" s="471" t="s">
        <v>741</v>
      </c>
      <c r="D204" s="471" t="s">
        <v>742</v>
      </c>
      <c r="E204" s="471" t="s">
        <v>983</v>
      </c>
      <c r="F204" s="471"/>
      <c r="G204" s="471" t="str" cm="1">
        <f t="array" ref="G204">_xlfn.IFS(C204 = "", "", _xlfn.REGEXTEST(C204, "Service Metric Migrator Minimum Consecutive Successful Checks"), "サービスメトリック移行ツールの連続正常チェック最小回数", _xlfn.REGEXTEST(C204, "Rebalancing"), "リバランシング（データ再配置）状態", _xlfn.REGEXTEST(C204, "Temporary Dump Directory"), "一時ダンプディレクトリの監視", _xlfn.REGEXTEST(C204, "Safemode Extension"), "セーフモード延長状態", _xlfn.REGEXTEST(C204, "Client Idle"), "クライアントのアイドル（待機）状態", _xlfn.REGEXTEST(C204, "Available Space Policy Balanced"), "空き容量ポリシーの分散バランス状態", _xlfn.REGEXTEST(C204, "Filesystem Checkpoint Transaction"), "ファイルシステムのチェックポイントトランザクション", _xlfn.REGEXTEST(C204, "Blocks With Corrupt Replicas Monitoring"), "破損レプリカを持つブロックの監視", _xlfn.REGEXTEST(C204, "Missing Block Monitoring"), "消失（ミッシング）ブロックの監視", _xlfn.REGEXTEST(C204, "Under-replicated Block Monitoring"), "レプリカ数不足ブロックの監視", _xlfn.REGEXTEST(C204, "HDFS Free Space Monitoring"), "HDFSの空き容量監視", _xlfn.REGEXTEST(C204, "DataNode Monitoring"), "DataNodeの稼働状態監視", _xlfn.REGEXTEST(C204, "Rules to Extract Events from Log Files"), "ログファイルからのイベント抽出ルール設定", _xlfn.REGEXTEST(C204, "Free Space Monitoring$"), "空き容量監視（一般設定）", _xlfn.REGEXTEST(C204, "Transceivers Usage"), "トランシーバー使用量（データ転送スレッド数）", _xlfn.REGEXTEST(C204, "Volume Failures"), "ボリューム障害（ディスクエラー）数", _xlfn.REGEXTEST(C204, "Block Count"), "ブロック総数", _xlfn.REGEXTEST(C204, "Audit Failure"), "監査（オーディット）ログの失敗イベント", _xlfn.REGEXTEST(C204, "Web Metric Collection Duration"), "Webメトリック収集の所要時間", _xlfn.REGEXTEST(C204, "Pause Duration"), "一時停止（ポーズ）の所要時間", _xlfn.REGEXTEST(C204, "Fsync Latency"), "Fsync（ディスク同期）のレイテンシ", _xlfn.REGEXTEST(C204, "Free Space Monitoring Absolute"), "空き容量（絶対値）", _xlfn.REGEXTEST(C204, "Free Space Monitoring Percentage"), "空き容量割合（%）", _xlfn.REGEXTEST(C204, "Age Monitoring"), "経過時間の監視", _xlfn.REGEXTEST(C204, "Transactions Monitoring"), "トランザクション数の監視", _xlfn.REGEXTEST(C204, "RPC Latency"), "RPC（遠隔手続き呼出し）のレイテンシ", _xlfn.REGEXTEST(C204, "Directory Failures"), "ディレクトリ障害数", _xlfn.REGEXTEST(C204, "Out-Of-Sync JournalNodes"), "同期ズレが発生しているJournalNode数", _xlfn.REGEXTEST(C204, "Safemode Threshold Percentage"), "セーフモード解除閾値の割合（%）", _xlfn.REGEXTEST(C204, "Kerberos Ticket Renewer Monitoring"), "Kerberosチケット更新プロセスの稼働状態監視", _xlfn.REGEXTEST(C204, "Load Balancer Monitoring"), "ロードバランサーの稼働状態監視", _xlfn.REGEXTEST(C204, "Navigator Audit Failure"), "Cloudera Navigator監査ログの失敗イベント", _xlfn.REGEXTEST(C204, "Schema Registry Server Monitoring"), "Schema Registry Serverの稼働状態監視", _xlfn.REGEXTEST(C204, "SRM Service Monitoring"), "SRMサービスの稼働状態監視", _xlfn.REGEXTEST(C204, "SRM Driver Monitoring"), "SRMドライバーの稼働状態監視", _xlfn.REGEXTEST(C204, "Loggin"), "ログ出力状態・設定監視", _xlfn.REGEXTEST(C204, "Server Monitoring"), "サーバーの稼働状態監視", _xlfn.REGEXTEST(C204, "Server Connection Count"), "サーバーの接続数（コネクション数）", _xlfn.REGEXTEST(C204, "Server Outstanding Requests"), "サーバーの未処理リクエスト数（滞留要求数）", _xlfn.REGEXTEST(C204, "Repository Status"), "リポジトリのステータス状態", _xlfn.REGEXTEST(C204, "Monitor Long Running Task"), "長時間実行タスク（ジョブ）の監視", _xlfn.REGEXTEST(C204, "Token requests per second"), "1秒あたりのトークンリクエスト数（要求レート）", _xlfn.REGEXTEST(C204, "Connection Model Score"), "接続モデルスコア（コネクション品質）", _xlfn.REGEXTEST(C204, "Queue swap"), "キューのスワップ発生状態", _xlfn.REGEXTEST(C204, "NiFi Node Monitoring"), "NiFiノードの稼働状態監視", _xlfn.REGEXTEST(C204, "Host Clock Offset"), "ホストのクロックオフセット（時刻同期のズレ）", _xlfn.REGEXTEST(C204, "Memory Overcommit Validation"), "メモリオーバーコミット設定の検証", _xlfn.REGEXTEST(C204, "Gateway Logging"), "ゲートウェイのログ出力設定", _xlfn.REGEXTEST(C204, "CPU Balance"), "CPU使用率の分散バランス状態", _xlfn.REGEXTEST(C204, "Disk Balance"), "ディスク使用量の分散バランス状態", _xlfn.REGEXTEST(C204, "Network Inbound Balance"), "ネットワークインバウンド（受信）の分散バランス状態", _xlfn.REGEXTEST(C204, "Network Outbound Balance"), "ネットワークアウトバウンド（送信）の分散バランス状態", _xlfn.REGEXTEST(C204, "Replica Count Balance"), "レプリカ数の分散バランス状態", _xlfn.REGEXTEST(C204, "Disk Capacity"), "ディスク総容量の限界・使用容量", _xlfn.REGEXTEST(C204, "CPU Capacity"), "CPU総処理能力の限界・使用量", _xlfn.REGEXTEST(C204, "Network Inbound Capacity"), "ネットワークインバウンド（受信）帯域の限界・使用量", _xlfn.REGEXTEST(C204, "Network Outbound Capacity"), "ネットワークアウトバウンド（送信）帯域の限界・使用量", _xlfn.REGEXTEST(C204, "Leader Replica Count Balance"), "リーダーレプリカ数の分散バランス状態", _xlfn.REGEXTEST(C204, "Host DNS Resolution Duration"), "ホストのDNS名前解決の所要時間", _xlfn.REGEXTEST(C204, "TLS Certificate Expiry"), "TLS証明書の有効期限切れ", _xlfn.REGEXTEST(C204, "Host Entropy"), "ホストのエントロピー（乱数生成能力）の不足", _xlfn.REGEXTEST(C204, "File Descriptor"), "プロセスのファイルディスクリプタ使用率", _xlfn.REGEXTEST(C204, "Unexpected Exits"), "プロセスの異常終了（予期せぬ停止）", _xlfn.REGEXTEST(C204, "Swap Memory Thresholds"), "プロセスのスワップメモリ使用量", _xlfn.REGEXTEST(C204, "Swap Memory Usage Rate"), "スワップメモリ使用量の変化率（増加速度）", _xlfn.REGEXTEST(C204, "Log Directory Free Space.*Absolute"), "ログディレクトリの空き容量（絶対値）", _xlfn.REGEXTEST(C204, "Log Directory Free Space.*Percentage"), "ログディレクトリの空き容量割合（%）", _xlfn.REGEXTEST(C204, "Heap Dump Directory Free Space.*Absolute"), "ヒープダンプディレクトリの空き容量（絶対値）", _xlfn.REGEXTEST(C204, "Heap Dump Directory Free Space.*Percentage"), "ヒープダンプディレクトリの空き容量割合（%）", _xlfn.REGEXTEST(C204, "Data Directory Free Space.*Absolute"), "データディレクトリの空き容量（絶対値）", _xlfn.REGEXTEST(C204, "Data Directory Free Space.*Percentage"), "データディレクトリの空き容量割合（%）", _xlfn.REGEXTEST(C204, "Transaction Log Directory Free Space.*Absolute"), "トランザクションログディレクトリの空き容量（絶対値）", _xlfn.REGEXTEST(C204, "Logging Threshold|Logger Threshold"), "ログ出力レベルの閾値設定", _xlfn.REGEXTEST(C204, "Enable.*Alerts"), "ヘルスアラートの有効化状態", _xlfn.REGEXTEST(C204, "Triggers"), "カスタムアラート条件（トリガー設定）", _xlfn.REGEXTEST(C204, "Healthy Kafka Broker"), "Kafka Brokerの健全ノード割合（稼働率）", _xlfn.REGEXTEST(C204, "Healthy Kafka Connect"), "Kafka Connectの健全ノード割合（稼働率）", _xlfn.REGEXTEST(C204, "Healthy KRaft Controller"), "KRaft Controllerの健全ノード割合（稼働率）", _xlfn.REGEXTEST(C204, "Healthy Knox IDBroker"), "Knox IDBrokerの健全ノード割合（稼働率）", _xlfn.REGEXTEST(C204, "Healthy Knox Gateway"), "Knox Gatewayの健全ノード割合（稼働率）", _xlfn.REGEXTEST(C204, "Healthy ZooKeeper Server"), "ZooKeeper Serverの健全ノード割合（稼働率）", _xlfn.REGEXTEST(C204, "Healthy NodeManager"), "NodeManagerの健全ノード割合（稼働率）", _xlfn.REGEXTEST(C204, "Maximum Latency"), "リクエストの最大レイテンシ（処理遅延）", _xlfn.REGEXTEST(C204, "Garbage Collection Duration"), "Javaのガベージコレクション（GC）の所要時間", _xlfn.REGEXTEST(C204, "Spool Directory Usage"), "Rangerプラグインのスプールディレクトリ使用量", _xlfn.REGEXTEST(C204, "Process Directory Free Space Monitoring Absolute"), "プロセスディレクトリの空き容量（絶対値)", _xlfn.REGEXTEST(C204, "Process Directory Free Space.*Percentage"), "プロセスディレクトリの空き容量割合（%）", _xlfn.REGEXTEST(C204, "Parcel Directory Free Space.*Absolute"), "パーセルディレクトリの空き容量（絶対値）", _xlfn.REGEXTEST(C204, "Parcel Directory Free Space.*Percentage"), "パーセルディレクトリの空き容量割合（%）", _xlfn.REGEXTEST(C204, "Host Network Frame Error Percentage"), "ホストのネットワークフレームエラー割合（%）", _xlfn.REGEXTEST(C204, "Network Interfaces Slow Link Modes"), "ホストのネットワークインターフェースの低速リンクモード検出", _xlfn.REGEXTEST(C204, "Host Memory Swapping"), "ホストのメモリのスワップ発生状態", TRUE, "要手動確認")</f>
        <v>空き容量（絶対値）</v>
      </c>
      <c r="H204" s="479" t="s">
        <v>935</v>
      </c>
    </row>
    <row r="205" spans="1:8" ht="33.6">
      <c r="A205" s="514"/>
      <c r="B205" s="473"/>
      <c r="C205" s="471" t="s">
        <v>746</v>
      </c>
      <c r="D205" s="471" t="s">
        <v>747</v>
      </c>
      <c r="E205" s="471" t="s">
        <v>983</v>
      </c>
      <c r="F205" s="471"/>
      <c r="G205" s="471" t="str" cm="1">
        <f t="array" ref="G205">_xlfn.IFS(C205 = "", "", _xlfn.REGEXTEST(C205, "Service Metric Migrator Minimum Consecutive Successful Checks"), "サービスメトリック移行ツールの連続正常チェック最小回数", _xlfn.REGEXTEST(C205, "Rebalancing"), "リバランシング（データ再配置）状態", _xlfn.REGEXTEST(C205, "Temporary Dump Directory"), "一時ダンプディレクトリの監視", _xlfn.REGEXTEST(C205, "Safemode Extension"), "セーフモード延長状態", _xlfn.REGEXTEST(C205, "Client Idle"), "クライアントのアイドル（待機）状態", _xlfn.REGEXTEST(C205, "Available Space Policy Balanced"), "空き容量ポリシーの分散バランス状態", _xlfn.REGEXTEST(C205, "Filesystem Checkpoint Transaction"), "ファイルシステムのチェックポイントトランザクション", _xlfn.REGEXTEST(C205, "Blocks With Corrupt Replicas Monitoring"), "破損レプリカを持つブロックの監視", _xlfn.REGEXTEST(C205, "Missing Block Monitoring"), "消失（ミッシング）ブロックの監視", _xlfn.REGEXTEST(C205, "Under-replicated Block Monitoring"), "レプリカ数不足ブロックの監視", _xlfn.REGEXTEST(C205, "HDFS Free Space Monitoring"), "HDFSの空き容量監視", _xlfn.REGEXTEST(C205, "DataNode Monitoring"), "DataNodeの稼働状態監視", _xlfn.REGEXTEST(C205, "Rules to Extract Events from Log Files"), "ログファイルからのイベント抽出ルール設定", _xlfn.REGEXTEST(C205, "Free Space Monitoring$"), "空き容量監視（一般設定）", _xlfn.REGEXTEST(C205, "Transceivers Usage"), "トランシーバー使用量（データ転送スレッド数）", _xlfn.REGEXTEST(C205, "Volume Failures"), "ボリューム障害（ディスクエラー）数", _xlfn.REGEXTEST(C205, "Block Count"), "ブロック総数", _xlfn.REGEXTEST(C205, "Audit Failure"), "監査（オーディット）ログの失敗イベント", _xlfn.REGEXTEST(C205, "Web Metric Collection Duration"), "Webメトリック収集の所要時間", _xlfn.REGEXTEST(C205, "Pause Duration"), "一時停止（ポーズ）の所要時間", _xlfn.REGEXTEST(C205, "Fsync Latency"), "Fsync（ディスク同期）のレイテンシ", _xlfn.REGEXTEST(C205, "Free Space Monitoring Absolute"), "空き容量（絶対値）", _xlfn.REGEXTEST(C205, "Free Space Monitoring Percentage"), "空き容量割合（%）", _xlfn.REGEXTEST(C205, "Age Monitoring"), "経過時間の監視", _xlfn.REGEXTEST(C205, "Transactions Monitoring"), "トランザクション数の監視", _xlfn.REGEXTEST(C205, "RPC Latency"), "RPC（遠隔手続き呼出し）のレイテンシ", _xlfn.REGEXTEST(C205, "Directory Failures"), "ディレクトリ障害数", _xlfn.REGEXTEST(C205, "Out-Of-Sync JournalNodes"), "同期ズレが発生しているJournalNode数", _xlfn.REGEXTEST(C205, "Safemode Threshold Percentage"), "セーフモード解除閾値の割合（%）", _xlfn.REGEXTEST(C205, "Kerberos Ticket Renewer Monitoring"), "Kerberosチケット更新プロセスの稼働状態監視", _xlfn.REGEXTEST(C205, "Load Balancer Monitoring"), "ロードバランサーの稼働状態監視", _xlfn.REGEXTEST(C205, "Navigator Audit Failure"), "Cloudera Navigator監査ログの失敗イベント", _xlfn.REGEXTEST(C205, "Schema Registry Server Monitoring"), "Schema Registry Serverの稼働状態監視", _xlfn.REGEXTEST(C205, "SRM Service Monitoring"), "SRMサービスの稼働状態監視", _xlfn.REGEXTEST(C205, "SRM Driver Monitoring"), "SRMドライバーの稼働状態監視", _xlfn.REGEXTEST(C205, "Loggin"), "ログ出力状態・設定監視", _xlfn.REGEXTEST(C205, "Server Monitoring"), "サーバーの稼働状態監視", _xlfn.REGEXTEST(C205, "Server Connection Count"), "サーバーの接続数（コネクション数）", _xlfn.REGEXTEST(C205, "Server Outstanding Requests"), "サーバーの未処理リクエスト数（滞留要求数）", _xlfn.REGEXTEST(C205, "Repository Status"), "リポジトリのステータス状態", _xlfn.REGEXTEST(C205, "Monitor Long Running Task"), "長時間実行タスク（ジョブ）の監視", _xlfn.REGEXTEST(C205, "Token requests per second"), "1秒あたりのトークンリクエスト数（要求レート）", _xlfn.REGEXTEST(C205, "Connection Model Score"), "接続モデルスコア（コネクション品質）", _xlfn.REGEXTEST(C205, "Queue swap"), "キューのスワップ発生状態", _xlfn.REGEXTEST(C205, "NiFi Node Monitoring"), "NiFiノードの稼働状態監視", _xlfn.REGEXTEST(C205, "Host Clock Offset"), "ホストのクロックオフセット（時刻同期のズレ）", _xlfn.REGEXTEST(C205, "Memory Overcommit Validation"), "メモリオーバーコミット設定の検証", _xlfn.REGEXTEST(C205, "Gateway Logging"), "ゲートウェイのログ出力設定", _xlfn.REGEXTEST(C205, "CPU Balance"), "CPU使用率の分散バランス状態", _xlfn.REGEXTEST(C205, "Disk Balance"), "ディスク使用量の分散バランス状態", _xlfn.REGEXTEST(C205, "Network Inbound Balance"), "ネットワークインバウンド（受信）の分散バランス状態", _xlfn.REGEXTEST(C205, "Network Outbound Balance"), "ネットワークアウトバウンド（送信）の分散バランス状態", _xlfn.REGEXTEST(C205, "Replica Count Balance"), "レプリカ数の分散バランス状態", _xlfn.REGEXTEST(C205, "Disk Capacity"), "ディスク総容量の限界・使用容量", _xlfn.REGEXTEST(C205, "CPU Capacity"), "CPU総処理能力の限界・使用量", _xlfn.REGEXTEST(C205, "Network Inbound Capacity"), "ネットワークインバウンド（受信）帯域の限界・使用量", _xlfn.REGEXTEST(C205, "Network Outbound Capacity"), "ネットワークアウトバウンド（送信）帯域の限界・使用量", _xlfn.REGEXTEST(C205, "Leader Replica Count Balance"), "リーダーレプリカ数の分散バランス状態", _xlfn.REGEXTEST(C205, "Host DNS Resolution Duration"), "ホストのDNS名前解決の所要時間", _xlfn.REGEXTEST(C205, "TLS Certificate Expiry"), "TLS証明書の有効期限切れ", _xlfn.REGEXTEST(C205, "Host Entropy"), "ホストのエントロピー（乱数生成能力）の不足", _xlfn.REGEXTEST(C205, "File Descriptor"), "プロセスのファイルディスクリプタ使用率", _xlfn.REGEXTEST(C205, "Unexpected Exits"), "プロセスの異常終了（予期せぬ停止）", _xlfn.REGEXTEST(C205, "Swap Memory Thresholds"), "プロセスのスワップメモリ使用量", _xlfn.REGEXTEST(C205, "Swap Memory Usage Rate"), "スワップメモリ使用量の変化率（増加速度）", _xlfn.REGEXTEST(C205, "Log Directory Free Space.*Absolute"), "ログディレクトリの空き容量（絶対値）", _xlfn.REGEXTEST(C205, "Log Directory Free Space.*Percentage"), "ログディレクトリの空き容量割合（%）", _xlfn.REGEXTEST(C205, "Heap Dump Directory Free Space.*Absolute"), "ヒープダンプディレクトリの空き容量（絶対値）", _xlfn.REGEXTEST(C205, "Heap Dump Directory Free Space.*Percentage"), "ヒープダンプディレクトリの空き容量割合（%）", _xlfn.REGEXTEST(C205, "Data Directory Free Space.*Absolute"), "データディレクトリの空き容量（絶対値）", _xlfn.REGEXTEST(C205, "Data Directory Free Space.*Percentage"), "データディレクトリの空き容量割合（%）", _xlfn.REGEXTEST(C205, "Transaction Log Directory Free Space.*Absolute"), "トランザクションログディレクトリの空き容量（絶対値）", _xlfn.REGEXTEST(C205, "Logging Threshold|Logger Threshold"), "ログ出力レベルの閾値設定", _xlfn.REGEXTEST(C205, "Enable.*Alerts"), "ヘルスアラートの有効化状態", _xlfn.REGEXTEST(C205, "Triggers"), "カスタムアラート条件（トリガー設定）", _xlfn.REGEXTEST(C205, "Healthy Kafka Broker"), "Kafka Brokerの健全ノード割合（稼働率）", _xlfn.REGEXTEST(C205, "Healthy Kafka Connect"), "Kafka Connectの健全ノード割合（稼働率）", _xlfn.REGEXTEST(C205, "Healthy KRaft Controller"), "KRaft Controllerの健全ノード割合（稼働率）", _xlfn.REGEXTEST(C205, "Healthy Knox IDBroker"), "Knox IDBrokerの健全ノード割合（稼働率）", _xlfn.REGEXTEST(C205, "Healthy Knox Gateway"), "Knox Gatewayの健全ノード割合（稼働率）", _xlfn.REGEXTEST(C205, "Healthy ZooKeeper Server"), "ZooKeeper Serverの健全ノード割合（稼働率）", _xlfn.REGEXTEST(C205, "Healthy NodeManager"), "NodeManagerの健全ノード割合（稼働率）", _xlfn.REGEXTEST(C205, "Maximum Latency"), "リクエストの最大レイテンシ（処理遅延）", _xlfn.REGEXTEST(C205, "Garbage Collection Duration"), "Javaのガベージコレクション（GC）の所要時間", _xlfn.REGEXTEST(C205, "Spool Directory Usage"), "Rangerプラグインのスプールディレクトリ使用量", _xlfn.REGEXTEST(C205, "Process Directory Free Space Monitoring Absolute"), "プロセスディレクトリの空き容量（絶対値)", _xlfn.REGEXTEST(C205, "Process Directory Free Space.*Percentage"), "プロセスディレクトリの空き容量割合（%）", _xlfn.REGEXTEST(C205, "Parcel Directory Free Space.*Absolute"), "パーセルディレクトリの空き容量（絶対値）", _xlfn.REGEXTEST(C205, "Parcel Directory Free Space.*Percentage"), "パーセルディレクトリの空き容量割合（%）", _xlfn.REGEXTEST(C205, "Host Network Frame Error Percentage"), "ホストのネットワークフレームエラー割合（%）", _xlfn.REGEXTEST(C205, "Network Interfaces Slow Link Modes"), "ホストのネットワークインターフェースの低速リンクモード検出", _xlfn.REGEXTEST(C205, "Host Memory Swapping"), "ホストのメモリのスワップ発生状態", TRUE, "要手動確認")</f>
        <v>空き容量割合（%）</v>
      </c>
      <c r="H205" s="479" t="s">
        <v>683</v>
      </c>
    </row>
    <row r="206" spans="1:8" ht="33.6">
      <c r="A206" s="514"/>
      <c r="B206" s="473"/>
      <c r="C206" s="471" t="s">
        <v>749</v>
      </c>
      <c r="D206" s="471" t="s">
        <v>750</v>
      </c>
      <c r="E206" s="471" t="s">
        <v>983</v>
      </c>
      <c r="F206" s="471"/>
      <c r="G206" s="471" t="str" cm="1">
        <f t="array" ref="G206">_xlfn.IFS(C206 = "", "", _xlfn.REGEXTEST(C206, "Service Metric Migrator Minimum Consecutive Successful Checks"), "サービスメトリック移行ツールの連続正常チェック最小回数", _xlfn.REGEXTEST(C206, "Rebalancing"), "リバランシング（データ再配置）状態", _xlfn.REGEXTEST(C206, "Temporary Dump Directory"), "一時ダンプディレクトリの監視", _xlfn.REGEXTEST(C206, "Safemode Extension"), "セーフモード延長状態", _xlfn.REGEXTEST(C206, "Client Idle"), "クライアントのアイドル（待機）状態", _xlfn.REGEXTEST(C206, "Available Space Policy Balanced"), "空き容量ポリシーの分散バランス状態", _xlfn.REGEXTEST(C206, "Filesystem Checkpoint Transaction"), "ファイルシステムのチェックポイントトランザクション", _xlfn.REGEXTEST(C206, "Blocks With Corrupt Replicas Monitoring"), "破損レプリカを持つブロックの監視", _xlfn.REGEXTEST(C206, "Missing Block Monitoring"), "消失（ミッシング）ブロックの監視", _xlfn.REGEXTEST(C206, "Under-replicated Block Monitoring"), "レプリカ数不足ブロックの監視", _xlfn.REGEXTEST(C206, "HDFS Free Space Monitoring"), "HDFSの空き容量監視", _xlfn.REGEXTEST(C206, "DataNode Monitoring"), "DataNodeの稼働状態監視", _xlfn.REGEXTEST(C206, "Rules to Extract Events from Log Files"), "ログファイルからのイベント抽出ルール設定", _xlfn.REGEXTEST(C206, "Free Space Monitoring$"), "空き容量監視（一般設定）", _xlfn.REGEXTEST(C206, "Transceivers Usage"), "トランシーバー使用量（データ転送スレッド数）", _xlfn.REGEXTEST(C206, "Volume Failures"), "ボリューム障害（ディスクエラー）数", _xlfn.REGEXTEST(C206, "Block Count"), "ブロック総数", _xlfn.REGEXTEST(C206, "Audit Failure"), "監査（オーディット）ログの失敗イベント", _xlfn.REGEXTEST(C206, "Web Metric Collection Duration"), "Webメトリック収集の所要時間", _xlfn.REGEXTEST(C206, "Pause Duration"), "一時停止（ポーズ）の所要時間", _xlfn.REGEXTEST(C206, "Fsync Latency"), "Fsync（ディスク同期）のレイテンシ", _xlfn.REGEXTEST(C206, "Free Space Monitoring Absolute"), "空き容量（絶対値）", _xlfn.REGEXTEST(C206, "Free Space Monitoring Percentage"), "空き容量割合（%）", _xlfn.REGEXTEST(C206, "Age Monitoring"), "経過時間の監視", _xlfn.REGEXTEST(C206, "Transactions Monitoring"), "トランザクション数の監視", _xlfn.REGEXTEST(C206, "RPC Latency"), "RPC（遠隔手続き呼出し）のレイテンシ", _xlfn.REGEXTEST(C206, "Directory Failures"), "ディレクトリ障害数", _xlfn.REGEXTEST(C206, "Out-Of-Sync JournalNodes"), "同期ズレが発生しているJournalNode数", _xlfn.REGEXTEST(C206, "Safemode Threshold Percentage"), "セーフモード解除閾値の割合（%）", _xlfn.REGEXTEST(C206, "Kerberos Ticket Renewer Monitoring"), "Kerberosチケット更新プロセスの稼働状態監視", _xlfn.REGEXTEST(C206, "Load Balancer Monitoring"), "ロードバランサーの稼働状態監視", _xlfn.REGEXTEST(C206, "Navigator Audit Failure"), "Cloudera Navigator監査ログの失敗イベント", _xlfn.REGEXTEST(C206, "Schema Registry Server Monitoring"), "Schema Registry Serverの稼働状態監視", _xlfn.REGEXTEST(C206, "SRM Service Monitoring"), "SRMサービスの稼働状態監視", _xlfn.REGEXTEST(C206, "SRM Driver Monitoring"), "SRMドライバーの稼働状態監視", _xlfn.REGEXTEST(C206, "Loggin"), "ログ出力状態・設定監視", _xlfn.REGEXTEST(C206, "Server Monitoring"), "サーバーの稼働状態監視", _xlfn.REGEXTEST(C206, "Server Connection Count"), "サーバーの接続数（コネクション数）", _xlfn.REGEXTEST(C206, "Server Outstanding Requests"), "サーバーの未処理リクエスト数（滞留要求数）", _xlfn.REGEXTEST(C206, "Repository Status"), "リポジトリのステータス状態", _xlfn.REGEXTEST(C206, "Monitor Long Running Task"), "長時間実行タスク（ジョブ）の監視", _xlfn.REGEXTEST(C206, "Token requests per second"), "1秒あたりのトークンリクエスト数（要求レート）", _xlfn.REGEXTEST(C206, "Connection Model Score"), "接続モデルスコア（コネクション品質）", _xlfn.REGEXTEST(C206, "Queue swap"), "キューのスワップ発生状態", _xlfn.REGEXTEST(C206, "NiFi Node Monitoring"), "NiFiノードの稼働状態監視", _xlfn.REGEXTEST(C206, "Host Clock Offset"), "ホストのクロックオフセット（時刻同期のズレ）", _xlfn.REGEXTEST(C206, "Memory Overcommit Validation"), "メモリオーバーコミット設定の検証", _xlfn.REGEXTEST(C206, "Gateway Logging"), "ゲートウェイのログ出力設定", _xlfn.REGEXTEST(C206, "CPU Balance"), "CPU使用率の分散バランス状態", _xlfn.REGEXTEST(C206, "Disk Balance"), "ディスク使用量の分散バランス状態", _xlfn.REGEXTEST(C206, "Network Inbound Balance"), "ネットワークインバウンド（受信）の分散バランス状態", _xlfn.REGEXTEST(C206, "Network Outbound Balance"), "ネットワークアウトバウンド（送信）の分散バランス状態", _xlfn.REGEXTEST(C206, "Replica Count Balance"), "レプリカ数の分散バランス状態", _xlfn.REGEXTEST(C206, "Disk Capacity"), "ディスク総容量の限界・使用容量", _xlfn.REGEXTEST(C206, "CPU Capacity"), "CPU総処理能力の限界・使用量", _xlfn.REGEXTEST(C206, "Network Inbound Capacity"), "ネットワークインバウンド（受信）帯域の限界・使用量", _xlfn.REGEXTEST(C206, "Network Outbound Capacity"), "ネットワークアウトバウンド（送信）帯域の限界・使用量", _xlfn.REGEXTEST(C206, "Leader Replica Count Balance"), "リーダーレプリカ数の分散バランス状態", _xlfn.REGEXTEST(C206, "Host DNS Resolution Duration"), "ホストのDNS名前解決の所要時間", _xlfn.REGEXTEST(C206, "TLS Certificate Expiry"), "TLS証明書の有効期限切れ", _xlfn.REGEXTEST(C206, "Host Entropy"), "ホストのエントロピー（乱数生成能力）の不足", _xlfn.REGEXTEST(C206, "File Descriptor"), "プロセスのファイルディスクリプタ使用率", _xlfn.REGEXTEST(C206, "Unexpected Exits"), "プロセスの異常終了（予期せぬ停止）", _xlfn.REGEXTEST(C206, "Swap Memory Thresholds"), "プロセスのスワップメモリ使用量", _xlfn.REGEXTEST(C206, "Swap Memory Usage Rate"), "スワップメモリ使用量の変化率（増加速度）", _xlfn.REGEXTEST(C206, "Log Directory Free Space.*Absolute"), "ログディレクトリの空き容量（絶対値）", _xlfn.REGEXTEST(C206, "Log Directory Free Space.*Percentage"), "ログディレクトリの空き容量割合（%）", _xlfn.REGEXTEST(C206, "Heap Dump Directory Free Space.*Absolute"), "ヒープダンプディレクトリの空き容量（絶対値）", _xlfn.REGEXTEST(C206, "Heap Dump Directory Free Space.*Percentage"), "ヒープダンプディレクトリの空き容量割合（%）", _xlfn.REGEXTEST(C206, "Data Directory Free Space.*Absolute"), "データディレクトリの空き容量（絶対値）", _xlfn.REGEXTEST(C206, "Data Directory Free Space.*Percentage"), "データディレクトリの空き容量割合（%）", _xlfn.REGEXTEST(C206, "Transaction Log Directory Free Space.*Absolute"), "トランザクションログディレクトリの空き容量（絶対値）", _xlfn.REGEXTEST(C206, "Logging Threshold|Logger Threshold"), "ログ出力レベルの閾値設定", _xlfn.REGEXTEST(C206, "Enable.*Alerts"), "ヘルスアラートの有効化状態", _xlfn.REGEXTEST(C206, "Triggers"), "カスタムアラート条件（トリガー設定）", _xlfn.REGEXTEST(C206, "Healthy Kafka Broker"), "Kafka Brokerの健全ノード割合（稼働率）", _xlfn.REGEXTEST(C206, "Healthy Kafka Connect"), "Kafka Connectの健全ノード割合（稼働率）", _xlfn.REGEXTEST(C206, "Healthy KRaft Controller"), "KRaft Controllerの健全ノード割合（稼働率）", _xlfn.REGEXTEST(C206, "Healthy Knox IDBroker"), "Knox IDBrokerの健全ノード割合（稼働率）", _xlfn.REGEXTEST(C206, "Healthy Knox Gateway"), "Knox Gatewayの健全ノード割合（稼働率）", _xlfn.REGEXTEST(C206, "Healthy ZooKeeper Server"), "ZooKeeper Serverの健全ノード割合（稼働率）", _xlfn.REGEXTEST(C206, "Healthy NodeManager"), "NodeManagerの健全ノード割合（稼働率）", _xlfn.REGEXTEST(C206, "Maximum Latency"), "リクエストの最大レイテンシ（処理遅延）", _xlfn.REGEXTEST(C206, "Garbage Collection Duration"), "Javaのガベージコレクション（GC）の所要時間", _xlfn.REGEXTEST(C206, "Spool Directory Usage"), "Rangerプラグインのスプールディレクトリ使用量", _xlfn.REGEXTEST(C206, "Process Directory Free Space Monitoring Absolute"), "プロセスディレクトリの空き容量（絶対値)", _xlfn.REGEXTEST(C206, "Process Directory Free Space.*Percentage"), "プロセスディレクトリの空き容量割合（%）", _xlfn.REGEXTEST(C206, "Parcel Directory Free Space.*Absolute"), "パーセルディレクトリの空き容量（絶対値）", _xlfn.REGEXTEST(C206, "Parcel Directory Free Space.*Percentage"), "パーセルディレクトリの空き容量割合（%）", _xlfn.REGEXTEST(C206, "Host Network Frame Error Percentage"), "ホストのネットワークフレームエラー割合（%）", _xlfn.REGEXTEST(C206, "Network Interfaces Slow Link Modes"), "ホストのネットワークインターフェースの低速リンクモード検出", _xlfn.REGEXTEST(C206, "Host Memory Swapping"), "ホストのメモリのスワップ発生状態", TRUE, "要手動確認")</f>
        <v>プロセスの異常終了（予期せぬ停止）</v>
      </c>
      <c r="H206" s="479" t="s">
        <v>751</v>
      </c>
    </row>
    <row r="207" spans="1:8" ht="16.899999999999999">
      <c r="A207" s="514"/>
      <c r="B207" s="473"/>
      <c r="C207" s="471" t="s">
        <v>752</v>
      </c>
      <c r="D207" s="471" t="s">
        <v>753</v>
      </c>
      <c r="E207" s="471" t="s">
        <v>1012</v>
      </c>
      <c r="F207" s="471"/>
      <c r="G207" s="471" t="str" cm="1">
        <f t="array" ref="G207">_xlfn.IFS(C207 = "", "", _xlfn.REGEXTEST(C207, "Service Metric Migrator Minimum Consecutive Successful Checks"), "サービスメトリック移行ツールの連続正常チェック最小回数", _xlfn.REGEXTEST(C207, "Rebalancing"), "リバランシング（データ再配置）状態", _xlfn.REGEXTEST(C207, "Temporary Dump Directory"), "一時ダンプディレクトリの監視", _xlfn.REGEXTEST(C207, "Safemode Extension"), "セーフモード延長状態", _xlfn.REGEXTEST(C207, "Client Idle"), "クライアントのアイドル（待機）状態", _xlfn.REGEXTEST(C207, "Available Space Policy Balanced"), "空き容量ポリシーの分散バランス状態", _xlfn.REGEXTEST(C207, "Filesystem Checkpoint Transaction"), "ファイルシステムのチェックポイントトランザクション", _xlfn.REGEXTEST(C207, "Blocks With Corrupt Replicas Monitoring"), "破損レプリカを持つブロックの監視", _xlfn.REGEXTEST(C207, "Missing Block Monitoring"), "消失（ミッシング）ブロックの監視", _xlfn.REGEXTEST(C207, "Under-replicated Block Monitoring"), "レプリカ数不足ブロックの監視", _xlfn.REGEXTEST(C207, "HDFS Free Space Monitoring"), "HDFSの空き容量監視", _xlfn.REGEXTEST(C207, "DataNode Monitoring"), "DataNodeの稼働状態監視", _xlfn.REGEXTEST(C207, "Rules to Extract Events from Log Files"), "ログファイルからのイベント抽出ルール設定", _xlfn.REGEXTEST(C207, "Free Space Monitoring$"), "空き容量監視（一般設定）", _xlfn.REGEXTEST(C207, "Transceivers Usage"), "トランシーバー使用量（データ転送スレッド数）", _xlfn.REGEXTEST(C207, "Volume Failures"), "ボリューム障害（ディスクエラー）数", _xlfn.REGEXTEST(C207, "Block Count"), "ブロック総数", _xlfn.REGEXTEST(C207, "Audit Failure"), "監査（オーディット）ログの失敗イベント", _xlfn.REGEXTEST(C207, "Web Metric Collection Duration"), "Webメトリック収集の所要時間", _xlfn.REGEXTEST(C207, "Pause Duration"), "一時停止（ポーズ）の所要時間", _xlfn.REGEXTEST(C207, "Fsync Latency"), "Fsync（ディスク同期）のレイテンシ", _xlfn.REGEXTEST(C207, "Free Space Monitoring Absolute"), "空き容量（絶対値）", _xlfn.REGEXTEST(C207, "Free Space Monitoring Percentage"), "空き容量割合（%）", _xlfn.REGEXTEST(C207, "Age Monitoring"), "経過時間の監視", _xlfn.REGEXTEST(C207, "Transactions Monitoring"), "トランザクション数の監視", _xlfn.REGEXTEST(C207, "RPC Latency"), "RPC（遠隔手続き呼出し）のレイテンシ", _xlfn.REGEXTEST(C207, "Directory Failures"), "ディレクトリ障害数", _xlfn.REGEXTEST(C207, "Out-Of-Sync JournalNodes"), "同期ズレが発生しているJournalNode数", _xlfn.REGEXTEST(C207, "Safemode Threshold Percentage"), "セーフモード解除閾値の割合（%）", _xlfn.REGEXTEST(C207, "Kerberos Ticket Renewer Monitoring"), "Kerberosチケット更新プロセスの稼働状態監視", _xlfn.REGEXTEST(C207, "Load Balancer Monitoring"), "ロードバランサーの稼働状態監視", _xlfn.REGEXTEST(C207, "Navigator Audit Failure"), "Cloudera Navigator監査ログの失敗イベント", _xlfn.REGEXTEST(C207, "Schema Registry Server Monitoring"), "Schema Registry Serverの稼働状態監視", _xlfn.REGEXTEST(C207, "SRM Service Monitoring"), "SRMサービスの稼働状態監視", _xlfn.REGEXTEST(C207, "SRM Driver Monitoring"), "SRMドライバーの稼働状態監視", _xlfn.REGEXTEST(C207, "Loggin"), "ログ出力状態・設定監視", _xlfn.REGEXTEST(C207, "Server Monitoring"), "サーバーの稼働状態監視", _xlfn.REGEXTEST(C207, "Server Connection Count"), "サーバーの接続数（コネクション数）", _xlfn.REGEXTEST(C207, "Server Outstanding Requests"), "サーバーの未処理リクエスト数（滞留要求数）", _xlfn.REGEXTEST(C207, "Repository Status"), "リポジトリのステータス状態", _xlfn.REGEXTEST(C207, "Monitor Long Running Task"), "長時間実行タスク（ジョブ）の監視", _xlfn.REGEXTEST(C207, "Token requests per second"), "1秒あたりのトークンリクエスト数（要求レート）", _xlfn.REGEXTEST(C207, "Connection Model Score"), "接続モデルスコア（コネクション品質）", _xlfn.REGEXTEST(C207, "Queue swap"), "キューのスワップ発生状態", _xlfn.REGEXTEST(C207, "NiFi Node Monitoring"), "NiFiノードの稼働状態監視", _xlfn.REGEXTEST(C207, "Host Clock Offset"), "ホストのクロックオフセット（時刻同期のズレ）", _xlfn.REGEXTEST(C207, "Memory Overcommit Validation"), "メモリオーバーコミット設定の検証", _xlfn.REGEXTEST(C207, "Gateway Logging"), "ゲートウェイのログ出力設定", _xlfn.REGEXTEST(C207, "CPU Balance"), "CPU使用率の分散バランス状態", _xlfn.REGEXTEST(C207, "Disk Balance"), "ディスク使用量の分散バランス状態", _xlfn.REGEXTEST(C207, "Network Inbound Balance"), "ネットワークインバウンド（受信）の分散バランス状態", _xlfn.REGEXTEST(C207, "Network Outbound Balance"), "ネットワークアウトバウンド（送信）の分散バランス状態", _xlfn.REGEXTEST(C207, "Replica Count Balance"), "レプリカ数の分散バランス状態", _xlfn.REGEXTEST(C207, "Disk Capacity"), "ディスク総容量の限界・使用容量", _xlfn.REGEXTEST(C207, "CPU Capacity"), "CPU総処理能力の限界・使用量", _xlfn.REGEXTEST(C207, "Network Inbound Capacity"), "ネットワークインバウンド（受信）帯域の限界・使用量", _xlfn.REGEXTEST(C207, "Network Outbound Capacity"), "ネットワークアウトバウンド（送信）帯域の限界・使用量", _xlfn.REGEXTEST(C207, "Leader Replica Count Balance"), "リーダーレプリカ数の分散バランス状態", _xlfn.REGEXTEST(C207, "Host DNS Resolution Duration"), "ホストのDNS名前解決の所要時間", _xlfn.REGEXTEST(C207, "TLS Certificate Expiry"), "TLS証明書の有効期限切れ", _xlfn.REGEXTEST(C207, "Host Entropy"), "ホストのエントロピー（乱数生成能力）の不足", _xlfn.REGEXTEST(C207, "File Descriptor"), "プロセスのファイルディスクリプタ使用率", _xlfn.REGEXTEST(C207, "Unexpected Exits"), "プロセスの異常終了（予期せぬ停止）", _xlfn.REGEXTEST(C207, "Swap Memory Thresholds"), "プロセスのスワップメモリ使用量", _xlfn.REGEXTEST(C207, "Swap Memory Usage Rate"), "スワップメモリ使用量の変化率（増加速度）", _xlfn.REGEXTEST(C207, "Log Directory Free Space.*Absolute"), "ログディレクトリの空き容量（絶対値）", _xlfn.REGEXTEST(C207, "Log Directory Free Space.*Percentage"), "ログディレクトリの空き容量割合（%）", _xlfn.REGEXTEST(C207, "Heap Dump Directory Free Space.*Absolute"), "ヒープダンプディレクトリの空き容量（絶対値）", _xlfn.REGEXTEST(C207, "Heap Dump Directory Free Space.*Percentage"), "ヒープダンプディレクトリの空き容量割合（%）", _xlfn.REGEXTEST(C207, "Data Directory Free Space.*Absolute"), "データディレクトリの空き容量（絶対値）", _xlfn.REGEXTEST(C207, "Data Directory Free Space.*Percentage"), "データディレクトリの空き容量割合（%）", _xlfn.REGEXTEST(C207, "Transaction Log Directory Free Space.*Absolute"), "トランザクションログディレクトリの空き容量（絶対値）", _xlfn.REGEXTEST(C207, "Logging Threshold|Logger Threshold"), "ログ出力レベルの閾値設定", _xlfn.REGEXTEST(C207, "Enable.*Alerts"), "ヘルスアラートの有効化状態", _xlfn.REGEXTEST(C207, "Triggers"), "カスタムアラート条件（トリガー設定）", _xlfn.REGEXTEST(C207, "Healthy Kafka Broker"), "Kafka Brokerの健全ノード割合（稼働率）", _xlfn.REGEXTEST(C207, "Healthy Kafka Connect"), "Kafka Connectの健全ノード割合（稼働率）", _xlfn.REGEXTEST(C207, "Healthy KRaft Controller"), "KRaft Controllerの健全ノード割合（稼働率）", _xlfn.REGEXTEST(C207, "Healthy Knox IDBroker"), "Knox IDBrokerの健全ノード割合（稼働率）", _xlfn.REGEXTEST(C207, "Healthy Knox Gateway"), "Knox Gatewayの健全ノード割合（稼働率）", _xlfn.REGEXTEST(C207, "Healthy ZooKeeper Server"), "ZooKeeper Serverの健全ノード割合（稼働率）", _xlfn.REGEXTEST(C207, "Healthy NodeManager"), "NodeManagerの健全ノード割合（稼働率）", _xlfn.REGEXTEST(C207, "Maximum Latency"), "リクエストの最大レイテンシ（処理遅延）", _xlfn.REGEXTEST(C207, "Garbage Collection Duration"), "Javaのガベージコレクション（GC）の所要時間", _xlfn.REGEXTEST(C207, "Spool Directory Usage"), "Rangerプラグインのスプールディレクトリ使用量", _xlfn.REGEXTEST(C207, "Process Directory Free Space Monitoring Absolute"), "プロセスディレクトリの空き容量（絶対値)", _xlfn.REGEXTEST(C207, "Process Directory Free Space.*Percentage"), "プロセスディレクトリの空き容量割合（%）", _xlfn.REGEXTEST(C207, "Parcel Directory Free Space.*Absolute"), "パーセルディレクトリの空き容量（絶対値）", _xlfn.REGEXTEST(C207, "Parcel Directory Free Space.*Percentage"), "パーセルディレクトリの空き容量割合（%）", _xlfn.REGEXTEST(C207, "Host Network Frame Error Percentage"), "ホストのネットワークフレームエラー割合（%）", _xlfn.REGEXTEST(C207, "Network Interfaces Slow Link Modes"), "ホストのネットワークインターフェースの低速リンクモード検出", _xlfn.REGEXTEST(C207, "Host Memory Swapping"), "ホストのメモリのスワップ発生状態", TRUE, "要手動確認")</f>
        <v>カスタムアラート条件（トリガー設定）</v>
      </c>
      <c r="H207" s="479" t="s">
        <v>754</v>
      </c>
    </row>
    <row r="208" spans="1:8" ht="33.6">
      <c r="A208" s="514"/>
      <c r="B208" s="473"/>
      <c r="C208" s="471" t="s">
        <v>755</v>
      </c>
      <c r="D208" s="471" t="s">
        <v>756</v>
      </c>
      <c r="E208" s="471" t="s">
        <v>983</v>
      </c>
      <c r="F208" s="471"/>
      <c r="G208" s="471" t="str" cm="1">
        <f t="array" ref="G208">_xlfn.IFS(C208 = "", "", _xlfn.REGEXTEST(C208, "Service Metric Migrator Minimum Consecutive Successful Checks"), "サービスメトリック移行ツールの連続正常チェック最小回数", _xlfn.REGEXTEST(C208, "Rebalancing"), "リバランシング（データ再配置）状態", _xlfn.REGEXTEST(C208, "Temporary Dump Directory"), "一時ダンプディレクトリの監視", _xlfn.REGEXTEST(C208, "Safemode Extension"), "セーフモード延長状態", _xlfn.REGEXTEST(C208, "Client Idle"), "クライアントのアイドル（待機）状態", _xlfn.REGEXTEST(C208, "Available Space Policy Balanced"), "空き容量ポリシーの分散バランス状態", _xlfn.REGEXTEST(C208, "Filesystem Checkpoint Transaction"), "ファイルシステムのチェックポイントトランザクション", _xlfn.REGEXTEST(C208, "Blocks With Corrupt Replicas Monitoring"), "破損レプリカを持つブロックの監視", _xlfn.REGEXTEST(C208, "Missing Block Monitoring"), "消失（ミッシング）ブロックの監視", _xlfn.REGEXTEST(C208, "Under-replicated Block Monitoring"), "レプリカ数不足ブロックの監視", _xlfn.REGEXTEST(C208, "HDFS Free Space Monitoring"), "HDFSの空き容量監視", _xlfn.REGEXTEST(C208, "DataNode Monitoring"), "DataNodeの稼働状態監視", _xlfn.REGEXTEST(C208, "Rules to Extract Events from Log Files"), "ログファイルからのイベント抽出ルール設定", _xlfn.REGEXTEST(C208, "Free Space Monitoring$"), "空き容量監視（一般設定）", _xlfn.REGEXTEST(C208, "Transceivers Usage"), "トランシーバー使用量（データ転送スレッド数）", _xlfn.REGEXTEST(C208, "Volume Failures"), "ボリューム障害（ディスクエラー）数", _xlfn.REGEXTEST(C208, "Block Count"), "ブロック総数", _xlfn.REGEXTEST(C208, "Audit Failure"), "監査（オーディット）ログの失敗イベント", _xlfn.REGEXTEST(C208, "Web Metric Collection Duration"), "Webメトリック収集の所要時間", _xlfn.REGEXTEST(C208, "Pause Duration"), "一時停止（ポーズ）の所要時間", _xlfn.REGEXTEST(C208, "Fsync Latency"), "Fsync（ディスク同期）のレイテンシ", _xlfn.REGEXTEST(C208, "Free Space Monitoring Absolute"), "空き容量（絶対値）", _xlfn.REGEXTEST(C208, "Free Space Monitoring Percentage"), "空き容量割合（%）", _xlfn.REGEXTEST(C208, "Age Monitoring"), "経過時間の監視", _xlfn.REGEXTEST(C208, "Transactions Monitoring"), "トランザクション数の監視", _xlfn.REGEXTEST(C208, "RPC Latency"), "RPC（遠隔手続き呼出し）のレイテンシ", _xlfn.REGEXTEST(C208, "Directory Failures"), "ディレクトリ障害数", _xlfn.REGEXTEST(C208, "Out-Of-Sync JournalNodes"), "同期ズレが発生しているJournalNode数", _xlfn.REGEXTEST(C208, "Safemode Threshold Percentage"), "セーフモード解除閾値の割合（%）", _xlfn.REGEXTEST(C208, "Kerberos Ticket Renewer Monitoring"), "Kerberosチケット更新プロセスの稼働状態監視", _xlfn.REGEXTEST(C208, "Load Balancer Monitoring"), "ロードバランサーの稼働状態監視", _xlfn.REGEXTEST(C208, "Navigator Audit Failure"), "Cloudera Navigator監査ログの失敗イベント", _xlfn.REGEXTEST(C208, "Schema Registry Server Monitoring"), "Schema Registry Serverの稼働状態監視", _xlfn.REGEXTEST(C208, "SRM Service Monitoring"), "SRMサービスの稼働状態監視", _xlfn.REGEXTEST(C208, "SRM Driver Monitoring"), "SRMドライバーの稼働状態監視", _xlfn.REGEXTEST(C208, "Loggin"), "ログ出力状態・設定監視", _xlfn.REGEXTEST(C208, "Server Monitoring"), "サーバーの稼働状態監視", _xlfn.REGEXTEST(C208, "Server Connection Count"), "サーバーの接続数（コネクション数）", _xlfn.REGEXTEST(C208, "Server Outstanding Requests"), "サーバーの未処理リクエスト数（滞留要求数）", _xlfn.REGEXTEST(C208, "Repository Status"), "リポジトリのステータス状態", _xlfn.REGEXTEST(C208, "Monitor Long Running Task"), "長時間実行タスク（ジョブ）の監視", _xlfn.REGEXTEST(C208, "Token requests per second"), "1秒あたりのトークンリクエスト数（要求レート）", _xlfn.REGEXTEST(C208, "Connection Model Score"), "接続モデルスコア（コネクション品質）", _xlfn.REGEXTEST(C208, "Queue swap"), "キューのスワップ発生状態", _xlfn.REGEXTEST(C208, "NiFi Node Monitoring"), "NiFiノードの稼働状態監視", _xlfn.REGEXTEST(C208, "Host Clock Offset"), "ホストのクロックオフセット（時刻同期のズレ）", _xlfn.REGEXTEST(C208, "Memory Overcommit Validation"), "メモリオーバーコミット設定の検証", _xlfn.REGEXTEST(C208, "Gateway Logging"), "ゲートウェイのログ出力設定", _xlfn.REGEXTEST(C208, "CPU Balance"), "CPU使用率の分散バランス状態", _xlfn.REGEXTEST(C208, "Disk Balance"), "ディスク使用量の分散バランス状態", _xlfn.REGEXTEST(C208, "Network Inbound Balance"), "ネットワークインバウンド（受信）の分散バランス状態", _xlfn.REGEXTEST(C208, "Network Outbound Balance"), "ネットワークアウトバウンド（送信）の分散バランス状態", _xlfn.REGEXTEST(C208, "Replica Count Balance"), "レプリカ数の分散バランス状態", _xlfn.REGEXTEST(C208, "Disk Capacity"), "ディスク総容量の限界・使用容量", _xlfn.REGEXTEST(C208, "CPU Capacity"), "CPU総処理能力の限界・使用量", _xlfn.REGEXTEST(C208, "Network Inbound Capacity"), "ネットワークインバウンド（受信）帯域の限界・使用量", _xlfn.REGEXTEST(C208, "Network Outbound Capacity"), "ネットワークアウトバウンド（送信）帯域の限界・使用量", _xlfn.REGEXTEST(C208, "Leader Replica Count Balance"), "リーダーレプリカ数の分散バランス状態", _xlfn.REGEXTEST(C208, "Host DNS Resolution Duration"), "ホストのDNS名前解決の所要時間", _xlfn.REGEXTEST(C208, "TLS Certificate Expiry"), "TLS証明書の有効期限切れ", _xlfn.REGEXTEST(C208, "Host Entropy"), "ホストのエントロピー（乱数生成能力）の不足", _xlfn.REGEXTEST(C208, "File Descriptor"), "プロセスのファイルディスクリプタ使用率", _xlfn.REGEXTEST(C208, "Unexpected Exits"), "プロセスの異常終了（予期せぬ停止）", _xlfn.REGEXTEST(C208, "Swap Memory Thresholds"), "プロセスのスワップメモリ使用量", _xlfn.REGEXTEST(C208, "Swap Memory Usage Rate"), "スワップメモリ使用量の変化率（増加速度）", _xlfn.REGEXTEST(C208, "Log Directory Free Space.*Absolute"), "ログディレクトリの空き容量（絶対値）", _xlfn.REGEXTEST(C208, "Log Directory Free Space.*Percentage"), "ログディレクトリの空き容量割合（%）", _xlfn.REGEXTEST(C208, "Heap Dump Directory Free Space.*Absolute"), "ヒープダンプディレクトリの空き容量（絶対値）", _xlfn.REGEXTEST(C208, "Heap Dump Directory Free Space.*Percentage"), "ヒープダンプディレクトリの空き容量割合（%）", _xlfn.REGEXTEST(C208, "Data Directory Free Space.*Absolute"), "データディレクトリの空き容量（絶対値）", _xlfn.REGEXTEST(C208, "Data Directory Free Space.*Percentage"), "データディレクトリの空き容量割合（%）", _xlfn.REGEXTEST(C208, "Transaction Log Directory Free Space.*Absolute"), "トランザクションログディレクトリの空き容量（絶対値）", _xlfn.REGEXTEST(C208, "Logging Threshold|Logger Threshold"), "ログ出力レベルの閾値設定", _xlfn.REGEXTEST(C208, "Enable.*Alerts"), "ヘルスアラートの有効化状態", _xlfn.REGEXTEST(C208, "Triggers"), "カスタムアラート条件（トリガー設定）", _xlfn.REGEXTEST(C208, "Healthy Kafka Broker"), "Kafka Brokerの健全ノード割合（稼働率）", _xlfn.REGEXTEST(C208, "Healthy Kafka Connect"), "Kafka Connectの健全ノード割合（稼働率）", _xlfn.REGEXTEST(C208, "Healthy KRaft Controller"), "KRaft Controllerの健全ノード割合（稼働率）", _xlfn.REGEXTEST(C208, "Healthy Knox IDBroker"), "Knox IDBrokerの健全ノード割合（稼働率）", _xlfn.REGEXTEST(C208, "Healthy Knox Gateway"), "Knox Gatewayの健全ノード割合（稼働率）", _xlfn.REGEXTEST(C208, "Healthy ZooKeeper Server"), "ZooKeeper Serverの健全ノード割合（稼働率）", _xlfn.REGEXTEST(C208, "Healthy NodeManager"), "NodeManagerの健全ノード割合（稼働率）", _xlfn.REGEXTEST(C208, "Maximum Latency"), "リクエストの最大レイテンシ（処理遅延）", _xlfn.REGEXTEST(C208, "Garbage Collection Duration"), "Javaのガベージコレクション（GC）の所要時間", _xlfn.REGEXTEST(C208, "Spool Directory Usage"), "Rangerプラグインのスプールディレクトリ使用量", _xlfn.REGEXTEST(C208, "Process Directory Free Space Monitoring Absolute"), "プロセスディレクトリの空き容量（絶対値)", _xlfn.REGEXTEST(C208, "Process Directory Free Space.*Percentage"), "プロセスディレクトリの空き容量割合（%）", _xlfn.REGEXTEST(C208, "Parcel Directory Free Space.*Absolute"), "パーセルディレクトリの空き容量（絶対値）", _xlfn.REGEXTEST(C208, "Parcel Directory Free Space.*Percentage"), "パーセルディレクトリの空き容量割合（%）", _xlfn.REGEXTEST(C208, "Host Network Frame Error Percentage"), "ホストのネットワークフレームエラー割合（%）", _xlfn.REGEXTEST(C208, "Network Interfaces Slow Link Modes"), "ホストのネットワークインターフェースの低速リンクモード検出", _xlfn.REGEXTEST(C208, "Host Memory Swapping"), "ホストのメモリのスワップ発生状態", TRUE, "要手動確認")</f>
        <v>プロセスのスワップメモリ使用量</v>
      </c>
      <c r="H208" s="479" t="s">
        <v>1009</v>
      </c>
    </row>
    <row r="209" spans="1:8" ht="33.6">
      <c r="A209" s="514"/>
      <c r="B209" s="470"/>
      <c r="C209" s="471" t="s">
        <v>758</v>
      </c>
      <c r="D209" s="471" t="s">
        <v>759</v>
      </c>
      <c r="E209" s="471" t="s">
        <v>983</v>
      </c>
      <c r="F209" s="471"/>
      <c r="G209" s="471" t="str" cm="1">
        <f t="array" ref="G209">_xlfn.IFS(C209 = "", "", _xlfn.REGEXTEST(C209, "Service Metric Migrator Minimum Consecutive Successful Checks"), "サービスメトリック移行ツールの連続正常チェック最小回数", _xlfn.REGEXTEST(C209, "Rebalancing"), "リバランシング（データ再配置）状態", _xlfn.REGEXTEST(C209, "Temporary Dump Directory"), "一時ダンプディレクトリの監視", _xlfn.REGEXTEST(C209, "Safemode Extension"), "セーフモード延長状態", _xlfn.REGEXTEST(C209, "Client Idle"), "クライアントのアイドル（待機）状態", _xlfn.REGEXTEST(C209, "Available Space Policy Balanced"), "空き容量ポリシーの分散バランス状態", _xlfn.REGEXTEST(C209, "Filesystem Checkpoint Transaction"), "ファイルシステムのチェックポイントトランザクション", _xlfn.REGEXTEST(C209, "Blocks With Corrupt Replicas Monitoring"), "破損レプリカを持つブロックの監視", _xlfn.REGEXTEST(C209, "Missing Block Monitoring"), "消失（ミッシング）ブロックの監視", _xlfn.REGEXTEST(C209, "Under-replicated Block Monitoring"), "レプリカ数不足ブロックの監視", _xlfn.REGEXTEST(C209, "HDFS Free Space Monitoring"), "HDFSの空き容量監視", _xlfn.REGEXTEST(C209, "DataNode Monitoring"), "DataNodeの稼働状態監視", _xlfn.REGEXTEST(C209, "Rules to Extract Events from Log Files"), "ログファイルからのイベント抽出ルール設定", _xlfn.REGEXTEST(C209, "Free Space Monitoring$"), "空き容量監視（一般設定）", _xlfn.REGEXTEST(C209, "Transceivers Usage"), "トランシーバー使用量（データ転送スレッド数）", _xlfn.REGEXTEST(C209, "Volume Failures"), "ボリューム障害（ディスクエラー）数", _xlfn.REGEXTEST(C209, "Block Count"), "ブロック総数", _xlfn.REGEXTEST(C209, "Audit Failure"), "監査（オーディット）ログの失敗イベント", _xlfn.REGEXTEST(C209, "Web Metric Collection Duration"), "Webメトリック収集の所要時間", _xlfn.REGEXTEST(C209, "Pause Duration"), "一時停止（ポーズ）の所要時間", _xlfn.REGEXTEST(C209, "Fsync Latency"), "Fsync（ディスク同期）のレイテンシ", _xlfn.REGEXTEST(C209, "Free Space Monitoring Absolute"), "空き容量（絶対値）", _xlfn.REGEXTEST(C209, "Free Space Monitoring Percentage"), "空き容量割合（%）", _xlfn.REGEXTEST(C209, "Age Monitoring"), "経過時間の監視", _xlfn.REGEXTEST(C209, "Transactions Monitoring"), "トランザクション数の監視", _xlfn.REGEXTEST(C209, "RPC Latency"), "RPC（遠隔手続き呼出し）のレイテンシ", _xlfn.REGEXTEST(C209, "Directory Failures"), "ディレクトリ障害数", _xlfn.REGEXTEST(C209, "Out-Of-Sync JournalNodes"), "同期ズレが発生しているJournalNode数", _xlfn.REGEXTEST(C209, "Safemode Threshold Percentage"), "セーフモード解除閾値の割合（%）", _xlfn.REGEXTEST(C209, "Kerberos Ticket Renewer Monitoring"), "Kerberosチケット更新プロセスの稼働状態監視", _xlfn.REGEXTEST(C209, "Load Balancer Monitoring"), "ロードバランサーの稼働状態監視", _xlfn.REGEXTEST(C209, "Navigator Audit Failure"), "Cloudera Navigator監査ログの失敗イベント", _xlfn.REGEXTEST(C209, "Schema Registry Server Monitoring"), "Schema Registry Serverの稼働状態監視", _xlfn.REGEXTEST(C209, "SRM Service Monitoring"), "SRMサービスの稼働状態監視", _xlfn.REGEXTEST(C209, "SRM Driver Monitoring"), "SRMドライバーの稼働状態監視", _xlfn.REGEXTEST(C209, "Loggin"), "ログ出力状態・設定監視", _xlfn.REGEXTEST(C209, "Server Monitoring"), "サーバーの稼働状態監視", _xlfn.REGEXTEST(C209, "Server Connection Count"), "サーバーの接続数（コネクション数）", _xlfn.REGEXTEST(C209, "Server Outstanding Requests"), "サーバーの未処理リクエスト数（滞留要求数）", _xlfn.REGEXTEST(C209, "Repository Status"), "リポジトリのステータス状態", _xlfn.REGEXTEST(C209, "Monitor Long Running Task"), "長時間実行タスク（ジョブ）の監視", _xlfn.REGEXTEST(C209, "Token requests per second"), "1秒あたりのトークンリクエスト数（要求レート）", _xlfn.REGEXTEST(C209, "Connection Model Score"), "接続モデルスコア（コネクション品質）", _xlfn.REGEXTEST(C209, "Queue swap"), "キューのスワップ発生状態", _xlfn.REGEXTEST(C209, "NiFi Node Monitoring"), "NiFiノードの稼働状態監視", _xlfn.REGEXTEST(C209, "Host Clock Offset"), "ホストのクロックオフセット（時刻同期のズレ）", _xlfn.REGEXTEST(C209, "Memory Overcommit Validation"), "メモリオーバーコミット設定の検証", _xlfn.REGEXTEST(C209, "Gateway Logging"), "ゲートウェイのログ出力設定", _xlfn.REGEXTEST(C209, "CPU Balance"), "CPU使用率の分散バランス状態", _xlfn.REGEXTEST(C209, "Disk Balance"), "ディスク使用量の分散バランス状態", _xlfn.REGEXTEST(C209, "Network Inbound Balance"), "ネットワークインバウンド（受信）の分散バランス状態", _xlfn.REGEXTEST(C209, "Network Outbound Balance"), "ネットワークアウトバウンド（送信）の分散バランス状態", _xlfn.REGEXTEST(C209, "Replica Count Balance"), "レプリカ数の分散バランス状態", _xlfn.REGEXTEST(C209, "Disk Capacity"), "ディスク総容量の限界・使用容量", _xlfn.REGEXTEST(C209, "CPU Capacity"), "CPU総処理能力の限界・使用量", _xlfn.REGEXTEST(C209, "Network Inbound Capacity"), "ネットワークインバウンド（受信）帯域の限界・使用量", _xlfn.REGEXTEST(C209, "Network Outbound Capacity"), "ネットワークアウトバウンド（送信）帯域の限界・使用量", _xlfn.REGEXTEST(C209, "Leader Replica Count Balance"), "リーダーレプリカ数の分散バランス状態", _xlfn.REGEXTEST(C209, "Host DNS Resolution Duration"), "ホストのDNS名前解決の所要時間", _xlfn.REGEXTEST(C209, "TLS Certificate Expiry"), "TLS証明書の有効期限切れ", _xlfn.REGEXTEST(C209, "Host Entropy"), "ホストのエントロピー（乱数生成能力）の不足", _xlfn.REGEXTEST(C209, "File Descriptor"), "プロセスのファイルディスクリプタ使用率", _xlfn.REGEXTEST(C209, "Unexpected Exits"), "プロセスの異常終了（予期せぬ停止）", _xlfn.REGEXTEST(C209, "Swap Memory Thresholds"), "プロセスのスワップメモリ使用量", _xlfn.REGEXTEST(C209, "Swap Memory Usage Rate"), "スワップメモリ使用量の変化率（増加速度）", _xlfn.REGEXTEST(C209, "Log Directory Free Space.*Absolute"), "ログディレクトリの空き容量（絶対値）", _xlfn.REGEXTEST(C209, "Log Directory Free Space.*Percentage"), "ログディレクトリの空き容量割合（%）", _xlfn.REGEXTEST(C209, "Heap Dump Directory Free Space.*Absolute"), "ヒープダンプディレクトリの空き容量（絶対値）", _xlfn.REGEXTEST(C209, "Heap Dump Directory Free Space.*Percentage"), "ヒープダンプディレクトリの空き容量割合（%）", _xlfn.REGEXTEST(C209, "Data Directory Free Space.*Absolute"), "データディレクトリの空き容量（絶対値）", _xlfn.REGEXTEST(C209, "Data Directory Free Space.*Percentage"), "データディレクトリの空き容量割合（%）", _xlfn.REGEXTEST(C209, "Transaction Log Directory Free Space.*Absolute"), "トランザクションログディレクトリの空き容量（絶対値）", _xlfn.REGEXTEST(C209, "Logging Threshold|Logger Threshold"), "ログ出力レベルの閾値設定", _xlfn.REGEXTEST(C209, "Enable.*Alerts"), "ヘルスアラートの有効化状態", _xlfn.REGEXTEST(C209, "Triggers"), "カスタムアラート条件（トリガー設定）", _xlfn.REGEXTEST(C209, "Healthy Kafka Broker"), "Kafka Brokerの健全ノード割合（稼働率）", _xlfn.REGEXTEST(C209, "Healthy Kafka Connect"), "Kafka Connectの健全ノード割合（稼働率）", _xlfn.REGEXTEST(C209, "Healthy KRaft Controller"), "KRaft Controllerの健全ノード割合（稼働率）", _xlfn.REGEXTEST(C209, "Healthy Knox IDBroker"), "Knox IDBrokerの健全ノード割合（稼働率）", _xlfn.REGEXTEST(C209, "Healthy Knox Gateway"), "Knox Gatewayの健全ノード割合（稼働率）", _xlfn.REGEXTEST(C209, "Healthy ZooKeeper Server"), "ZooKeeper Serverの健全ノード割合（稼働率）", _xlfn.REGEXTEST(C209, "Healthy NodeManager"), "NodeManagerの健全ノード割合（稼働率）", _xlfn.REGEXTEST(C209, "Maximum Latency"), "リクエストの最大レイテンシ（処理遅延）", _xlfn.REGEXTEST(C209, "Garbage Collection Duration"), "Javaのガベージコレクション（GC）の所要時間", _xlfn.REGEXTEST(C209, "Spool Directory Usage"), "Rangerプラグインのスプールディレクトリ使用量", _xlfn.REGEXTEST(C209, "Process Directory Free Space Monitoring Absolute"), "プロセスディレクトリの空き容量（絶対値)", _xlfn.REGEXTEST(C209, "Process Directory Free Space.*Percentage"), "プロセスディレクトリの空き容量割合（%）", _xlfn.REGEXTEST(C209, "Parcel Directory Free Space.*Absolute"), "パーセルディレクトリの空き容量（絶対値）", _xlfn.REGEXTEST(C209, "Parcel Directory Free Space.*Percentage"), "パーセルディレクトリの空き容量割合（%）", _xlfn.REGEXTEST(C209, "Host Network Frame Error Percentage"), "ホストのネットワークフレームエラー割合（%）", _xlfn.REGEXTEST(C209, "Network Interfaces Slow Link Modes"), "ホストのネットワークインターフェースの低速リンクモード検出", _xlfn.REGEXTEST(C209, "Host Memory Swapping"), "ホストのメモリのスワップ発生状態", TRUE, "要手動確認")</f>
        <v>スワップメモリ使用量の変化率（増加速度）</v>
      </c>
      <c r="H209" s="479" t="s">
        <v>683</v>
      </c>
    </row>
    <row r="210" spans="1:8" ht="33.6">
      <c r="A210" s="514"/>
      <c r="B210" s="472" t="s">
        <v>858</v>
      </c>
      <c r="C210" s="471" t="s">
        <v>859</v>
      </c>
      <c r="D210" s="471" t="s">
        <v>772</v>
      </c>
      <c r="E210" s="471" t="s">
        <v>1017</v>
      </c>
      <c r="F210" s="471"/>
      <c r="G210" s="471" t="str" cm="1">
        <f t="array" ref="G210">_xlfn.IFS(C210 = "", "", _xlfn.REGEXTEST(C210, "Service Metric Migrator Minimum Consecutive Successful Checks"), "サービスメトリック移行ツールの連続正常チェック最小回数", _xlfn.REGEXTEST(C210, "Rebalancing"), "リバランシング（データ再配置）状態", _xlfn.REGEXTEST(C210, "Temporary Dump Directory"), "一時ダンプディレクトリの監視", _xlfn.REGEXTEST(C210, "Safemode Extension"), "セーフモード延長状態", _xlfn.REGEXTEST(C210, "Client Idle"), "クライアントのアイドル（待機）状態", _xlfn.REGEXTEST(C210, "Available Space Policy Balanced"), "空き容量ポリシーの分散バランス状態", _xlfn.REGEXTEST(C210, "Filesystem Checkpoint Transaction"), "ファイルシステムのチェックポイントトランザクション", _xlfn.REGEXTEST(C210, "Blocks With Corrupt Replicas Monitoring"), "破損レプリカを持つブロックの監視", _xlfn.REGEXTEST(C210, "Missing Block Monitoring"), "消失（ミッシング）ブロックの監視", _xlfn.REGEXTEST(C210, "Under-replicated Block Monitoring"), "レプリカ数不足ブロックの監視", _xlfn.REGEXTEST(C210, "HDFS Free Space Monitoring"), "HDFSの空き容量監視", _xlfn.REGEXTEST(C210, "DataNode Monitoring"), "DataNodeの稼働状態監視", _xlfn.REGEXTEST(C210, "Rules to Extract Events from Log Files"), "ログファイルからのイベント抽出ルール設定", _xlfn.REGEXTEST(C210, "Free Space Monitoring$"), "空き容量監視（一般設定）", _xlfn.REGEXTEST(C210, "Transceivers Usage"), "トランシーバー使用量（データ転送スレッド数）", _xlfn.REGEXTEST(C210, "Volume Failures"), "ボリューム障害（ディスクエラー）数", _xlfn.REGEXTEST(C210, "Block Count"), "ブロック総数", _xlfn.REGEXTEST(C210, "Audit Failure"), "監査（オーディット）ログの失敗イベント", _xlfn.REGEXTEST(C210, "Web Metric Collection Duration"), "Webメトリック収集の所要時間", _xlfn.REGEXTEST(C210, "Pause Duration"), "一時停止（ポーズ）の所要時間", _xlfn.REGEXTEST(C210, "Fsync Latency"), "Fsync（ディスク同期）のレイテンシ", _xlfn.REGEXTEST(C210, "Free Space Monitoring Absolute"), "空き容量（絶対値）", _xlfn.REGEXTEST(C210, "Free Space Monitoring Percentage"), "空き容量割合（%）", _xlfn.REGEXTEST(C210, "Age Monitoring"), "経過時間の監視", _xlfn.REGEXTEST(C210, "Transactions Monitoring"), "トランザクション数の監視", _xlfn.REGEXTEST(C210, "RPC Latency"), "RPC（遠隔手続き呼出し）のレイテンシ", _xlfn.REGEXTEST(C210, "Directory Failures"), "ディレクトリ障害数", _xlfn.REGEXTEST(C210, "Out-Of-Sync JournalNodes"), "同期ズレが発生しているJournalNode数", _xlfn.REGEXTEST(C210, "Safemode Threshold Percentage"), "セーフモード解除閾値の割合（%）", _xlfn.REGEXTEST(C210, "Kerberos Ticket Renewer Monitoring"), "Kerberosチケット更新プロセスの稼働状態監視", _xlfn.REGEXTEST(C210, "Load Balancer Monitoring"), "ロードバランサーの稼働状態監視", _xlfn.REGEXTEST(C210, "Navigator Audit Failure"), "Cloudera Navigator監査ログの失敗イベント", _xlfn.REGEXTEST(C210, "Schema Registry Server Monitoring"), "Schema Registry Serverの稼働状態監視", _xlfn.REGEXTEST(C210, "SRM Service Monitoring"), "SRMサービスの稼働状態監視", _xlfn.REGEXTEST(C210, "SRM Driver Monitoring"), "SRMドライバーの稼働状態監視", _xlfn.REGEXTEST(C210, "Loggin"), "ログ出力状態・設定監視", _xlfn.REGEXTEST(C210, "Server Monitoring"), "サーバーの稼働状態監視", _xlfn.REGEXTEST(C210, "Server Connection Count"), "サーバーの接続数（コネクション数）", _xlfn.REGEXTEST(C210, "Server Outstanding Requests"), "サーバーの未処理リクエスト数（滞留要求数）", _xlfn.REGEXTEST(C210, "Repository Status"), "リポジトリのステータス状態", _xlfn.REGEXTEST(C210, "Monitor Long Running Task"), "長時間実行タスク（ジョブ）の監視", _xlfn.REGEXTEST(C210, "Token requests per second"), "1秒あたりのトークンリクエスト数（要求レート）", _xlfn.REGEXTEST(C210, "Connection Model Score"), "接続モデルスコア（コネクション品質）", _xlfn.REGEXTEST(C210, "Queue swap"), "キューのスワップ発生状態", _xlfn.REGEXTEST(C210, "NiFi Node Monitoring"), "NiFiノードの稼働状態監視", _xlfn.REGEXTEST(C210, "Host Clock Offset"), "ホストのクロックオフセット（時刻同期のズレ）", _xlfn.REGEXTEST(C210, "Memory Overcommit Validation"), "メモリオーバーコミット設定の検証", _xlfn.REGEXTEST(C210, "Gateway Logging"), "ゲートウェイのログ出力設定", _xlfn.REGEXTEST(C210, "CPU Balance"), "CPU使用率の分散バランス状態", _xlfn.REGEXTEST(C210, "Disk Balance"), "ディスク使用量の分散バランス状態", _xlfn.REGEXTEST(C210, "Network Inbound Balance"), "ネットワークインバウンド（受信）の分散バランス状態", _xlfn.REGEXTEST(C210, "Network Outbound Balance"), "ネットワークアウトバウンド（送信）の分散バランス状態", _xlfn.REGEXTEST(C210, "Replica Count Balance"), "レプリカ数の分散バランス状態", _xlfn.REGEXTEST(C210, "Disk Capacity"), "ディスク総容量の限界・使用容量", _xlfn.REGEXTEST(C210, "CPU Capacity"), "CPU総処理能力の限界・使用量", _xlfn.REGEXTEST(C210, "Network Inbound Capacity"), "ネットワークインバウンド（受信）帯域の限界・使用量", _xlfn.REGEXTEST(C210, "Network Outbound Capacity"), "ネットワークアウトバウンド（送信）帯域の限界・使用量", _xlfn.REGEXTEST(C210, "Leader Replica Count Balance"), "リーダーレプリカ数の分散バランス状態", _xlfn.REGEXTEST(C210, "Host DNS Resolution Duration"), "ホストのDNS名前解決の所要時間", _xlfn.REGEXTEST(C210, "TLS Certificate Expiry"), "TLS証明書の有効期限切れ", _xlfn.REGEXTEST(C210, "Host Entropy"), "ホストのエントロピー（乱数生成能力）の不足", _xlfn.REGEXTEST(C210, "File Descriptor"), "プロセスのファイルディスクリプタ使用率", _xlfn.REGEXTEST(C210, "Unexpected Exits"), "プロセスの異常終了（予期せぬ停止）", _xlfn.REGEXTEST(C210, "Swap Memory Thresholds"), "プロセスのスワップメモリ使用量", _xlfn.REGEXTEST(C210, "Swap Memory Usage Rate"), "スワップメモリ使用量の変化率（増加速度）", _xlfn.REGEXTEST(C210, "Log Directory Free Space.*Absolute"), "ログディレクトリの空き容量（絶対値）", _xlfn.REGEXTEST(C210, "Log Directory Free Space.*Percentage"), "ログディレクトリの空き容量割合（%）", _xlfn.REGEXTEST(C210, "Heap Dump Directory Free Space.*Absolute"), "ヒープダンプディレクトリの空き容量（絶対値）", _xlfn.REGEXTEST(C210, "Heap Dump Directory Free Space.*Percentage"), "ヒープダンプディレクトリの空き容量割合（%）", _xlfn.REGEXTEST(C210, "Data Directory Free Space.*Absolute"), "データディレクトリの空き容量（絶対値）", _xlfn.REGEXTEST(C210, "Data Directory Free Space.*Percentage"), "データディレクトリの空き容量割合（%）", _xlfn.REGEXTEST(C210, "Transaction Log Directory Free Space.*Absolute"), "トランザクションログディレクトリの空き容量（絶対値）", _xlfn.REGEXTEST(C210, "Logging Threshold|Logger Threshold"), "ログ出力レベルの閾値設定", _xlfn.REGEXTEST(C210, "Enable.*Alerts"), "ヘルスアラートの有効化状態", _xlfn.REGEXTEST(C210, "Triggers"), "カスタムアラート条件（トリガー設定）", _xlfn.REGEXTEST(C210, "Healthy Kafka Broker"), "Kafka Brokerの健全ノード割合（稼働率）", _xlfn.REGEXTEST(C210, "Healthy Kafka Connect"), "Kafka Connectの健全ノード割合（稼働率）", _xlfn.REGEXTEST(C210, "Healthy KRaft Controller"), "KRaft Controllerの健全ノード割合（稼働率）", _xlfn.REGEXTEST(C210, "Healthy Knox IDBroker"), "Knox IDBrokerの健全ノード割合（稼働率）", _xlfn.REGEXTEST(C210, "Healthy Knox Gateway"), "Knox Gatewayの健全ノード割合（稼働率）", _xlfn.REGEXTEST(C210, "Healthy ZooKeeper Server"), "ZooKeeper Serverの健全ノード割合（稼働率）", _xlfn.REGEXTEST(C210, "Healthy NodeManager"), "NodeManagerの健全ノード割合（稼働率）", _xlfn.REGEXTEST(C210, "Maximum Latency"), "リクエストの最大レイテンシ（処理遅延）", _xlfn.REGEXTEST(C210, "Garbage Collection Duration"), "Javaのガベージコレクション（GC）の所要時間", _xlfn.REGEXTEST(C210, "Spool Directory Usage"), "Rangerプラグインのスプールディレクトリ使用量", _xlfn.REGEXTEST(C210, "Process Directory Free Space Monitoring Absolute"), "プロセスディレクトリの空き容量（絶対値)", _xlfn.REGEXTEST(C210, "Process Directory Free Space.*Percentage"), "プロセスディレクトリの空き容量割合（%）", _xlfn.REGEXTEST(C210, "Parcel Directory Free Space.*Absolute"), "パーセルディレクトリの空き容量（絶対値）", _xlfn.REGEXTEST(C210, "Parcel Directory Free Space.*Percentage"), "パーセルディレクトリの空き容量割合（%）", _xlfn.REGEXTEST(C210, "Host Network Frame Error Percentage"), "ホストのネットワークフレームエラー割合（%）", _xlfn.REGEXTEST(C210, "Network Interfaces Slow Link Modes"), "ホストのネットワークインターフェースの低速リンクモード検出", _xlfn.REGEXTEST(C210, "Host Memory Swapping"), "ホストのメモリのスワップ発生状態", TRUE, "要手動確認")</f>
        <v>ログ出力状態・設定監視</v>
      </c>
      <c r="H210" s="479" t="s">
        <v>775</v>
      </c>
    </row>
    <row r="211" spans="1:8" ht="16.899999999999999">
      <c r="A211" s="514"/>
      <c r="B211" s="473"/>
      <c r="C211" s="471" t="s">
        <v>788</v>
      </c>
      <c r="D211" s="471" t="s">
        <v>710</v>
      </c>
      <c r="E211" s="471" t="s">
        <v>863</v>
      </c>
      <c r="F211" s="471"/>
      <c r="G211" s="471" t="str" cm="1">
        <f t="array" ref="G211">_xlfn.IFS(C211 = "", "", _xlfn.REGEXTEST(C211, "Service Metric Migrator Minimum Consecutive Successful Checks"), "サービスメトリック移行ツールの連続正常チェック最小回数", _xlfn.REGEXTEST(C211, "Rebalancing"), "リバランシング（データ再配置）状態", _xlfn.REGEXTEST(C211, "Temporary Dump Directory"), "一時ダンプディレクトリの監視", _xlfn.REGEXTEST(C211, "Safemode Extension"), "セーフモード延長状態", _xlfn.REGEXTEST(C211, "Client Idle"), "クライアントのアイドル（待機）状態", _xlfn.REGEXTEST(C211, "Available Space Policy Balanced"), "空き容量ポリシーの分散バランス状態", _xlfn.REGEXTEST(C211, "Filesystem Checkpoint Transaction"), "ファイルシステムのチェックポイントトランザクション", _xlfn.REGEXTEST(C211, "Blocks With Corrupt Replicas Monitoring"), "破損レプリカを持つブロックの監視", _xlfn.REGEXTEST(C211, "Missing Block Monitoring"), "消失（ミッシング）ブロックの監視", _xlfn.REGEXTEST(C211, "Under-replicated Block Monitoring"), "レプリカ数不足ブロックの監視", _xlfn.REGEXTEST(C211, "HDFS Free Space Monitoring"), "HDFSの空き容量監視", _xlfn.REGEXTEST(C211, "DataNode Monitoring"), "DataNodeの稼働状態監視", _xlfn.REGEXTEST(C211, "Rules to Extract Events from Log Files"), "ログファイルからのイベント抽出ルール設定", _xlfn.REGEXTEST(C211, "Free Space Monitoring$"), "空き容量監視（一般設定）", _xlfn.REGEXTEST(C211, "Transceivers Usage"), "トランシーバー使用量（データ転送スレッド数）", _xlfn.REGEXTEST(C211, "Volume Failures"), "ボリューム障害（ディスクエラー）数", _xlfn.REGEXTEST(C211, "Block Count"), "ブロック総数", _xlfn.REGEXTEST(C211, "Audit Failure"), "監査（オーディット）ログの失敗イベント", _xlfn.REGEXTEST(C211, "Web Metric Collection Duration"), "Webメトリック収集の所要時間", _xlfn.REGEXTEST(C211, "Pause Duration"), "一時停止（ポーズ）の所要時間", _xlfn.REGEXTEST(C211, "Fsync Latency"), "Fsync（ディスク同期）のレイテンシ", _xlfn.REGEXTEST(C211, "Free Space Monitoring Absolute"), "空き容量（絶対値）", _xlfn.REGEXTEST(C211, "Free Space Monitoring Percentage"), "空き容量割合（%）", _xlfn.REGEXTEST(C211, "Age Monitoring"), "経過時間の監視", _xlfn.REGEXTEST(C211, "Transactions Monitoring"), "トランザクション数の監視", _xlfn.REGEXTEST(C211, "RPC Latency"), "RPC（遠隔手続き呼出し）のレイテンシ", _xlfn.REGEXTEST(C211, "Directory Failures"), "ディレクトリ障害数", _xlfn.REGEXTEST(C211, "Out-Of-Sync JournalNodes"), "同期ズレが発生しているJournalNode数", _xlfn.REGEXTEST(C211, "Safemode Threshold Percentage"), "セーフモード解除閾値の割合（%）", _xlfn.REGEXTEST(C211, "Kerberos Ticket Renewer Monitoring"), "Kerberosチケット更新プロセスの稼働状態監視", _xlfn.REGEXTEST(C211, "Load Balancer Monitoring"), "ロードバランサーの稼働状態監視", _xlfn.REGEXTEST(C211, "Navigator Audit Failure"), "Cloudera Navigator監査ログの失敗イベント", _xlfn.REGEXTEST(C211, "Schema Registry Server Monitoring"), "Schema Registry Serverの稼働状態監視", _xlfn.REGEXTEST(C211, "SRM Service Monitoring"), "SRMサービスの稼働状態監視", _xlfn.REGEXTEST(C211, "SRM Driver Monitoring"), "SRMドライバーの稼働状態監視", _xlfn.REGEXTEST(C211, "Loggin"), "ログ出力状態・設定監視", _xlfn.REGEXTEST(C211, "Server Monitoring"), "サーバーの稼働状態監視", _xlfn.REGEXTEST(C211, "Server Connection Count"), "サーバーの接続数（コネクション数）", _xlfn.REGEXTEST(C211, "Server Outstanding Requests"), "サーバーの未処理リクエスト数（滞留要求数）", _xlfn.REGEXTEST(C211, "Repository Status"), "リポジトリのステータス状態", _xlfn.REGEXTEST(C211, "Monitor Long Running Task"), "長時間実行タスク（ジョブ）の監視", _xlfn.REGEXTEST(C211, "Token requests per second"), "1秒あたりのトークンリクエスト数（要求レート）", _xlfn.REGEXTEST(C211, "Connection Model Score"), "接続モデルスコア（コネクション品質）", _xlfn.REGEXTEST(C211, "Queue swap"), "キューのスワップ発生状態", _xlfn.REGEXTEST(C211, "NiFi Node Monitoring"), "NiFiノードの稼働状態監視", _xlfn.REGEXTEST(C211, "Host Clock Offset"), "ホストのクロックオフセット（時刻同期のズレ）", _xlfn.REGEXTEST(C211, "Memory Overcommit Validation"), "メモリオーバーコミット設定の検証", _xlfn.REGEXTEST(C211, "Gateway Logging"), "ゲートウェイのログ出力設定", _xlfn.REGEXTEST(C211, "CPU Balance"), "CPU使用率の分散バランス状態", _xlfn.REGEXTEST(C211, "Disk Balance"), "ディスク使用量の分散バランス状態", _xlfn.REGEXTEST(C211, "Network Inbound Balance"), "ネットワークインバウンド（受信）の分散バランス状態", _xlfn.REGEXTEST(C211, "Network Outbound Balance"), "ネットワークアウトバウンド（送信）の分散バランス状態", _xlfn.REGEXTEST(C211, "Replica Count Balance"), "レプリカ数の分散バランス状態", _xlfn.REGEXTEST(C211, "Disk Capacity"), "ディスク総容量の限界・使用容量", _xlfn.REGEXTEST(C211, "CPU Capacity"), "CPU総処理能力の限界・使用量", _xlfn.REGEXTEST(C211, "Network Inbound Capacity"), "ネットワークインバウンド（受信）帯域の限界・使用量", _xlfn.REGEXTEST(C211, "Network Outbound Capacity"), "ネットワークアウトバウンド（送信）帯域の限界・使用量", _xlfn.REGEXTEST(C211, "Leader Replica Count Balance"), "リーダーレプリカ数の分散バランス状態", _xlfn.REGEXTEST(C211, "Host DNS Resolution Duration"), "ホストのDNS名前解決の所要時間", _xlfn.REGEXTEST(C211, "TLS Certificate Expiry"), "TLS証明書の有効期限切れ", _xlfn.REGEXTEST(C211, "Host Entropy"), "ホストのエントロピー（乱数生成能力）の不足", _xlfn.REGEXTEST(C211, "File Descriptor"), "プロセスのファイルディスクリプタ使用率", _xlfn.REGEXTEST(C211, "Unexpected Exits"), "プロセスの異常終了（予期せぬ停止）", _xlfn.REGEXTEST(C211, "Swap Memory Thresholds"), "プロセスのスワップメモリ使用量", _xlfn.REGEXTEST(C211, "Swap Memory Usage Rate"), "スワップメモリ使用量の変化率（増加速度）", _xlfn.REGEXTEST(C211, "Log Directory Free Space.*Absolute"), "ログディレクトリの空き容量（絶対値）", _xlfn.REGEXTEST(C211, "Log Directory Free Space.*Percentage"), "ログディレクトリの空き容量割合（%）", _xlfn.REGEXTEST(C211, "Heap Dump Directory Free Space.*Absolute"), "ヒープダンプディレクトリの空き容量（絶対値）", _xlfn.REGEXTEST(C211, "Heap Dump Directory Free Space.*Percentage"), "ヒープダンプディレクトリの空き容量割合（%）", _xlfn.REGEXTEST(C211, "Data Directory Free Space.*Absolute"), "データディレクトリの空き容量（絶対値）", _xlfn.REGEXTEST(C211, "Data Directory Free Space.*Percentage"), "データディレクトリの空き容量割合（%）", _xlfn.REGEXTEST(C211, "Transaction Log Directory Free Space.*Absolute"), "トランザクションログディレクトリの空き容量（絶対値）", _xlfn.REGEXTEST(C211, "Logging Threshold|Logger Threshold"), "ログ出力レベルの閾値設定", _xlfn.REGEXTEST(C211, "Enable.*Alerts"), "ヘルスアラートの有効化状態", _xlfn.REGEXTEST(C211, "Triggers"), "カスタムアラート条件（トリガー設定）", _xlfn.REGEXTEST(C211, "Healthy Kafka Broker"), "Kafka Brokerの健全ノード割合（稼働率）", _xlfn.REGEXTEST(C211, "Healthy Kafka Connect"), "Kafka Connectの健全ノード割合（稼働率）", _xlfn.REGEXTEST(C211, "Healthy KRaft Controller"), "KRaft Controllerの健全ノード割合（稼働率）", _xlfn.REGEXTEST(C211, "Healthy Knox IDBroker"), "Knox IDBrokerの健全ノード割合（稼働率）", _xlfn.REGEXTEST(C211, "Healthy Knox Gateway"), "Knox Gatewayの健全ノード割合（稼働率）", _xlfn.REGEXTEST(C211, "Healthy ZooKeeper Server"), "ZooKeeper Serverの健全ノード割合（稼働率）", _xlfn.REGEXTEST(C211, "Healthy NodeManager"), "NodeManagerの健全ノード割合（稼働率）", _xlfn.REGEXTEST(C211, "Maximum Latency"), "リクエストの最大レイテンシ（処理遅延）", _xlfn.REGEXTEST(C211, "Garbage Collection Duration"), "Javaのガベージコレクション（GC）の所要時間", _xlfn.REGEXTEST(C211, "Spool Directory Usage"), "Rangerプラグインのスプールディレクトリ使用量", _xlfn.REGEXTEST(C211, "Process Directory Free Space Monitoring Absolute"), "プロセスディレクトリの空き容量（絶対値)", _xlfn.REGEXTEST(C211, "Process Directory Free Space.*Percentage"), "プロセスディレクトリの空き容量割合（%）", _xlfn.REGEXTEST(C211, "Parcel Directory Free Space.*Absolute"), "パーセルディレクトリの空き容量（絶対値）", _xlfn.REGEXTEST(C211, "Parcel Directory Free Space.*Percentage"), "パーセルディレクトリの空き容量割合（%）", _xlfn.REGEXTEST(C211, "Host Network Frame Error Percentage"), "ホストのネットワークフレームエラー割合（%）", _xlfn.REGEXTEST(C211, "Network Interfaces Slow Link Modes"), "ホストのネットワークインターフェースの低速リンクモード検出", _xlfn.REGEXTEST(C211, "Host Memory Swapping"), "ホストのメモリのスワップ発生状態", TRUE, "要手動確認")</f>
        <v>ヘルスアラートの有効化状態</v>
      </c>
      <c r="H211" s="479" t="s">
        <v>790</v>
      </c>
    </row>
    <row r="212" spans="1:8" ht="16.899999999999999">
      <c r="A212" s="514"/>
      <c r="B212" s="473"/>
      <c r="C212" s="471" t="s">
        <v>791</v>
      </c>
      <c r="D212" s="471" t="s">
        <v>792</v>
      </c>
      <c r="E212" s="471" t="s">
        <v>1018</v>
      </c>
      <c r="F212" s="471"/>
      <c r="G212" s="471" t="str" cm="1">
        <f t="array" ref="G212">_xlfn.IFS(C212 = "", "", _xlfn.REGEXTEST(C212, "Service Metric Migrator Minimum Consecutive Successful Checks"), "サービスメトリック移行ツールの連続正常チェック最小回数", _xlfn.REGEXTEST(C212, "Rebalancing"), "リバランシング（データ再配置）状態", _xlfn.REGEXTEST(C212, "Temporary Dump Directory"), "一時ダンプディレクトリの監視", _xlfn.REGEXTEST(C212, "Safemode Extension"), "セーフモード延長状態", _xlfn.REGEXTEST(C212, "Client Idle"), "クライアントのアイドル（待機）状態", _xlfn.REGEXTEST(C212, "Available Space Policy Balanced"), "空き容量ポリシーの分散バランス状態", _xlfn.REGEXTEST(C212, "Filesystem Checkpoint Transaction"), "ファイルシステムのチェックポイントトランザクション", _xlfn.REGEXTEST(C212, "Blocks With Corrupt Replicas Monitoring"), "破損レプリカを持つブロックの監視", _xlfn.REGEXTEST(C212, "Missing Block Monitoring"), "消失（ミッシング）ブロックの監視", _xlfn.REGEXTEST(C212, "Under-replicated Block Monitoring"), "レプリカ数不足ブロックの監視", _xlfn.REGEXTEST(C212, "HDFS Free Space Monitoring"), "HDFSの空き容量監視", _xlfn.REGEXTEST(C212, "DataNode Monitoring"), "DataNodeの稼働状態監視", _xlfn.REGEXTEST(C212, "Rules to Extract Events from Log Files"), "ログファイルからのイベント抽出ルール設定", _xlfn.REGEXTEST(C212, "Free Space Monitoring$"), "空き容量監視（一般設定）", _xlfn.REGEXTEST(C212, "Transceivers Usage"), "トランシーバー使用量（データ転送スレッド数）", _xlfn.REGEXTEST(C212, "Volume Failures"), "ボリューム障害（ディスクエラー）数", _xlfn.REGEXTEST(C212, "Block Count"), "ブロック総数", _xlfn.REGEXTEST(C212, "Audit Failure"), "監査（オーディット）ログの失敗イベント", _xlfn.REGEXTEST(C212, "Web Metric Collection Duration"), "Webメトリック収集の所要時間", _xlfn.REGEXTEST(C212, "Pause Duration"), "一時停止（ポーズ）の所要時間", _xlfn.REGEXTEST(C212, "Fsync Latency"), "Fsync（ディスク同期）のレイテンシ", _xlfn.REGEXTEST(C212, "Free Space Monitoring Absolute"), "空き容量（絶対値）", _xlfn.REGEXTEST(C212, "Free Space Monitoring Percentage"), "空き容量割合（%）", _xlfn.REGEXTEST(C212, "Age Monitoring"), "経過時間の監視", _xlfn.REGEXTEST(C212, "Transactions Monitoring"), "トランザクション数の監視", _xlfn.REGEXTEST(C212, "RPC Latency"), "RPC（遠隔手続き呼出し）のレイテンシ", _xlfn.REGEXTEST(C212, "Directory Failures"), "ディレクトリ障害数", _xlfn.REGEXTEST(C212, "Out-Of-Sync JournalNodes"), "同期ズレが発生しているJournalNode数", _xlfn.REGEXTEST(C212, "Safemode Threshold Percentage"), "セーフモード解除閾値の割合（%）", _xlfn.REGEXTEST(C212, "Kerberos Ticket Renewer Monitoring"), "Kerberosチケット更新プロセスの稼働状態監視", _xlfn.REGEXTEST(C212, "Load Balancer Monitoring"), "ロードバランサーの稼働状態監視", _xlfn.REGEXTEST(C212, "Navigator Audit Failure"), "Cloudera Navigator監査ログの失敗イベント", _xlfn.REGEXTEST(C212, "Schema Registry Server Monitoring"), "Schema Registry Serverの稼働状態監視", _xlfn.REGEXTEST(C212, "SRM Service Monitoring"), "SRMサービスの稼働状態監視", _xlfn.REGEXTEST(C212, "SRM Driver Monitoring"), "SRMドライバーの稼働状態監視", _xlfn.REGEXTEST(C212, "Loggin"), "ログ出力状態・設定監視", _xlfn.REGEXTEST(C212, "Server Monitoring"), "サーバーの稼働状態監視", _xlfn.REGEXTEST(C212, "Server Connection Count"), "サーバーの接続数（コネクション数）", _xlfn.REGEXTEST(C212, "Server Outstanding Requests"), "サーバーの未処理リクエスト数（滞留要求数）", _xlfn.REGEXTEST(C212, "Repository Status"), "リポジトリのステータス状態", _xlfn.REGEXTEST(C212, "Monitor Long Running Task"), "長時間実行タスク（ジョブ）の監視", _xlfn.REGEXTEST(C212, "Token requests per second"), "1秒あたりのトークンリクエスト数（要求レート）", _xlfn.REGEXTEST(C212, "Connection Model Score"), "接続モデルスコア（コネクション品質）", _xlfn.REGEXTEST(C212, "Queue swap"), "キューのスワップ発生状態", _xlfn.REGEXTEST(C212, "NiFi Node Monitoring"), "NiFiノードの稼働状態監視", _xlfn.REGEXTEST(C212, "Host Clock Offset"), "ホストのクロックオフセット（時刻同期のズレ）", _xlfn.REGEXTEST(C212, "Memory Overcommit Validation"), "メモリオーバーコミット設定の検証", _xlfn.REGEXTEST(C212, "Gateway Logging"), "ゲートウェイのログ出力設定", _xlfn.REGEXTEST(C212, "CPU Balance"), "CPU使用率の分散バランス状態", _xlfn.REGEXTEST(C212, "Disk Balance"), "ディスク使用量の分散バランス状態", _xlfn.REGEXTEST(C212, "Network Inbound Balance"), "ネットワークインバウンド（受信）の分散バランス状態", _xlfn.REGEXTEST(C212, "Network Outbound Balance"), "ネットワークアウトバウンド（送信）の分散バランス状態", _xlfn.REGEXTEST(C212, "Replica Count Balance"), "レプリカ数の分散バランス状態", _xlfn.REGEXTEST(C212, "Disk Capacity"), "ディスク総容量の限界・使用容量", _xlfn.REGEXTEST(C212, "CPU Capacity"), "CPU総処理能力の限界・使用量", _xlfn.REGEXTEST(C212, "Network Inbound Capacity"), "ネットワークインバウンド（受信）帯域の限界・使用量", _xlfn.REGEXTEST(C212, "Network Outbound Capacity"), "ネットワークアウトバウンド（送信）帯域の限界・使用量", _xlfn.REGEXTEST(C212, "Leader Replica Count Balance"), "リーダーレプリカ数の分散バランス状態", _xlfn.REGEXTEST(C212, "Host DNS Resolution Duration"), "ホストのDNS名前解決の所要時間", _xlfn.REGEXTEST(C212, "TLS Certificate Expiry"), "TLS証明書の有効期限切れ", _xlfn.REGEXTEST(C212, "Host Entropy"), "ホストのエントロピー（乱数生成能力）の不足", _xlfn.REGEXTEST(C212, "File Descriptor"), "プロセスのファイルディスクリプタ使用率", _xlfn.REGEXTEST(C212, "Unexpected Exits"), "プロセスの異常終了（予期せぬ停止）", _xlfn.REGEXTEST(C212, "Swap Memory Thresholds"), "プロセスのスワップメモリ使用量", _xlfn.REGEXTEST(C212, "Swap Memory Usage Rate"), "スワップメモリ使用量の変化率（増加速度）", _xlfn.REGEXTEST(C212, "Log Directory Free Space.*Absolute"), "ログディレクトリの空き容量（絶対値）", _xlfn.REGEXTEST(C212, "Log Directory Free Space.*Percentage"), "ログディレクトリの空き容量割合（%）", _xlfn.REGEXTEST(C212, "Heap Dump Directory Free Space.*Absolute"), "ヒープダンプディレクトリの空き容量（絶対値）", _xlfn.REGEXTEST(C212, "Heap Dump Directory Free Space.*Percentage"), "ヒープダンプディレクトリの空き容量割合（%）", _xlfn.REGEXTEST(C212, "Data Directory Free Space.*Absolute"), "データディレクトリの空き容量（絶対値）", _xlfn.REGEXTEST(C212, "Data Directory Free Space.*Percentage"), "データディレクトリの空き容量割合（%）", _xlfn.REGEXTEST(C212, "Transaction Log Directory Free Space.*Absolute"), "トランザクションログディレクトリの空き容量（絶対値）", _xlfn.REGEXTEST(C212, "Logging Threshold|Logger Threshold"), "ログ出力レベルの閾値設定", _xlfn.REGEXTEST(C212, "Enable.*Alerts"), "ヘルスアラートの有効化状態", _xlfn.REGEXTEST(C212, "Triggers"), "カスタムアラート条件（トリガー設定）", _xlfn.REGEXTEST(C212, "Healthy Kafka Broker"), "Kafka Brokerの健全ノード割合（稼働率）", _xlfn.REGEXTEST(C212, "Healthy Kafka Connect"), "Kafka Connectの健全ノード割合（稼働率）", _xlfn.REGEXTEST(C212, "Healthy KRaft Controller"), "KRaft Controllerの健全ノード割合（稼働率）", _xlfn.REGEXTEST(C212, "Healthy Knox IDBroker"), "Knox IDBrokerの健全ノード割合（稼働率）", _xlfn.REGEXTEST(C212, "Healthy Knox Gateway"), "Knox Gatewayの健全ノード割合（稼働率）", _xlfn.REGEXTEST(C212, "Healthy ZooKeeper Server"), "ZooKeeper Serverの健全ノード割合（稼働率）", _xlfn.REGEXTEST(C212, "Healthy NodeManager"), "NodeManagerの健全ノード割合（稼働率）", _xlfn.REGEXTEST(C212, "Maximum Latency"), "リクエストの最大レイテンシ（処理遅延）", _xlfn.REGEXTEST(C212, "Garbage Collection Duration"), "Javaのガベージコレクション（GC）の所要時間", _xlfn.REGEXTEST(C212, "Spool Directory Usage"), "Rangerプラグインのスプールディレクトリ使用量", _xlfn.REGEXTEST(C212, "Process Directory Free Space Monitoring Absolute"), "プロセスディレクトリの空き容量（絶対値)", _xlfn.REGEXTEST(C212, "Process Directory Free Space.*Percentage"), "プロセスディレクトリの空き容量割合（%）", _xlfn.REGEXTEST(C212, "Parcel Directory Free Space.*Absolute"), "パーセルディレクトリの空き容量（絶対値）", _xlfn.REGEXTEST(C212, "Parcel Directory Free Space.*Percentage"), "パーセルディレクトリの空き容量割合（%）", _xlfn.REGEXTEST(C212, "Host Network Frame Error Percentage"), "ホストのネットワークフレームエラー割合（%）", _xlfn.REGEXTEST(C212, "Network Interfaces Slow Link Modes"), "ホストのネットワークインターフェースの低速リンクモード検出", _xlfn.REGEXTEST(C212, "Host Memory Swapping"), "ホストのメモリのスワップ発生状態", TRUE, "要手動確認")</f>
        <v>カスタムアラート条件（トリガー設定）</v>
      </c>
      <c r="H212" s="479" t="s">
        <v>754</v>
      </c>
    </row>
    <row r="213" spans="1:8" ht="33.6">
      <c r="A213" s="514"/>
      <c r="B213" s="473"/>
      <c r="C213" s="471" t="s">
        <v>861</v>
      </c>
      <c r="D213" s="471" t="s">
        <v>862</v>
      </c>
      <c r="E213" s="471" t="s">
        <v>863</v>
      </c>
      <c r="F213" s="471"/>
      <c r="G213" s="471" t="str" cm="1">
        <f t="array" ref="G213">_xlfn.IFS(C213 = "", "", _xlfn.REGEXTEST(C213, "Service Metric Migrator Minimum Consecutive Successful Checks"), "サービスメトリック移行ツールの連続正常チェック最小回数", _xlfn.REGEXTEST(C213, "Rebalancing"), "リバランシング（データ再配置）状態", _xlfn.REGEXTEST(C213, "Temporary Dump Directory"), "一時ダンプディレクトリの監視", _xlfn.REGEXTEST(C213, "Safemode Extension"), "セーフモード延長状態", _xlfn.REGEXTEST(C213, "Client Idle"), "クライアントのアイドル（待機）状態", _xlfn.REGEXTEST(C213, "Available Space Policy Balanced"), "空き容量ポリシーの分散バランス状態", _xlfn.REGEXTEST(C213, "Filesystem Checkpoint Transaction"), "ファイルシステムのチェックポイントトランザクション", _xlfn.REGEXTEST(C213, "Blocks With Corrupt Replicas Monitoring"), "破損レプリカを持つブロックの監視", _xlfn.REGEXTEST(C213, "Missing Block Monitoring"), "消失（ミッシング）ブロックの監視", _xlfn.REGEXTEST(C213, "Under-replicated Block Monitoring"), "レプリカ数不足ブロックの監視", _xlfn.REGEXTEST(C213, "HDFS Free Space Monitoring"), "HDFSの空き容量監視", _xlfn.REGEXTEST(C213, "DataNode Monitoring"), "DataNodeの稼働状態監視", _xlfn.REGEXTEST(C213, "Rules to Extract Events from Log Files"), "ログファイルからのイベント抽出ルール設定", _xlfn.REGEXTEST(C213, "Free Space Monitoring$"), "空き容量監視（一般設定）", _xlfn.REGEXTEST(C213, "Transceivers Usage"), "トランシーバー使用量（データ転送スレッド数）", _xlfn.REGEXTEST(C213, "Volume Failures"), "ボリューム障害（ディスクエラー）数", _xlfn.REGEXTEST(C213, "Block Count"), "ブロック総数", _xlfn.REGEXTEST(C213, "Audit Failure"), "監査（オーディット）ログの失敗イベント", _xlfn.REGEXTEST(C213, "Web Metric Collection Duration"), "Webメトリック収集の所要時間", _xlfn.REGEXTEST(C213, "Pause Duration"), "一時停止（ポーズ）の所要時間", _xlfn.REGEXTEST(C213, "Fsync Latency"), "Fsync（ディスク同期）のレイテンシ", _xlfn.REGEXTEST(C213, "Free Space Monitoring Absolute"), "空き容量（絶対値）", _xlfn.REGEXTEST(C213, "Free Space Monitoring Percentage"), "空き容量割合（%）", _xlfn.REGEXTEST(C213, "Age Monitoring"), "経過時間の監視", _xlfn.REGEXTEST(C213, "Transactions Monitoring"), "トランザクション数の監視", _xlfn.REGEXTEST(C213, "RPC Latency"), "RPC（遠隔手続き呼出し）のレイテンシ", _xlfn.REGEXTEST(C213, "Directory Failures"), "ディレクトリ障害数", _xlfn.REGEXTEST(C213, "Out-Of-Sync JournalNodes"), "同期ズレが発生しているJournalNode数", _xlfn.REGEXTEST(C213, "Safemode Threshold Percentage"), "セーフモード解除閾値の割合（%）", _xlfn.REGEXTEST(C213, "Kerberos Ticket Renewer Monitoring"), "Kerberosチケット更新プロセスの稼働状態監視", _xlfn.REGEXTEST(C213, "Load Balancer Monitoring"), "ロードバランサーの稼働状態監視", _xlfn.REGEXTEST(C213, "Navigator Audit Failure"), "Cloudera Navigator監査ログの失敗イベント", _xlfn.REGEXTEST(C213, "Schema Registry Server Monitoring"), "Schema Registry Serverの稼働状態監視", _xlfn.REGEXTEST(C213, "SRM Service Monitoring"), "SRMサービスの稼働状態監視", _xlfn.REGEXTEST(C213, "SRM Driver Monitoring"), "SRMドライバーの稼働状態監視", _xlfn.REGEXTEST(C213, "Loggin"), "ログ出力状態・設定監視", _xlfn.REGEXTEST(C213, "Server Monitoring"), "サーバーの稼働状態監視", _xlfn.REGEXTEST(C213, "Server Connection Count"), "サーバーの接続数（コネクション数）", _xlfn.REGEXTEST(C213, "Server Outstanding Requests"), "サーバーの未処理リクエスト数（滞留要求数）", _xlfn.REGEXTEST(C213, "Repository Status"), "リポジトリのステータス状態", _xlfn.REGEXTEST(C213, "Monitor Long Running Task"), "長時間実行タスク（ジョブ）の監視", _xlfn.REGEXTEST(C213, "Token requests per second"), "1秒あたりのトークンリクエスト数（要求レート）", _xlfn.REGEXTEST(C213, "Connection Model Score"), "接続モデルスコア（コネクション品質）", _xlfn.REGEXTEST(C213, "Queue swap"), "キューのスワップ発生状態", _xlfn.REGEXTEST(C213, "NiFi Node Monitoring"), "NiFiノードの稼働状態監視", _xlfn.REGEXTEST(C213, "Host Clock Offset"), "ホストのクロックオフセット（時刻同期のズレ）", _xlfn.REGEXTEST(C213, "Memory Overcommit Validation"), "メモリオーバーコミット設定の検証", _xlfn.REGEXTEST(C213, "Gateway Logging"), "ゲートウェイのログ出力設定", _xlfn.REGEXTEST(C213, "CPU Balance"), "CPU使用率の分散バランス状態", _xlfn.REGEXTEST(C213, "Disk Balance"), "ディスク使用量の分散バランス状態", _xlfn.REGEXTEST(C213, "Network Inbound Balance"), "ネットワークインバウンド（受信）の分散バランス状態", _xlfn.REGEXTEST(C213, "Network Outbound Balance"), "ネットワークアウトバウンド（送信）の分散バランス状態", _xlfn.REGEXTEST(C213, "Replica Count Balance"), "レプリカ数の分散バランス状態", _xlfn.REGEXTEST(C213, "Disk Capacity"), "ディスク総容量の限界・使用容量", _xlfn.REGEXTEST(C213, "CPU Capacity"), "CPU総処理能力の限界・使用量", _xlfn.REGEXTEST(C213, "Network Inbound Capacity"), "ネットワークインバウンド（受信）帯域の限界・使用量", _xlfn.REGEXTEST(C213, "Network Outbound Capacity"), "ネットワークアウトバウンド（送信）帯域の限界・使用量", _xlfn.REGEXTEST(C213, "Leader Replica Count Balance"), "リーダーレプリカ数の分散バランス状態", _xlfn.REGEXTEST(C213, "Host DNS Resolution Duration"), "ホストのDNS名前解決の所要時間", _xlfn.REGEXTEST(C213, "TLS Certificate Expiry"), "TLS証明書の有効期限切れ", _xlfn.REGEXTEST(C213, "Host Entropy"), "ホストのエントロピー（乱数生成能力）の不足", _xlfn.REGEXTEST(C213, "File Descriptor"), "プロセスのファイルディスクリプタ使用率", _xlfn.REGEXTEST(C213, "Unexpected Exits"), "プロセスの異常終了（予期せぬ停止）", _xlfn.REGEXTEST(C213, "Swap Memory Thresholds"), "プロセスのスワップメモリ使用量", _xlfn.REGEXTEST(C213, "Swap Memory Usage Rate"), "スワップメモリ使用量の変化率（増加速度）", _xlfn.REGEXTEST(C213, "Log Directory Free Space.*Absolute"), "ログディレクトリの空き容量（絶対値）", _xlfn.REGEXTEST(C213, "Log Directory Free Space.*Percentage"), "ログディレクトリの空き容量割合（%）", _xlfn.REGEXTEST(C213, "Heap Dump Directory Free Space.*Absolute"), "ヒープダンプディレクトリの空き容量（絶対値）", _xlfn.REGEXTEST(C213, "Heap Dump Directory Free Space.*Percentage"), "ヒープダンプディレクトリの空き容量割合（%）", _xlfn.REGEXTEST(C213, "Data Directory Free Space.*Absolute"), "データディレクトリの空き容量（絶対値）", _xlfn.REGEXTEST(C213, "Data Directory Free Space.*Percentage"), "データディレクトリの空き容量割合（%）", _xlfn.REGEXTEST(C213, "Transaction Log Directory Free Space.*Absolute"), "トランザクションログディレクトリの空き容量（絶対値）", _xlfn.REGEXTEST(C213, "Logging Threshold|Logger Threshold"), "ログ出力レベルの閾値設定", _xlfn.REGEXTEST(C213, "Enable.*Alerts"), "ヘルスアラートの有効化状態", _xlfn.REGEXTEST(C213, "Triggers"), "カスタムアラート条件（トリガー設定）", _xlfn.REGEXTEST(C213, "Healthy Kafka Broker"), "Kafka Brokerの健全ノード割合（稼働率）", _xlfn.REGEXTEST(C213, "Healthy Kafka Connect"), "Kafka Connectの健全ノード割合（稼働率）", _xlfn.REGEXTEST(C213, "Healthy KRaft Controller"), "KRaft Controllerの健全ノード割合（稼働率）", _xlfn.REGEXTEST(C213, "Healthy Knox IDBroker"), "Knox IDBrokerの健全ノード割合（稼働率）", _xlfn.REGEXTEST(C213, "Healthy Knox Gateway"), "Knox Gatewayの健全ノード割合（稼働率）", _xlfn.REGEXTEST(C213, "Healthy ZooKeeper Server"), "ZooKeeper Serverの健全ノード割合（稼働率）", _xlfn.REGEXTEST(C213, "Healthy NodeManager"), "NodeManagerの健全ノード割合（稼働率）", _xlfn.REGEXTEST(C213, "Maximum Latency"), "リクエストの最大レイテンシ（処理遅延）", _xlfn.REGEXTEST(C213, "Garbage Collection Duration"), "Javaのガベージコレクション（GC）の所要時間", _xlfn.REGEXTEST(C213, "Spool Directory Usage"), "Rangerプラグインのスプールディレクトリ使用量", _xlfn.REGEXTEST(C213, "Process Directory Free Space Monitoring Absolute"), "プロセスディレクトリの空き容量（絶対値)", _xlfn.REGEXTEST(C213, "Process Directory Free Space.*Percentage"), "プロセスディレクトリの空き容量割合（%）", _xlfn.REGEXTEST(C213, "Parcel Directory Free Space.*Absolute"), "パーセルディレクトリの空き容量（絶対値）", _xlfn.REGEXTEST(C213, "Parcel Directory Free Space.*Percentage"), "パーセルディレクトリの空き容量割合（%）", _xlfn.REGEXTEST(C213, "Host Network Frame Error Percentage"), "ホストのネットワークフレームエラー割合（%）", _xlfn.REGEXTEST(C213, "Network Interfaces Slow Link Modes"), "ホストのネットワークインターフェースの低速リンクモード検出", _xlfn.REGEXTEST(C213, "Host Memory Swapping"), "ホストのメモリのスワップ発生状態", TRUE, "要手動確認")</f>
        <v>Schema Registry Serverの稼働状態監視</v>
      </c>
      <c r="H213" s="479" t="s">
        <v>1019</v>
      </c>
    </row>
    <row r="214" spans="1:8" ht="33.6">
      <c r="A214" s="514"/>
      <c r="B214" s="473"/>
      <c r="C214" s="471" t="s">
        <v>798</v>
      </c>
      <c r="D214" s="471" t="s">
        <v>710</v>
      </c>
      <c r="E214" s="471" t="s">
        <v>1017</v>
      </c>
      <c r="F214" s="471"/>
      <c r="G214" s="471" t="str" cm="1">
        <f t="array" ref="G214">_xlfn.IFS(C214 = "", "", _xlfn.REGEXTEST(C214, "Service Metric Migrator Minimum Consecutive Successful Checks"), "サービスメトリック移行ツールの連続正常チェック最小回数", _xlfn.REGEXTEST(C214, "Rebalancing"), "リバランシング（データ再配置）状態", _xlfn.REGEXTEST(C214, "Temporary Dump Directory"), "一時ダンプディレクトリの監視", _xlfn.REGEXTEST(C214, "Safemode Extension"), "セーフモード延長状態", _xlfn.REGEXTEST(C214, "Client Idle"), "クライアントのアイドル（待機）状態", _xlfn.REGEXTEST(C214, "Available Space Policy Balanced"), "空き容量ポリシーの分散バランス状態", _xlfn.REGEXTEST(C214, "Filesystem Checkpoint Transaction"), "ファイルシステムのチェックポイントトランザクション", _xlfn.REGEXTEST(C214, "Blocks With Corrupt Replicas Monitoring"), "破損レプリカを持つブロックの監視", _xlfn.REGEXTEST(C214, "Missing Block Monitoring"), "消失（ミッシング）ブロックの監視", _xlfn.REGEXTEST(C214, "Under-replicated Block Monitoring"), "レプリカ数不足ブロックの監視", _xlfn.REGEXTEST(C214, "HDFS Free Space Monitoring"), "HDFSの空き容量監視", _xlfn.REGEXTEST(C214, "DataNode Monitoring"), "DataNodeの稼働状態監視", _xlfn.REGEXTEST(C214, "Rules to Extract Events from Log Files"), "ログファイルからのイベント抽出ルール設定", _xlfn.REGEXTEST(C214, "Free Space Monitoring$"), "空き容量監視（一般設定）", _xlfn.REGEXTEST(C214, "Transceivers Usage"), "トランシーバー使用量（データ転送スレッド数）", _xlfn.REGEXTEST(C214, "Volume Failures"), "ボリューム障害（ディスクエラー）数", _xlfn.REGEXTEST(C214, "Block Count"), "ブロック総数", _xlfn.REGEXTEST(C214, "Audit Failure"), "監査（オーディット）ログの失敗イベント", _xlfn.REGEXTEST(C214, "Web Metric Collection Duration"), "Webメトリック収集の所要時間", _xlfn.REGEXTEST(C214, "Pause Duration"), "一時停止（ポーズ）の所要時間", _xlfn.REGEXTEST(C214, "Fsync Latency"), "Fsync（ディスク同期）のレイテンシ", _xlfn.REGEXTEST(C214, "Free Space Monitoring Absolute"), "空き容量（絶対値）", _xlfn.REGEXTEST(C214, "Free Space Monitoring Percentage"), "空き容量割合（%）", _xlfn.REGEXTEST(C214, "Age Monitoring"), "経過時間の監視", _xlfn.REGEXTEST(C214, "Transactions Monitoring"), "トランザクション数の監視", _xlfn.REGEXTEST(C214, "RPC Latency"), "RPC（遠隔手続き呼出し）のレイテンシ", _xlfn.REGEXTEST(C214, "Directory Failures"), "ディレクトリ障害数", _xlfn.REGEXTEST(C214, "Out-Of-Sync JournalNodes"), "同期ズレが発生しているJournalNode数", _xlfn.REGEXTEST(C214, "Safemode Threshold Percentage"), "セーフモード解除閾値の割合（%）", _xlfn.REGEXTEST(C214, "Kerberos Ticket Renewer Monitoring"), "Kerberosチケット更新プロセスの稼働状態監視", _xlfn.REGEXTEST(C214, "Load Balancer Monitoring"), "ロードバランサーの稼働状態監視", _xlfn.REGEXTEST(C214, "Navigator Audit Failure"), "Cloudera Navigator監査ログの失敗イベント", _xlfn.REGEXTEST(C214, "Schema Registry Server Monitoring"), "Schema Registry Serverの稼働状態監視", _xlfn.REGEXTEST(C214, "SRM Service Monitoring"), "SRMサービスの稼働状態監視", _xlfn.REGEXTEST(C214, "SRM Driver Monitoring"), "SRMドライバーの稼働状態監視", _xlfn.REGEXTEST(C214, "Loggin"), "ログ出力状態・設定監視", _xlfn.REGEXTEST(C214, "Server Monitoring"), "サーバーの稼働状態監視", _xlfn.REGEXTEST(C214, "Server Connection Count"), "サーバーの接続数（コネクション数）", _xlfn.REGEXTEST(C214, "Server Outstanding Requests"), "サーバーの未処理リクエスト数（滞留要求数）", _xlfn.REGEXTEST(C214, "Repository Status"), "リポジトリのステータス状態", _xlfn.REGEXTEST(C214, "Monitor Long Running Task"), "長時間実行タスク（ジョブ）の監視", _xlfn.REGEXTEST(C214, "Token requests per second"), "1秒あたりのトークンリクエスト数（要求レート）", _xlfn.REGEXTEST(C214, "Connection Model Score"), "接続モデルスコア（コネクション品質）", _xlfn.REGEXTEST(C214, "Queue swap"), "キューのスワップ発生状態", _xlfn.REGEXTEST(C214, "NiFi Node Monitoring"), "NiFiノードの稼働状態監視", _xlfn.REGEXTEST(C214, "Host Clock Offset"), "ホストのクロックオフセット（時刻同期のズレ）", _xlfn.REGEXTEST(C214, "Memory Overcommit Validation"), "メモリオーバーコミット設定の検証", _xlfn.REGEXTEST(C214, "Gateway Logging"), "ゲートウェイのログ出力設定", _xlfn.REGEXTEST(C214, "CPU Balance"), "CPU使用率の分散バランス状態", _xlfn.REGEXTEST(C214, "Disk Balance"), "ディスク使用量の分散バランス状態", _xlfn.REGEXTEST(C214, "Network Inbound Balance"), "ネットワークインバウンド（受信）の分散バランス状態", _xlfn.REGEXTEST(C214, "Network Outbound Balance"), "ネットワークアウトバウンド（送信）の分散バランス状態", _xlfn.REGEXTEST(C214, "Replica Count Balance"), "レプリカ数の分散バランス状態", _xlfn.REGEXTEST(C214, "Disk Capacity"), "ディスク総容量の限界・使用容量", _xlfn.REGEXTEST(C214, "CPU Capacity"), "CPU総処理能力の限界・使用量", _xlfn.REGEXTEST(C214, "Network Inbound Capacity"), "ネットワークインバウンド（受信）帯域の限界・使用量", _xlfn.REGEXTEST(C214, "Network Outbound Capacity"), "ネットワークアウトバウンド（送信）帯域の限界・使用量", _xlfn.REGEXTEST(C214, "Leader Replica Count Balance"), "リーダーレプリカ数の分散バランス状態", _xlfn.REGEXTEST(C214, "Host DNS Resolution Duration"), "ホストのDNS名前解決の所要時間", _xlfn.REGEXTEST(C214, "TLS Certificate Expiry"), "TLS証明書の有効期限切れ", _xlfn.REGEXTEST(C214, "Host Entropy"), "ホストのエントロピー（乱数生成能力）の不足", _xlfn.REGEXTEST(C214, "File Descriptor"), "プロセスのファイルディスクリプタ使用率", _xlfn.REGEXTEST(C214, "Unexpected Exits"), "プロセスの異常終了（予期せぬ停止）", _xlfn.REGEXTEST(C214, "Swap Memory Thresholds"), "プロセスのスワップメモリ使用量", _xlfn.REGEXTEST(C214, "Swap Memory Usage Rate"), "スワップメモリ使用量の変化率（増加速度）", _xlfn.REGEXTEST(C214, "Log Directory Free Space.*Absolute"), "ログディレクトリの空き容量（絶対値）", _xlfn.REGEXTEST(C214, "Log Directory Free Space.*Percentage"), "ログディレクトリの空き容量割合（%）", _xlfn.REGEXTEST(C214, "Heap Dump Directory Free Space.*Absolute"), "ヒープダンプディレクトリの空き容量（絶対値）", _xlfn.REGEXTEST(C214, "Heap Dump Directory Free Space.*Percentage"), "ヒープダンプディレクトリの空き容量割合（%）", _xlfn.REGEXTEST(C214, "Data Directory Free Space.*Absolute"), "データディレクトリの空き容量（絶対値）", _xlfn.REGEXTEST(C214, "Data Directory Free Space.*Percentage"), "データディレクトリの空き容量割合（%）", _xlfn.REGEXTEST(C214, "Transaction Log Directory Free Space.*Absolute"), "トランザクションログディレクトリの空き容量（絶対値）", _xlfn.REGEXTEST(C214, "Logging Threshold|Logger Threshold"), "ログ出力レベルの閾値設定", _xlfn.REGEXTEST(C214, "Enable.*Alerts"), "ヘルスアラートの有効化状態", _xlfn.REGEXTEST(C214, "Triggers"), "カスタムアラート条件（トリガー設定）", _xlfn.REGEXTEST(C214, "Healthy Kafka Broker"), "Kafka Brokerの健全ノード割合（稼働率）", _xlfn.REGEXTEST(C214, "Healthy Kafka Connect"), "Kafka Connectの健全ノード割合（稼働率）", _xlfn.REGEXTEST(C214, "Healthy KRaft Controller"), "KRaft Controllerの健全ノード割合（稼働率）", _xlfn.REGEXTEST(C214, "Healthy Knox IDBroker"), "Knox IDBrokerの健全ノード割合（稼働率）", _xlfn.REGEXTEST(C214, "Healthy Knox Gateway"), "Knox Gatewayの健全ノード割合（稼働率）", _xlfn.REGEXTEST(C214, "Healthy ZooKeeper Server"), "ZooKeeper Serverの健全ノード割合（稼働率）", _xlfn.REGEXTEST(C214, "Healthy NodeManager"), "NodeManagerの健全ノード割合（稼働率）", _xlfn.REGEXTEST(C214, "Maximum Latency"), "リクエストの最大レイテンシ（処理遅延）", _xlfn.REGEXTEST(C214, "Garbage Collection Duration"), "Javaのガベージコレクション（GC）の所要時間", _xlfn.REGEXTEST(C214, "Spool Directory Usage"), "Rangerプラグインのスプールディレクトリ使用量", _xlfn.REGEXTEST(C214, "Process Directory Free Space Monitoring Absolute"), "プロセスディレクトリの空き容量（絶対値)", _xlfn.REGEXTEST(C214, "Process Directory Free Space.*Percentage"), "プロセスディレクトリの空き容量割合（%）", _xlfn.REGEXTEST(C214, "Parcel Directory Free Space.*Absolute"), "パーセルディレクトリの空き容量（絶対値）", _xlfn.REGEXTEST(C214, "Parcel Directory Free Space.*Percentage"), "パーセルディレクトリの空き容量割合（%）", _xlfn.REGEXTEST(C214, "Host Network Frame Error Percentage"), "ホストのネットワークフレームエラー割合（%）", _xlfn.REGEXTEST(C214, "Network Interfaces Slow Link Modes"), "ホストのネットワークインターフェースの低速リンクモード検出", _xlfn.REGEXTEST(C214, "Host Memory Swapping"), "ホストのメモリのスワップ発生状態", TRUE, "要手動確認")</f>
        <v>ヘルスアラートの有効化状態</v>
      </c>
      <c r="H214" s="479" t="s">
        <v>790</v>
      </c>
    </row>
    <row r="215" spans="1:8" ht="33.6">
      <c r="A215" s="514"/>
      <c r="B215" s="473"/>
      <c r="C215" s="471" t="s">
        <v>736</v>
      </c>
      <c r="D215" s="471" t="s">
        <v>1020</v>
      </c>
      <c r="E215" s="471" t="s">
        <v>1017</v>
      </c>
      <c r="F215" s="471"/>
      <c r="G215" s="471" t="str" cm="1">
        <f t="array" ref="G215">_xlfn.IFS(C215 = "", "", _xlfn.REGEXTEST(C215, "Service Metric Migrator Minimum Consecutive Successful Checks"), "サービスメトリック移行ツールの連続正常チェック最小回数", _xlfn.REGEXTEST(C215, "Rebalancing"), "リバランシング（データ再配置）状態", _xlfn.REGEXTEST(C215, "Temporary Dump Directory"), "一時ダンプディレクトリの監視", _xlfn.REGEXTEST(C215, "Safemode Extension"), "セーフモード延長状態", _xlfn.REGEXTEST(C215, "Client Idle"), "クライアントのアイドル（待機）状態", _xlfn.REGEXTEST(C215, "Available Space Policy Balanced"), "空き容量ポリシーの分散バランス状態", _xlfn.REGEXTEST(C215, "Filesystem Checkpoint Transaction"), "ファイルシステムのチェックポイントトランザクション", _xlfn.REGEXTEST(C215, "Blocks With Corrupt Replicas Monitoring"), "破損レプリカを持つブロックの監視", _xlfn.REGEXTEST(C215, "Missing Block Monitoring"), "消失（ミッシング）ブロックの監視", _xlfn.REGEXTEST(C215, "Under-replicated Block Monitoring"), "レプリカ数不足ブロックの監視", _xlfn.REGEXTEST(C215, "HDFS Free Space Monitoring"), "HDFSの空き容量監視", _xlfn.REGEXTEST(C215, "DataNode Monitoring"), "DataNodeの稼働状態監視", _xlfn.REGEXTEST(C215, "Rules to Extract Events from Log Files"), "ログファイルからのイベント抽出ルール設定", _xlfn.REGEXTEST(C215, "Free Space Monitoring$"), "空き容量監視（一般設定）", _xlfn.REGEXTEST(C215, "Transceivers Usage"), "トランシーバー使用量（データ転送スレッド数）", _xlfn.REGEXTEST(C215, "Volume Failures"), "ボリューム障害（ディスクエラー）数", _xlfn.REGEXTEST(C215, "Block Count"), "ブロック総数", _xlfn.REGEXTEST(C215, "Audit Failure"), "監査（オーディット）ログの失敗イベント", _xlfn.REGEXTEST(C215, "Web Metric Collection Duration"), "Webメトリック収集の所要時間", _xlfn.REGEXTEST(C215, "Pause Duration"), "一時停止（ポーズ）の所要時間", _xlfn.REGEXTEST(C215, "Fsync Latency"), "Fsync（ディスク同期）のレイテンシ", _xlfn.REGEXTEST(C215, "Free Space Monitoring Absolute"), "空き容量（絶対値）", _xlfn.REGEXTEST(C215, "Free Space Monitoring Percentage"), "空き容量割合（%）", _xlfn.REGEXTEST(C215, "Age Monitoring"), "経過時間の監視", _xlfn.REGEXTEST(C215, "Transactions Monitoring"), "トランザクション数の監視", _xlfn.REGEXTEST(C215, "RPC Latency"), "RPC（遠隔手続き呼出し）のレイテンシ", _xlfn.REGEXTEST(C215, "Directory Failures"), "ディレクトリ障害数", _xlfn.REGEXTEST(C215, "Out-Of-Sync JournalNodes"), "同期ズレが発生しているJournalNode数", _xlfn.REGEXTEST(C215, "Safemode Threshold Percentage"), "セーフモード解除閾値の割合（%）", _xlfn.REGEXTEST(C215, "Kerberos Ticket Renewer Monitoring"), "Kerberosチケット更新プロセスの稼働状態監視", _xlfn.REGEXTEST(C215, "Load Balancer Monitoring"), "ロードバランサーの稼働状態監視", _xlfn.REGEXTEST(C215, "Navigator Audit Failure"), "Cloudera Navigator監査ログの失敗イベント", _xlfn.REGEXTEST(C215, "Schema Registry Server Monitoring"), "Schema Registry Serverの稼働状態監視", _xlfn.REGEXTEST(C215, "SRM Service Monitoring"), "SRMサービスの稼働状態監視", _xlfn.REGEXTEST(C215, "SRM Driver Monitoring"), "SRMドライバーの稼働状態監視", _xlfn.REGEXTEST(C215, "Loggin"), "ログ出力状態・設定監視", _xlfn.REGEXTEST(C215, "Server Monitoring"), "サーバーの稼働状態監視", _xlfn.REGEXTEST(C215, "Server Connection Count"), "サーバーの接続数（コネクション数）", _xlfn.REGEXTEST(C215, "Server Outstanding Requests"), "サーバーの未処理リクエスト数（滞留要求数）", _xlfn.REGEXTEST(C215, "Repository Status"), "リポジトリのステータス状態", _xlfn.REGEXTEST(C215, "Monitor Long Running Task"), "長時間実行タスク（ジョブ）の監視", _xlfn.REGEXTEST(C215, "Token requests per second"), "1秒あたりのトークンリクエスト数（要求レート）", _xlfn.REGEXTEST(C215, "Connection Model Score"), "接続モデルスコア（コネクション品質）", _xlfn.REGEXTEST(C215, "Queue swap"), "キューのスワップ発生状態", _xlfn.REGEXTEST(C215, "NiFi Node Monitoring"), "NiFiノードの稼働状態監視", _xlfn.REGEXTEST(C215, "Host Clock Offset"), "ホストのクロックオフセット（時刻同期のズレ）", _xlfn.REGEXTEST(C215, "Memory Overcommit Validation"), "メモリオーバーコミット設定の検証", _xlfn.REGEXTEST(C215, "Gateway Logging"), "ゲートウェイのログ出力設定", _xlfn.REGEXTEST(C215, "CPU Balance"), "CPU使用率の分散バランス状態", _xlfn.REGEXTEST(C215, "Disk Balance"), "ディスク使用量の分散バランス状態", _xlfn.REGEXTEST(C215, "Network Inbound Balance"), "ネットワークインバウンド（受信）の分散バランス状態", _xlfn.REGEXTEST(C215, "Network Outbound Balance"), "ネットワークアウトバウンド（送信）の分散バランス状態", _xlfn.REGEXTEST(C215, "Replica Count Balance"), "レプリカ数の分散バランス状態", _xlfn.REGEXTEST(C215, "Disk Capacity"), "ディスク総容量の限界・使用容量", _xlfn.REGEXTEST(C215, "CPU Capacity"), "CPU総処理能力の限界・使用量", _xlfn.REGEXTEST(C215, "Network Inbound Capacity"), "ネットワークインバウンド（受信）帯域の限界・使用量", _xlfn.REGEXTEST(C215, "Network Outbound Capacity"), "ネットワークアウトバウンド（送信）帯域の限界・使用量", _xlfn.REGEXTEST(C215, "Leader Replica Count Balance"), "リーダーレプリカ数の分散バランス状態", _xlfn.REGEXTEST(C215, "Host DNS Resolution Duration"), "ホストのDNS名前解決の所要時間", _xlfn.REGEXTEST(C215, "TLS Certificate Expiry"), "TLS証明書の有効期限切れ", _xlfn.REGEXTEST(C215, "Host Entropy"), "ホストのエントロピー（乱数生成能力）の不足", _xlfn.REGEXTEST(C215, "File Descriptor"), "プロセスのファイルディスクリプタ使用率", _xlfn.REGEXTEST(C215, "Unexpected Exits"), "プロセスの異常終了（予期せぬ停止）", _xlfn.REGEXTEST(C215, "Swap Memory Thresholds"), "プロセスのスワップメモリ使用量", _xlfn.REGEXTEST(C215, "Swap Memory Usage Rate"), "スワップメモリ使用量の変化率（増加速度）", _xlfn.REGEXTEST(C215, "Log Directory Free Space.*Absolute"), "ログディレクトリの空き容量（絶対値）", _xlfn.REGEXTEST(C215, "Log Directory Free Space.*Percentage"), "ログディレクトリの空き容量割合（%）", _xlfn.REGEXTEST(C215, "Heap Dump Directory Free Space.*Absolute"), "ヒープダンプディレクトリの空き容量（絶対値）", _xlfn.REGEXTEST(C215, "Heap Dump Directory Free Space.*Percentage"), "ヒープダンプディレクトリの空き容量割合（%）", _xlfn.REGEXTEST(C215, "Data Directory Free Space.*Absolute"), "データディレクトリの空き容量（絶対値）", _xlfn.REGEXTEST(C215, "Data Directory Free Space.*Percentage"), "データディレクトリの空き容量割合（%）", _xlfn.REGEXTEST(C215, "Transaction Log Directory Free Space.*Absolute"), "トランザクションログディレクトリの空き容量（絶対値）", _xlfn.REGEXTEST(C215, "Logging Threshold|Logger Threshold"), "ログ出力レベルの閾値設定", _xlfn.REGEXTEST(C215, "Enable.*Alerts"), "ヘルスアラートの有効化状態", _xlfn.REGEXTEST(C215, "Triggers"), "カスタムアラート条件（トリガー設定）", _xlfn.REGEXTEST(C215, "Healthy Kafka Broker"), "Kafka Brokerの健全ノード割合（稼働率）", _xlfn.REGEXTEST(C215, "Healthy Kafka Connect"), "Kafka Connectの健全ノード割合（稼働率）", _xlfn.REGEXTEST(C215, "Healthy KRaft Controller"), "KRaft Controllerの健全ノード割合（稼働率）", _xlfn.REGEXTEST(C215, "Healthy Knox IDBroker"), "Knox IDBrokerの健全ノード割合（稼働率）", _xlfn.REGEXTEST(C215, "Healthy Knox Gateway"), "Knox Gatewayの健全ノード割合（稼働率）", _xlfn.REGEXTEST(C215, "Healthy ZooKeeper Server"), "ZooKeeper Serverの健全ノード割合（稼働率）", _xlfn.REGEXTEST(C215, "Healthy NodeManager"), "NodeManagerの健全ノード割合（稼働率）", _xlfn.REGEXTEST(C215, "Maximum Latency"), "リクエストの最大レイテンシ（処理遅延）", _xlfn.REGEXTEST(C215, "Garbage Collection Duration"), "Javaのガベージコレクション（GC）の所要時間", _xlfn.REGEXTEST(C215, "Spool Directory Usage"), "Rangerプラグインのスプールディレクトリ使用量", _xlfn.REGEXTEST(C215, "Process Directory Free Space Monitoring Absolute"), "プロセスディレクトリの空き容量（絶対値)", _xlfn.REGEXTEST(C215, "Process Directory Free Space.*Percentage"), "プロセスディレクトリの空き容量割合（%）", _xlfn.REGEXTEST(C215, "Parcel Directory Free Space.*Absolute"), "パーセルディレクトリの空き容量（絶対値）", _xlfn.REGEXTEST(C215, "Parcel Directory Free Space.*Percentage"), "パーセルディレクトリの空き容量割合（%）", _xlfn.REGEXTEST(C215, "Host Network Frame Error Percentage"), "ホストのネットワークフレームエラー割合（%）", _xlfn.REGEXTEST(C215, "Network Interfaces Slow Link Modes"), "ホストのネットワークインターフェースの低速リンクモード検出", _xlfn.REGEXTEST(C215, "Host Memory Swapping"), "ホストのメモリのスワップ発生状態", TRUE, "要手動確認")</f>
        <v>プロセスのファイルディスクリプタ使用率</v>
      </c>
      <c r="H215" s="479" t="s">
        <v>740</v>
      </c>
    </row>
    <row r="216" spans="1:8" ht="33.6">
      <c r="A216" s="514"/>
      <c r="B216" s="473"/>
      <c r="C216" s="471" t="s">
        <v>741</v>
      </c>
      <c r="D216" s="471" t="s">
        <v>742</v>
      </c>
      <c r="E216" s="471" t="s">
        <v>1017</v>
      </c>
      <c r="F216" s="471"/>
      <c r="G216" s="471" t="str" cm="1">
        <f t="array" ref="G216">_xlfn.IFS(C216 = "", "", _xlfn.REGEXTEST(C216, "Service Metric Migrator Minimum Consecutive Successful Checks"), "サービスメトリック移行ツールの連続正常チェック最小回数", _xlfn.REGEXTEST(C216, "Rebalancing"), "リバランシング（データ再配置）状態", _xlfn.REGEXTEST(C216, "Temporary Dump Directory"), "一時ダンプディレクトリの監視", _xlfn.REGEXTEST(C216, "Safemode Extension"), "セーフモード延長状態", _xlfn.REGEXTEST(C216, "Client Idle"), "クライアントのアイドル（待機）状態", _xlfn.REGEXTEST(C216, "Available Space Policy Balanced"), "空き容量ポリシーの分散バランス状態", _xlfn.REGEXTEST(C216, "Filesystem Checkpoint Transaction"), "ファイルシステムのチェックポイントトランザクション", _xlfn.REGEXTEST(C216, "Blocks With Corrupt Replicas Monitoring"), "破損レプリカを持つブロックの監視", _xlfn.REGEXTEST(C216, "Missing Block Monitoring"), "消失（ミッシング）ブロックの監視", _xlfn.REGEXTEST(C216, "Under-replicated Block Monitoring"), "レプリカ数不足ブロックの監視", _xlfn.REGEXTEST(C216, "HDFS Free Space Monitoring"), "HDFSの空き容量監視", _xlfn.REGEXTEST(C216, "DataNode Monitoring"), "DataNodeの稼働状態監視", _xlfn.REGEXTEST(C216, "Rules to Extract Events from Log Files"), "ログファイルからのイベント抽出ルール設定", _xlfn.REGEXTEST(C216, "Free Space Monitoring$"), "空き容量監視（一般設定）", _xlfn.REGEXTEST(C216, "Transceivers Usage"), "トランシーバー使用量（データ転送スレッド数）", _xlfn.REGEXTEST(C216, "Volume Failures"), "ボリューム障害（ディスクエラー）数", _xlfn.REGEXTEST(C216, "Block Count"), "ブロック総数", _xlfn.REGEXTEST(C216, "Audit Failure"), "監査（オーディット）ログの失敗イベント", _xlfn.REGEXTEST(C216, "Web Metric Collection Duration"), "Webメトリック収集の所要時間", _xlfn.REGEXTEST(C216, "Pause Duration"), "一時停止（ポーズ）の所要時間", _xlfn.REGEXTEST(C216, "Fsync Latency"), "Fsync（ディスク同期）のレイテンシ", _xlfn.REGEXTEST(C216, "Free Space Monitoring Absolute"), "空き容量（絶対値）", _xlfn.REGEXTEST(C216, "Free Space Monitoring Percentage"), "空き容量割合（%）", _xlfn.REGEXTEST(C216, "Age Monitoring"), "経過時間の監視", _xlfn.REGEXTEST(C216, "Transactions Monitoring"), "トランザクション数の監視", _xlfn.REGEXTEST(C216, "RPC Latency"), "RPC（遠隔手続き呼出し）のレイテンシ", _xlfn.REGEXTEST(C216, "Directory Failures"), "ディレクトリ障害数", _xlfn.REGEXTEST(C216, "Out-Of-Sync JournalNodes"), "同期ズレが発生しているJournalNode数", _xlfn.REGEXTEST(C216, "Safemode Threshold Percentage"), "セーフモード解除閾値の割合（%）", _xlfn.REGEXTEST(C216, "Kerberos Ticket Renewer Monitoring"), "Kerberosチケット更新プロセスの稼働状態監視", _xlfn.REGEXTEST(C216, "Load Balancer Monitoring"), "ロードバランサーの稼働状態監視", _xlfn.REGEXTEST(C216, "Navigator Audit Failure"), "Cloudera Navigator監査ログの失敗イベント", _xlfn.REGEXTEST(C216, "Schema Registry Server Monitoring"), "Schema Registry Serverの稼働状態監視", _xlfn.REGEXTEST(C216, "SRM Service Monitoring"), "SRMサービスの稼働状態監視", _xlfn.REGEXTEST(C216, "SRM Driver Monitoring"), "SRMドライバーの稼働状態監視", _xlfn.REGEXTEST(C216, "Loggin"), "ログ出力状態・設定監視", _xlfn.REGEXTEST(C216, "Server Monitoring"), "サーバーの稼働状態監視", _xlfn.REGEXTEST(C216, "Server Connection Count"), "サーバーの接続数（コネクション数）", _xlfn.REGEXTEST(C216, "Server Outstanding Requests"), "サーバーの未処理リクエスト数（滞留要求数）", _xlfn.REGEXTEST(C216, "Repository Status"), "リポジトリのステータス状態", _xlfn.REGEXTEST(C216, "Monitor Long Running Task"), "長時間実行タスク（ジョブ）の監視", _xlfn.REGEXTEST(C216, "Token requests per second"), "1秒あたりのトークンリクエスト数（要求レート）", _xlfn.REGEXTEST(C216, "Connection Model Score"), "接続モデルスコア（コネクション品質）", _xlfn.REGEXTEST(C216, "Queue swap"), "キューのスワップ発生状態", _xlfn.REGEXTEST(C216, "NiFi Node Monitoring"), "NiFiノードの稼働状態監視", _xlfn.REGEXTEST(C216, "Host Clock Offset"), "ホストのクロックオフセット（時刻同期のズレ）", _xlfn.REGEXTEST(C216, "Memory Overcommit Validation"), "メモリオーバーコミット設定の検証", _xlfn.REGEXTEST(C216, "Gateway Logging"), "ゲートウェイのログ出力設定", _xlfn.REGEXTEST(C216, "CPU Balance"), "CPU使用率の分散バランス状態", _xlfn.REGEXTEST(C216, "Disk Balance"), "ディスク使用量の分散バランス状態", _xlfn.REGEXTEST(C216, "Network Inbound Balance"), "ネットワークインバウンド（受信）の分散バランス状態", _xlfn.REGEXTEST(C216, "Network Outbound Balance"), "ネットワークアウトバウンド（送信）の分散バランス状態", _xlfn.REGEXTEST(C216, "Replica Count Balance"), "レプリカ数の分散バランス状態", _xlfn.REGEXTEST(C216, "Disk Capacity"), "ディスク総容量の限界・使用容量", _xlfn.REGEXTEST(C216, "CPU Capacity"), "CPU総処理能力の限界・使用量", _xlfn.REGEXTEST(C216, "Network Inbound Capacity"), "ネットワークインバウンド（受信）帯域の限界・使用量", _xlfn.REGEXTEST(C216, "Network Outbound Capacity"), "ネットワークアウトバウンド（送信）帯域の限界・使用量", _xlfn.REGEXTEST(C216, "Leader Replica Count Balance"), "リーダーレプリカ数の分散バランス状態", _xlfn.REGEXTEST(C216, "Host DNS Resolution Duration"), "ホストのDNS名前解決の所要時間", _xlfn.REGEXTEST(C216, "TLS Certificate Expiry"), "TLS証明書の有効期限切れ", _xlfn.REGEXTEST(C216, "Host Entropy"), "ホストのエントロピー（乱数生成能力）の不足", _xlfn.REGEXTEST(C216, "File Descriptor"), "プロセスのファイルディスクリプタ使用率", _xlfn.REGEXTEST(C216, "Unexpected Exits"), "プロセスの異常終了（予期せぬ停止）", _xlfn.REGEXTEST(C216, "Swap Memory Thresholds"), "プロセスのスワップメモリ使用量", _xlfn.REGEXTEST(C216, "Swap Memory Usage Rate"), "スワップメモリ使用量の変化率（増加速度）", _xlfn.REGEXTEST(C216, "Log Directory Free Space.*Absolute"), "ログディレクトリの空き容量（絶対値）", _xlfn.REGEXTEST(C216, "Log Directory Free Space.*Percentage"), "ログディレクトリの空き容量割合（%）", _xlfn.REGEXTEST(C216, "Heap Dump Directory Free Space.*Absolute"), "ヒープダンプディレクトリの空き容量（絶対値）", _xlfn.REGEXTEST(C216, "Heap Dump Directory Free Space.*Percentage"), "ヒープダンプディレクトリの空き容量割合（%）", _xlfn.REGEXTEST(C216, "Data Directory Free Space.*Absolute"), "データディレクトリの空き容量（絶対値）", _xlfn.REGEXTEST(C216, "Data Directory Free Space.*Percentage"), "データディレクトリの空き容量割合（%）", _xlfn.REGEXTEST(C216, "Transaction Log Directory Free Space.*Absolute"), "トランザクションログディレクトリの空き容量（絶対値）", _xlfn.REGEXTEST(C216, "Logging Threshold|Logger Threshold"), "ログ出力レベルの閾値設定", _xlfn.REGEXTEST(C216, "Enable.*Alerts"), "ヘルスアラートの有効化状態", _xlfn.REGEXTEST(C216, "Triggers"), "カスタムアラート条件（トリガー設定）", _xlfn.REGEXTEST(C216, "Healthy Kafka Broker"), "Kafka Brokerの健全ノード割合（稼働率）", _xlfn.REGEXTEST(C216, "Healthy Kafka Connect"), "Kafka Connectの健全ノード割合（稼働率）", _xlfn.REGEXTEST(C216, "Healthy KRaft Controller"), "KRaft Controllerの健全ノード割合（稼働率）", _xlfn.REGEXTEST(C216, "Healthy Knox IDBroker"), "Knox IDBrokerの健全ノード割合（稼働率）", _xlfn.REGEXTEST(C216, "Healthy Knox Gateway"), "Knox Gatewayの健全ノード割合（稼働率）", _xlfn.REGEXTEST(C216, "Healthy ZooKeeper Server"), "ZooKeeper Serverの健全ノード割合（稼働率）", _xlfn.REGEXTEST(C216, "Healthy NodeManager"), "NodeManagerの健全ノード割合（稼働率）", _xlfn.REGEXTEST(C216, "Maximum Latency"), "リクエストの最大レイテンシ（処理遅延）", _xlfn.REGEXTEST(C216, "Garbage Collection Duration"), "Javaのガベージコレクション（GC）の所要時間", _xlfn.REGEXTEST(C216, "Spool Directory Usage"), "Rangerプラグインのスプールディレクトリ使用量", _xlfn.REGEXTEST(C216, "Process Directory Free Space Monitoring Absolute"), "プロセスディレクトリの空き容量（絶対値)", _xlfn.REGEXTEST(C216, "Process Directory Free Space.*Percentage"), "プロセスディレクトリの空き容量割合（%）", _xlfn.REGEXTEST(C216, "Parcel Directory Free Space.*Absolute"), "パーセルディレクトリの空き容量（絶対値）", _xlfn.REGEXTEST(C216, "Parcel Directory Free Space.*Percentage"), "パーセルディレクトリの空き容量割合（%）", _xlfn.REGEXTEST(C216, "Host Network Frame Error Percentage"), "ホストのネットワークフレームエラー割合（%）", _xlfn.REGEXTEST(C216, "Network Interfaces Slow Link Modes"), "ホストのネットワークインターフェースの低速リンクモード検出", _xlfn.REGEXTEST(C216, "Host Memory Swapping"), "ホストのメモリのスワップ発生状態", TRUE, "要手動確認")</f>
        <v>空き容量（絶対値）</v>
      </c>
      <c r="H216" s="479" t="s">
        <v>1021</v>
      </c>
    </row>
    <row r="217" spans="1:8" ht="33.6">
      <c r="A217" s="514"/>
      <c r="B217" s="473"/>
      <c r="C217" s="471" t="s">
        <v>746</v>
      </c>
      <c r="D217" s="471" t="s">
        <v>747</v>
      </c>
      <c r="E217" s="471" t="s">
        <v>1017</v>
      </c>
      <c r="F217" s="471"/>
      <c r="G217" s="471" t="str" cm="1">
        <f t="array" ref="G217">_xlfn.IFS(C217 = "", "", _xlfn.REGEXTEST(C217, "Service Metric Migrator Minimum Consecutive Successful Checks"), "サービスメトリック移行ツールの連続正常チェック最小回数", _xlfn.REGEXTEST(C217, "Rebalancing"), "リバランシング（データ再配置）状態", _xlfn.REGEXTEST(C217, "Temporary Dump Directory"), "一時ダンプディレクトリの監視", _xlfn.REGEXTEST(C217, "Safemode Extension"), "セーフモード延長状態", _xlfn.REGEXTEST(C217, "Client Idle"), "クライアントのアイドル（待機）状態", _xlfn.REGEXTEST(C217, "Available Space Policy Balanced"), "空き容量ポリシーの分散バランス状態", _xlfn.REGEXTEST(C217, "Filesystem Checkpoint Transaction"), "ファイルシステムのチェックポイントトランザクション", _xlfn.REGEXTEST(C217, "Blocks With Corrupt Replicas Monitoring"), "破損レプリカを持つブロックの監視", _xlfn.REGEXTEST(C217, "Missing Block Monitoring"), "消失（ミッシング）ブロックの監視", _xlfn.REGEXTEST(C217, "Under-replicated Block Monitoring"), "レプリカ数不足ブロックの監視", _xlfn.REGEXTEST(C217, "HDFS Free Space Monitoring"), "HDFSの空き容量監視", _xlfn.REGEXTEST(C217, "DataNode Monitoring"), "DataNodeの稼働状態監視", _xlfn.REGEXTEST(C217, "Rules to Extract Events from Log Files"), "ログファイルからのイベント抽出ルール設定", _xlfn.REGEXTEST(C217, "Free Space Monitoring$"), "空き容量監視（一般設定）", _xlfn.REGEXTEST(C217, "Transceivers Usage"), "トランシーバー使用量（データ転送スレッド数）", _xlfn.REGEXTEST(C217, "Volume Failures"), "ボリューム障害（ディスクエラー）数", _xlfn.REGEXTEST(C217, "Block Count"), "ブロック総数", _xlfn.REGEXTEST(C217, "Audit Failure"), "監査（オーディット）ログの失敗イベント", _xlfn.REGEXTEST(C217, "Web Metric Collection Duration"), "Webメトリック収集の所要時間", _xlfn.REGEXTEST(C217, "Pause Duration"), "一時停止（ポーズ）の所要時間", _xlfn.REGEXTEST(C217, "Fsync Latency"), "Fsync（ディスク同期）のレイテンシ", _xlfn.REGEXTEST(C217, "Free Space Monitoring Absolute"), "空き容量（絶対値）", _xlfn.REGEXTEST(C217, "Free Space Monitoring Percentage"), "空き容量割合（%）", _xlfn.REGEXTEST(C217, "Age Monitoring"), "経過時間の監視", _xlfn.REGEXTEST(C217, "Transactions Monitoring"), "トランザクション数の監視", _xlfn.REGEXTEST(C217, "RPC Latency"), "RPC（遠隔手続き呼出し）のレイテンシ", _xlfn.REGEXTEST(C217, "Directory Failures"), "ディレクトリ障害数", _xlfn.REGEXTEST(C217, "Out-Of-Sync JournalNodes"), "同期ズレが発生しているJournalNode数", _xlfn.REGEXTEST(C217, "Safemode Threshold Percentage"), "セーフモード解除閾値の割合（%）", _xlfn.REGEXTEST(C217, "Kerberos Ticket Renewer Monitoring"), "Kerberosチケット更新プロセスの稼働状態監視", _xlfn.REGEXTEST(C217, "Load Balancer Monitoring"), "ロードバランサーの稼働状態監視", _xlfn.REGEXTEST(C217, "Navigator Audit Failure"), "Cloudera Navigator監査ログの失敗イベント", _xlfn.REGEXTEST(C217, "Schema Registry Server Monitoring"), "Schema Registry Serverの稼働状態監視", _xlfn.REGEXTEST(C217, "SRM Service Monitoring"), "SRMサービスの稼働状態監視", _xlfn.REGEXTEST(C217, "SRM Driver Monitoring"), "SRMドライバーの稼働状態監視", _xlfn.REGEXTEST(C217, "Loggin"), "ログ出力状態・設定監視", _xlfn.REGEXTEST(C217, "Server Monitoring"), "サーバーの稼働状態監視", _xlfn.REGEXTEST(C217, "Server Connection Count"), "サーバーの接続数（コネクション数）", _xlfn.REGEXTEST(C217, "Server Outstanding Requests"), "サーバーの未処理リクエスト数（滞留要求数）", _xlfn.REGEXTEST(C217, "Repository Status"), "リポジトリのステータス状態", _xlfn.REGEXTEST(C217, "Monitor Long Running Task"), "長時間実行タスク（ジョブ）の監視", _xlfn.REGEXTEST(C217, "Token requests per second"), "1秒あたりのトークンリクエスト数（要求レート）", _xlfn.REGEXTEST(C217, "Connection Model Score"), "接続モデルスコア（コネクション品質）", _xlfn.REGEXTEST(C217, "Queue swap"), "キューのスワップ発生状態", _xlfn.REGEXTEST(C217, "NiFi Node Monitoring"), "NiFiノードの稼働状態監視", _xlfn.REGEXTEST(C217, "Host Clock Offset"), "ホストのクロックオフセット（時刻同期のズレ）", _xlfn.REGEXTEST(C217, "Memory Overcommit Validation"), "メモリオーバーコミット設定の検証", _xlfn.REGEXTEST(C217, "Gateway Logging"), "ゲートウェイのログ出力設定", _xlfn.REGEXTEST(C217, "CPU Balance"), "CPU使用率の分散バランス状態", _xlfn.REGEXTEST(C217, "Disk Balance"), "ディスク使用量の分散バランス状態", _xlfn.REGEXTEST(C217, "Network Inbound Balance"), "ネットワークインバウンド（受信）の分散バランス状態", _xlfn.REGEXTEST(C217, "Network Outbound Balance"), "ネットワークアウトバウンド（送信）の分散バランス状態", _xlfn.REGEXTEST(C217, "Replica Count Balance"), "レプリカ数の分散バランス状態", _xlfn.REGEXTEST(C217, "Disk Capacity"), "ディスク総容量の限界・使用容量", _xlfn.REGEXTEST(C217, "CPU Capacity"), "CPU総処理能力の限界・使用量", _xlfn.REGEXTEST(C217, "Network Inbound Capacity"), "ネットワークインバウンド（受信）帯域の限界・使用量", _xlfn.REGEXTEST(C217, "Network Outbound Capacity"), "ネットワークアウトバウンド（送信）帯域の限界・使用量", _xlfn.REGEXTEST(C217, "Leader Replica Count Balance"), "リーダーレプリカ数の分散バランス状態", _xlfn.REGEXTEST(C217, "Host DNS Resolution Duration"), "ホストのDNS名前解決の所要時間", _xlfn.REGEXTEST(C217, "TLS Certificate Expiry"), "TLS証明書の有効期限切れ", _xlfn.REGEXTEST(C217, "Host Entropy"), "ホストのエントロピー（乱数生成能力）の不足", _xlfn.REGEXTEST(C217, "File Descriptor"), "プロセスのファイルディスクリプタ使用率", _xlfn.REGEXTEST(C217, "Unexpected Exits"), "プロセスの異常終了（予期せぬ停止）", _xlfn.REGEXTEST(C217, "Swap Memory Thresholds"), "プロセスのスワップメモリ使用量", _xlfn.REGEXTEST(C217, "Swap Memory Usage Rate"), "スワップメモリ使用量の変化率（増加速度）", _xlfn.REGEXTEST(C217, "Log Directory Free Space.*Absolute"), "ログディレクトリの空き容量（絶対値）", _xlfn.REGEXTEST(C217, "Log Directory Free Space.*Percentage"), "ログディレクトリの空き容量割合（%）", _xlfn.REGEXTEST(C217, "Heap Dump Directory Free Space.*Absolute"), "ヒープダンプディレクトリの空き容量（絶対値）", _xlfn.REGEXTEST(C217, "Heap Dump Directory Free Space.*Percentage"), "ヒープダンプディレクトリの空き容量割合（%）", _xlfn.REGEXTEST(C217, "Data Directory Free Space.*Absolute"), "データディレクトリの空き容量（絶対値）", _xlfn.REGEXTEST(C217, "Data Directory Free Space.*Percentage"), "データディレクトリの空き容量割合（%）", _xlfn.REGEXTEST(C217, "Transaction Log Directory Free Space.*Absolute"), "トランザクションログディレクトリの空き容量（絶対値）", _xlfn.REGEXTEST(C217, "Logging Threshold|Logger Threshold"), "ログ出力レベルの閾値設定", _xlfn.REGEXTEST(C217, "Enable.*Alerts"), "ヘルスアラートの有効化状態", _xlfn.REGEXTEST(C217, "Triggers"), "カスタムアラート条件（トリガー設定）", _xlfn.REGEXTEST(C217, "Healthy Kafka Broker"), "Kafka Brokerの健全ノード割合（稼働率）", _xlfn.REGEXTEST(C217, "Healthy Kafka Connect"), "Kafka Connectの健全ノード割合（稼働率）", _xlfn.REGEXTEST(C217, "Healthy KRaft Controller"), "KRaft Controllerの健全ノード割合（稼働率）", _xlfn.REGEXTEST(C217, "Healthy Knox IDBroker"), "Knox IDBrokerの健全ノード割合（稼働率）", _xlfn.REGEXTEST(C217, "Healthy Knox Gateway"), "Knox Gatewayの健全ノード割合（稼働率）", _xlfn.REGEXTEST(C217, "Healthy ZooKeeper Server"), "ZooKeeper Serverの健全ノード割合（稼働率）", _xlfn.REGEXTEST(C217, "Healthy NodeManager"), "NodeManagerの健全ノード割合（稼働率）", _xlfn.REGEXTEST(C217, "Maximum Latency"), "リクエストの最大レイテンシ（処理遅延）", _xlfn.REGEXTEST(C217, "Garbage Collection Duration"), "Javaのガベージコレクション（GC）の所要時間", _xlfn.REGEXTEST(C217, "Spool Directory Usage"), "Rangerプラグインのスプールディレクトリ使用量", _xlfn.REGEXTEST(C217, "Process Directory Free Space Monitoring Absolute"), "プロセスディレクトリの空き容量（絶対値)", _xlfn.REGEXTEST(C217, "Process Directory Free Space.*Percentage"), "プロセスディレクトリの空き容量割合（%）", _xlfn.REGEXTEST(C217, "Parcel Directory Free Space.*Absolute"), "パーセルディレクトリの空き容量（絶対値）", _xlfn.REGEXTEST(C217, "Parcel Directory Free Space.*Percentage"), "パーセルディレクトリの空き容量割合（%）", _xlfn.REGEXTEST(C217, "Host Network Frame Error Percentage"), "ホストのネットワークフレームエラー割合（%）", _xlfn.REGEXTEST(C217, "Network Interfaces Slow Link Modes"), "ホストのネットワークインターフェースの低速リンクモード検出", _xlfn.REGEXTEST(C217, "Host Memory Swapping"), "ホストのメモリのスワップ発生状態", TRUE, "要手動確認")</f>
        <v>空き容量割合（%）</v>
      </c>
      <c r="H217" s="479" t="s">
        <v>683</v>
      </c>
    </row>
    <row r="218" spans="1:8" ht="33.6">
      <c r="A218" s="514"/>
      <c r="B218" s="473"/>
      <c r="C218" s="471" t="s">
        <v>749</v>
      </c>
      <c r="D218" s="471" t="s">
        <v>750</v>
      </c>
      <c r="E218" s="471" t="s">
        <v>1017</v>
      </c>
      <c r="F218" s="471"/>
      <c r="G218" s="471" t="str" cm="1">
        <f t="array" ref="G218">_xlfn.IFS(C218 = "", "", _xlfn.REGEXTEST(C218, "Service Metric Migrator Minimum Consecutive Successful Checks"), "サービスメトリック移行ツールの連続正常チェック最小回数", _xlfn.REGEXTEST(C218, "Rebalancing"), "リバランシング（データ再配置）状態", _xlfn.REGEXTEST(C218, "Temporary Dump Directory"), "一時ダンプディレクトリの監視", _xlfn.REGEXTEST(C218, "Safemode Extension"), "セーフモード延長状態", _xlfn.REGEXTEST(C218, "Client Idle"), "クライアントのアイドル（待機）状態", _xlfn.REGEXTEST(C218, "Available Space Policy Balanced"), "空き容量ポリシーの分散バランス状態", _xlfn.REGEXTEST(C218, "Filesystem Checkpoint Transaction"), "ファイルシステムのチェックポイントトランザクション", _xlfn.REGEXTEST(C218, "Blocks With Corrupt Replicas Monitoring"), "破損レプリカを持つブロックの監視", _xlfn.REGEXTEST(C218, "Missing Block Monitoring"), "消失（ミッシング）ブロックの監視", _xlfn.REGEXTEST(C218, "Under-replicated Block Monitoring"), "レプリカ数不足ブロックの監視", _xlfn.REGEXTEST(C218, "HDFS Free Space Monitoring"), "HDFSの空き容量監視", _xlfn.REGEXTEST(C218, "DataNode Monitoring"), "DataNodeの稼働状態監視", _xlfn.REGEXTEST(C218, "Rules to Extract Events from Log Files"), "ログファイルからのイベント抽出ルール設定", _xlfn.REGEXTEST(C218, "Free Space Monitoring$"), "空き容量監視（一般設定）", _xlfn.REGEXTEST(C218, "Transceivers Usage"), "トランシーバー使用量（データ転送スレッド数）", _xlfn.REGEXTEST(C218, "Volume Failures"), "ボリューム障害（ディスクエラー）数", _xlfn.REGEXTEST(C218, "Block Count"), "ブロック総数", _xlfn.REGEXTEST(C218, "Audit Failure"), "監査（オーディット）ログの失敗イベント", _xlfn.REGEXTEST(C218, "Web Metric Collection Duration"), "Webメトリック収集の所要時間", _xlfn.REGEXTEST(C218, "Pause Duration"), "一時停止（ポーズ）の所要時間", _xlfn.REGEXTEST(C218, "Fsync Latency"), "Fsync（ディスク同期）のレイテンシ", _xlfn.REGEXTEST(C218, "Free Space Monitoring Absolute"), "空き容量（絶対値）", _xlfn.REGEXTEST(C218, "Free Space Monitoring Percentage"), "空き容量割合（%）", _xlfn.REGEXTEST(C218, "Age Monitoring"), "経過時間の監視", _xlfn.REGEXTEST(C218, "Transactions Monitoring"), "トランザクション数の監視", _xlfn.REGEXTEST(C218, "RPC Latency"), "RPC（遠隔手続き呼出し）のレイテンシ", _xlfn.REGEXTEST(C218, "Directory Failures"), "ディレクトリ障害数", _xlfn.REGEXTEST(C218, "Out-Of-Sync JournalNodes"), "同期ズレが発生しているJournalNode数", _xlfn.REGEXTEST(C218, "Safemode Threshold Percentage"), "セーフモード解除閾値の割合（%）", _xlfn.REGEXTEST(C218, "Kerberos Ticket Renewer Monitoring"), "Kerberosチケット更新プロセスの稼働状態監視", _xlfn.REGEXTEST(C218, "Load Balancer Monitoring"), "ロードバランサーの稼働状態監視", _xlfn.REGEXTEST(C218, "Navigator Audit Failure"), "Cloudera Navigator監査ログの失敗イベント", _xlfn.REGEXTEST(C218, "Schema Registry Server Monitoring"), "Schema Registry Serverの稼働状態監視", _xlfn.REGEXTEST(C218, "SRM Service Monitoring"), "SRMサービスの稼働状態監視", _xlfn.REGEXTEST(C218, "SRM Driver Monitoring"), "SRMドライバーの稼働状態監視", _xlfn.REGEXTEST(C218, "Loggin"), "ログ出力状態・設定監視", _xlfn.REGEXTEST(C218, "Server Monitoring"), "サーバーの稼働状態監視", _xlfn.REGEXTEST(C218, "Server Connection Count"), "サーバーの接続数（コネクション数）", _xlfn.REGEXTEST(C218, "Server Outstanding Requests"), "サーバーの未処理リクエスト数（滞留要求数）", _xlfn.REGEXTEST(C218, "Repository Status"), "リポジトリのステータス状態", _xlfn.REGEXTEST(C218, "Monitor Long Running Task"), "長時間実行タスク（ジョブ）の監視", _xlfn.REGEXTEST(C218, "Token requests per second"), "1秒あたりのトークンリクエスト数（要求レート）", _xlfn.REGEXTEST(C218, "Connection Model Score"), "接続モデルスコア（コネクション品質）", _xlfn.REGEXTEST(C218, "Queue swap"), "キューのスワップ発生状態", _xlfn.REGEXTEST(C218, "NiFi Node Monitoring"), "NiFiノードの稼働状態監視", _xlfn.REGEXTEST(C218, "Host Clock Offset"), "ホストのクロックオフセット（時刻同期のズレ）", _xlfn.REGEXTEST(C218, "Memory Overcommit Validation"), "メモリオーバーコミット設定の検証", _xlfn.REGEXTEST(C218, "Gateway Logging"), "ゲートウェイのログ出力設定", _xlfn.REGEXTEST(C218, "CPU Balance"), "CPU使用率の分散バランス状態", _xlfn.REGEXTEST(C218, "Disk Balance"), "ディスク使用量の分散バランス状態", _xlfn.REGEXTEST(C218, "Network Inbound Balance"), "ネットワークインバウンド（受信）の分散バランス状態", _xlfn.REGEXTEST(C218, "Network Outbound Balance"), "ネットワークアウトバウンド（送信）の分散バランス状態", _xlfn.REGEXTEST(C218, "Replica Count Balance"), "レプリカ数の分散バランス状態", _xlfn.REGEXTEST(C218, "Disk Capacity"), "ディスク総容量の限界・使用容量", _xlfn.REGEXTEST(C218, "CPU Capacity"), "CPU総処理能力の限界・使用量", _xlfn.REGEXTEST(C218, "Network Inbound Capacity"), "ネットワークインバウンド（受信）帯域の限界・使用量", _xlfn.REGEXTEST(C218, "Network Outbound Capacity"), "ネットワークアウトバウンド（送信）帯域の限界・使用量", _xlfn.REGEXTEST(C218, "Leader Replica Count Balance"), "リーダーレプリカ数の分散バランス状態", _xlfn.REGEXTEST(C218, "Host DNS Resolution Duration"), "ホストのDNS名前解決の所要時間", _xlfn.REGEXTEST(C218, "TLS Certificate Expiry"), "TLS証明書の有効期限切れ", _xlfn.REGEXTEST(C218, "Host Entropy"), "ホストのエントロピー（乱数生成能力）の不足", _xlfn.REGEXTEST(C218, "File Descriptor"), "プロセスのファイルディスクリプタ使用率", _xlfn.REGEXTEST(C218, "Unexpected Exits"), "プロセスの異常終了（予期せぬ停止）", _xlfn.REGEXTEST(C218, "Swap Memory Thresholds"), "プロセスのスワップメモリ使用量", _xlfn.REGEXTEST(C218, "Swap Memory Usage Rate"), "スワップメモリ使用量の変化率（増加速度）", _xlfn.REGEXTEST(C218, "Log Directory Free Space.*Absolute"), "ログディレクトリの空き容量（絶対値）", _xlfn.REGEXTEST(C218, "Log Directory Free Space.*Percentage"), "ログディレクトリの空き容量割合（%）", _xlfn.REGEXTEST(C218, "Heap Dump Directory Free Space.*Absolute"), "ヒープダンプディレクトリの空き容量（絶対値）", _xlfn.REGEXTEST(C218, "Heap Dump Directory Free Space.*Percentage"), "ヒープダンプディレクトリの空き容量割合（%）", _xlfn.REGEXTEST(C218, "Data Directory Free Space.*Absolute"), "データディレクトリの空き容量（絶対値）", _xlfn.REGEXTEST(C218, "Data Directory Free Space.*Percentage"), "データディレクトリの空き容量割合（%）", _xlfn.REGEXTEST(C218, "Transaction Log Directory Free Space.*Absolute"), "トランザクションログディレクトリの空き容量（絶対値）", _xlfn.REGEXTEST(C218, "Logging Threshold|Logger Threshold"), "ログ出力レベルの閾値設定", _xlfn.REGEXTEST(C218, "Enable.*Alerts"), "ヘルスアラートの有効化状態", _xlfn.REGEXTEST(C218, "Triggers"), "カスタムアラート条件（トリガー設定）", _xlfn.REGEXTEST(C218, "Healthy Kafka Broker"), "Kafka Brokerの健全ノード割合（稼働率）", _xlfn.REGEXTEST(C218, "Healthy Kafka Connect"), "Kafka Connectの健全ノード割合（稼働率）", _xlfn.REGEXTEST(C218, "Healthy KRaft Controller"), "KRaft Controllerの健全ノード割合（稼働率）", _xlfn.REGEXTEST(C218, "Healthy Knox IDBroker"), "Knox IDBrokerの健全ノード割合（稼働率）", _xlfn.REGEXTEST(C218, "Healthy Knox Gateway"), "Knox Gatewayの健全ノード割合（稼働率）", _xlfn.REGEXTEST(C218, "Healthy ZooKeeper Server"), "ZooKeeper Serverの健全ノード割合（稼働率）", _xlfn.REGEXTEST(C218, "Healthy NodeManager"), "NodeManagerの健全ノード割合（稼働率）", _xlfn.REGEXTEST(C218, "Maximum Latency"), "リクエストの最大レイテンシ（処理遅延）", _xlfn.REGEXTEST(C218, "Garbage Collection Duration"), "Javaのガベージコレクション（GC）の所要時間", _xlfn.REGEXTEST(C218, "Spool Directory Usage"), "Rangerプラグインのスプールディレクトリ使用量", _xlfn.REGEXTEST(C218, "Process Directory Free Space Monitoring Absolute"), "プロセスディレクトリの空き容量（絶対値)", _xlfn.REGEXTEST(C218, "Process Directory Free Space.*Percentage"), "プロセスディレクトリの空き容量割合（%）", _xlfn.REGEXTEST(C218, "Parcel Directory Free Space.*Absolute"), "パーセルディレクトリの空き容量（絶対値）", _xlfn.REGEXTEST(C218, "Parcel Directory Free Space.*Percentage"), "パーセルディレクトリの空き容量割合（%）", _xlfn.REGEXTEST(C218, "Host Network Frame Error Percentage"), "ホストのネットワークフレームエラー割合（%）", _xlfn.REGEXTEST(C218, "Network Interfaces Slow Link Modes"), "ホストのネットワークインターフェースの低速リンクモード検出", _xlfn.REGEXTEST(C218, "Host Memory Swapping"), "ホストのメモリのスワップ発生状態", TRUE, "要手動確認")</f>
        <v>プロセスの異常終了（予期せぬ停止）</v>
      </c>
      <c r="H218" s="479" t="s">
        <v>751</v>
      </c>
    </row>
    <row r="219" spans="1:8" ht="33.6">
      <c r="A219" s="514"/>
      <c r="B219" s="473"/>
      <c r="C219" s="471" t="s">
        <v>752</v>
      </c>
      <c r="D219" s="471" t="s">
        <v>753</v>
      </c>
      <c r="E219" s="471" t="s">
        <v>1017</v>
      </c>
      <c r="F219" s="471"/>
      <c r="G219" s="471" t="str" cm="1">
        <f t="array" ref="G219">_xlfn.IFS(C219 = "", "", _xlfn.REGEXTEST(C219, "Service Metric Migrator Minimum Consecutive Successful Checks"), "サービスメトリック移行ツールの連続正常チェック最小回数", _xlfn.REGEXTEST(C219, "Rebalancing"), "リバランシング（データ再配置）状態", _xlfn.REGEXTEST(C219, "Temporary Dump Directory"), "一時ダンプディレクトリの監視", _xlfn.REGEXTEST(C219, "Safemode Extension"), "セーフモード延長状態", _xlfn.REGEXTEST(C219, "Client Idle"), "クライアントのアイドル（待機）状態", _xlfn.REGEXTEST(C219, "Available Space Policy Balanced"), "空き容量ポリシーの分散バランス状態", _xlfn.REGEXTEST(C219, "Filesystem Checkpoint Transaction"), "ファイルシステムのチェックポイントトランザクション", _xlfn.REGEXTEST(C219, "Blocks With Corrupt Replicas Monitoring"), "破損レプリカを持つブロックの監視", _xlfn.REGEXTEST(C219, "Missing Block Monitoring"), "消失（ミッシング）ブロックの監視", _xlfn.REGEXTEST(C219, "Under-replicated Block Monitoring"), "レプリカ数不足ブロックの監視", _xlfn.REGEXTEST(C219, "HDFS Free Space Monitoring"), "HDFSの空き容量監視", _xlfn.REGEXTEST(C219, "DataNode Monitoring"), "DataNodeの稼働状態監視", _xlfn.REGEXTEST(C219, "Rules to Extract Events from Log Files"), "ログファイルからのイベント抽出ルール設定", _xlfn.REGEXTEST(C219, "Free Space Monitoring$"), "空き容量監視（一般設定）", _xlfn.REGEXTEST(C219, "Transceivers Usage"), "トランシーバー使用量（データ転送スレッド数）", _xlfn.REGEXTEST(C219, "Volume Failures"), "ボリューム障害（ディスクエラー）数", _xlfn.REGEXTEST(C219, "Block Count"), "ブロック総数", _xlfn.REGEXTEST(C219, "Audit Failure"), "監査（オーディット）ログの失敗イベント", _xlfn.REGEXTEST(C219, "Web Metric Collection Duration"), "Webメトリック収集の所要時間", _xlfn.REGEXTEST(C219, "Pause Duration"), "一時停止（ポーズ）の所要時間", _xlfn.REGEXTEST(C219, "Fsync Latency"), "Fsync（ディスク同期）のレイテンシ", _xlfn.REGEXTEST(C219, "Free Space Monitoring Absolute"), "空き容量（絶対値）", _xlfn.REGEXTEST(C219, "Free Space Monitoring Percentage"), "空き容量割合（%）", _xlfn.REGEXTEST(C219, "Age Monitoring"), "経過時間の監視", _xlfn.REGEXTEST(C219, "Transactions Monitoring"), "トランザクション数の監視", _xlfn.REGEXTEST(C219, "RPC Latency"), "RPC（遠隔手続き呼出し）のレイテンシ", _xlfn.REGEXTEST(C219, "Directory Failures"), "ディレクトリ障害数", _xlfn.REGEXTEST(C219, "Out-Of-Sync JournalNodes"), "同期ズレが発生しているJournalNode数", _xlfn.REGEXTEST(C219, "Safemode Threshold Percentage"), "セーフモード解除閾値の割合（%）", _xlfn.REGEXTEST(C219, "Kerberos Ticket Renewer Monitoring"), "Kerberosチケット更新プロセスの稼働状態監視", _xlfn.REGEXTEST(C219, "Load Balancer Monitoring"), "ロードバランサーの稼働状態監視", _xlfn.REGEXTEST(C219, "Navigator Audit Failure"), "Cloudera Navigator監査ログの失敗イベント", _xlfn.REGEXTEST(C219, "Schema Registry Server Monitoring"), "Schema Registry Serverの稼働状態監視", _xlfn.REGEXTEST(C219, "SRM Service Monitoring"), "SRMサービスの稼働状態監視", _xlfn.REGEXTEST(C219, "SRM Driver Monitoring"), "SRMドライバーの稼働状態監視", _xlfn.REGEXTEST(C219, "Loggin"), "ログ出力状態・設定監視", _xlfn.REGEXTEST(C219, "Server Monitoring"), "サーバーの稼働状態監視", _xlfn.REGEXTEST(C219, "Server Connection Count"), "サーバーの接続数（コネクション数）", _xlfn.REGEXTEST(C219, "Server Outstanding Requests"), "サーバーの未処理リクエスト数（滞留要求数）", _xlfn.REGEXTEST(C219, "Repository Status"), "リポジトリのステータス状態", _xlfn.REGEXTEST(C219, "Monitor Long Running Task"), "長時間実行タスク（ジョブ）の監視", _xlfn.REGEXTEST(C219, "Token requests per second"), "1秒あたりのトークンリクエスト数（要求レート）", _xlfn.REGEXTEST(C219, "Connection Model Score"), "接続モデルスコア（コネクション品質）", _xlfn.REGEXTEST(C219, "Queue swap"), "キューのスワップ発生状態", _xlfn.REGEXTEST(C219, "NiFi Node Monitoring"), "NiFiノードの稼働状態監視", _xlfn.REGEXTEST(C219, "Host Clock Offset"), "ホストのクロックオフセット（時刻同期のズレ）", _xlfn.REGEXTEST(C219, "Memory Overcommit Validation"), "メモリオーバーコミット設定の検証", _xlfn.REGEXTEST(C219, "Gateway Logging"), "ゲートウェイのログ出力設定", _xlfn.REGEXTEST(C219, "CPU Balance"), "CPU使用率の分散バランス状態", _xlfn.REGEXTEST(C219, "Disk Balance"), "ディスク使用量の分散バランス状態", _xlfn.REGEXTEST(C219, "Network Inbound Balance"), "ネットワークインバウンド（受信）の分散バランス状態", _xlfn.REGEXTEST(C219, "Network Outbound Balance"), "ネットワークアウトバウンド（送信）の分散バランス状態", _xlfn.REGEXTEST(C219, "Replica Count Balance"), "レプリカ数の分散バランス状態", _xlfn.REGEXTEST(C219, "Disk Capacity"), "ディスク総容量の限界・使用容量", _xlfn.REGEXTEST(C219, "CPU Capacity"), "CPU総処理能力の限界・使用量", _xlfn.REGEXTEST(C219, "Network Inbound Capacity"), "ネットワークインバウンド（受信）帯域の限界・使用量", _xlfn.REGEXTEST(C219, "Network Outbound Capacity"), "ネットワークアウトバウンド（送信）帯域の限界・使用量", _xlfn.REGEXTEST(C219, "Leader Replica Count Balance"), "リーダーレプリカ数の分散バランス状態", _xlfn.REGEXTEST(C219, "Host DNS Resolution Duration"), "ホストのDNS名前解決の所要時間", _xlfn.REGEXTEST(C219, "TLS Certificate Expiry"), "TLS証明書の有効期限切れ", _xlfn.REGEXTEST(C219, "Host Entropy"), "ホストのエントロピー（乱数生成能力）の不足", _xlfn.REGEXTEST(C219, "File Descriptor"), "プロセスのファイルディスクリプタ使用率", _xlfn.REGEXTEST(C219, "Unexpected Exits"), "プロセスの異常終了（予期せぬ停止）", _xlfn.REGEXTEST(C219, "Swap Memory Thresholds"), "プロセスのスワップメモリ使用量", _xlfn.REGEXTEST(C219, "Swap Memory Usage Rate"), "スワップメモリ使用量の変化率（増加速度）", _xlfn.REGEXTEST(C219, "Log Directory Free Space.*Absolute"), "ログディレクトリの空き容量（絶対値）", _xlfn.REGEXTEST(C219, "Log Directory Free Space.*Percentage"), "ログディレクトリの空き容量割合（%）", _xlfn.REGEXTEST(C219, "Heap Dump Directory Free Space.*Absolute"), "ヒープダンプディレクトリの空き容量（絶対値）", _xlfn.REGEXTEST(C219, "Heap Dump Directory Free Space.*Percentage"), "ヒープダンプディレクトリの空き容量割合（%）", _xlfn.REGEXTEST(C219, "Data Directory Free Space.*Absolute"), "データディレクトリの空き容量（絶対値）", _xlfn.REGEXTEST(C219, "Data Directory Free Space.*Percentage"), "データディレクトリの空き容量割合（%）", _xlfn.REGEXTEST(C219, "Transaction Log Directory Free Space.*Absolute"), "トランザクションログディレクトリの空き容量（絶対値）", _xlfn.REGEXTEST(C219, "Logging Threshold|Logger Threshold"), "ログ出力レベルの閾値設定", _xlfn.REGEXTEST(C219, "Enable.*Alerts"), "ヘルスアラートの有効化状態", _xlfn.REGEXTEST(C219, "Triggers"), "カスタムアラート条件（トリガー設定）", _xlfn.REGEXTEST(C219, "Healthy Kafka Broker"), "Kafka Brokerの健全ノード割合（稼働率）", _xlfn.REGEXTEST(C219, "Healthy Kafka Connect"), "Kafka Connectの健全ノード割合（稼働率）", _xlfn.REGEXTEST(C219, "Healthy KRaft Controller"), "KRaft Controllerの健全ノード割合（稼働率）", _xlfn.REGEXTEST(C219, "Healthy Knox IDBroker"), "Knox IDBrokerの健全ノード割合（稼働率）", _xlfn.REGEXTEST(C219, "Healthy Knox Gateway"), "Knox Gatewayの健全ノード割合（稼働率）", _xlfn.REGEXTEST(C219, "Healthy ZooKeeper Server"), "ZooKeeper Serverの健全ノード割合（稼働率）", _xlfn.REGEXTEST(C219, "Healthy NodeManager"), "NodeManagerの健全ノード割合（稼働率）", _xlfn.REGEXTEST(C219, "Maximum Latency"), "リクエストの最大レイテンシ（処理遅延）", _xlfn.REGEXTEST(C219, "Garbage Collection Duration"), "Javaのガベージコレクション（GC）の所要時間", _xlfn.REGEXTEST(C219, "Spool Directory Usage"), "Rangerプラグインのスプールディレクトリ使用量", _xlfn.REGEXTEST(C219, "Process Directory Free Space Monitoring Absolute"), "プロセスディレクトリの空き容量（絶対値)", _xlfn.REGEXTEST(C219, "Process Directory Free Space.*Percentage"), "プロセスディレクトリの空き容量割合（%）", _xlfn.REGEXTEST(C219, "Parcel Directory Free Space.*Absolute"), "パーセルディレクトリの空き容量（絶対値）", _xlfn.REGEXTEST(C219, "Parcel Directory Free Space.*Percentage"), "パーセルディレクトリの空き容量割合（%）", _xlfn.REGEXTEST(C219, "Host Network Frame Error Percentage"), "ホストのネットワークフレームエラー割合（%）", _xlfn.REGEXTEST(C219, "Network Interfaces Slow Link Modes"), "ホストのネットワークインターフェースの低速リンクモード検出", _xlfn.REGEXTEST(C219, "Host Memory Swapping"), "ホストのメモリのスワップ発生状態", TRUE, "要手動確認")</f>
        <v>カスタムアラート条件（トリガー設定）</v>
      </c>
      <c r="H219" s="479" t="s">
        <v>754</v>
      </c>
    </row>
    <row r="220" spans="1:8" ht="33.6">
      <c r="A220" s="514"/>
      <c r="B220" s="473"/>
      <c r="C220" s="471" t="s">
        <v>755</v>
      </c>
      <c r="D220" s="471" t="s">
        <v>756</v>
      </c>
      <c r="E220" s="471" t="s">
        <v>1017</v>
      </c>
      <c r="F220" s="471"/>
      <c r="G220" s="471" t="str" cm="1">
        <f t="array" ref="G220">_xlfn.IFS(C220 = "", "", _xlfn.REGEXTEST(C220, "Service Metric Migrator Minimum Consecutive Successful Checks"), "サービスメトリック移行ツールの連続正常チェック最小回数", _xlfn.REGEXTEST(C220, "Rebalancing"), "リバランシング（データ再配置）状態", _xlfn.REGEXTEST(C220, "Temporary Dump Directory"), "一時ダンプディレクトリの監視", _xlfn.REGEXTEST(C220, "Safemode Extension"), "セーフモード延長状態", _xlfn.REGEXTEST(C220, "Client Idle"), "クライアントのアイドル（待機）状態", _xlfn.REGEXTEST(C220, "Available Space Policy Balanced"), "空き容量ポリシーの分散バランス状態", _xlfn.REGEXTEST(C220, "Filesystem Checkpoint Transaction"), "ファイルシステムのチェックポイントトランザクション", _xlfn.REGEXTEST(C220, "Blocks With Corrupt Replicas Monitoring"), "破損レプリカを持つブロックの監視", _xlfn.REGEXTEST(C220, "Missing Block Monitoring"), "消失（ミッシング）ブロックの監視", _xlfn.REGEXTEST(C220, "Under-replicated Block Monitoring"), "レプリカ数不足ブロックの監視", _xlfn.REGEXTEST(C220, "HDFS Free Space Monitoring"), "HDFSの空き容量監視", _xlfn.REGEXTEST(C220, "DataNode Monitoring"), "DataNodeの稼働状態監視", _xlfn.REGEXTEST(C220, "Rules to Extract Events from Log Files"), "ログファイルからのイベント抽出ルール設定", _xlfn.REGEXTEST(C220, "Free Space Monitoring$"), "空き容量監視（一般設定）", _xlfn.REGEXTEST(C220, "Transceivers Usage"), "トランシーバー使用量（データ転送スレッド数）", _xlfn.REGEXTEST(C220, "Volume Failures"), "ボリューム障害（ディスクエラー）数", _xlfn.REGEXTEST(C220, "Block Count"), "ブロック総数", _xlfn.REGEXTEST(C220, "Audit Failure"), "監査（オーディット）ログの失敗イベント", _xlfn.REGEXTEST(C220, "Web Metric Collection Duration"), "Webメトリック収集の所要時間", _xlfn.REGEXTEST(C220, "Pause Duration"), "一時停止（ポーズ）の所要時間", _xlfn.REGEXTEST(C220, "Fsync Latency"), "Fsync（ディスク同期）のレイテンシ", _xlfn.REGEXTEST(C220, "Free Space Monitoring Absolute"), "空き容量（絶対値）", _xlfn.REGEXTEST(C220, "Free Space Monitoring Percentage"), "空き容量割合（%）", _xlfn.REGEXTEST(C220, "Age Monitoring"), "経過時間の監視", _xlfn.REGEXTEST(C220, "Transactions Monitoring"), "トランザクション数の監視", _xlfn.REGEXTEST(C220, "RPC Latency"), "RPC（遠隔手続き呼出し）のレイテンシ", _xlfn.REGEXTEST(C220, "Directory Failures"), "ディレクトリ障害数", _xlfn.REGEXTEST(C220, "Out-Of-Sync JournalNodes"), "同期ズレが発生しているJournalNode数", _xlfn.REGEXTEST(C220, "Safemode Threshold Percentage"), "セーフモード解除閾値の割合（%）", _xlfn.REGEXTEST(C220, "Kerberos Ticket Renewer Monitoring"), "Kerberosチケット更新プロセスの稼働状態監視", _xlfn.REGEXTEST(C220, "Load Balancer Monitoring"), "ロードバランサーの稼働状態監視", _xlfn.REGEXTEST(C220, "Navigator Audit Failure"), "Cloudera Navigator監査ログの失敗イベント", _xlfn.REGEXTEST(C220, "Schema Registry Server Monitoring"), "Schema Registry Serverの稼働状態監視", _xlfn.REGEXTEST(C220, "SRM Service Monitoring"), "SRMサービスの稼働状態監視", _xlfn.REGEXTEST(C220, "SRM Driver Monitoring"), "SRMドライバーの稼働状態監視", _xlfn.REGEXTEST(C220, "Loggin"), "ログ出力状態・設定監視", _xlfn.REGEXTEST(C220, "Server Monitoring"), "サーバーの稼働状態監視", _xlfn.REGEXTEST(C220, "Server Connection Count"), "サーバーの接続数（コネクション数）", _xlfn.REGEXTEST(C220, "Server Outstanding Requests"), "サーバーの未処理リクエスト数（滞留要求数）", _xlfn.REGEXTEST(C220, "Repository Status"), "リポジトリのステータス状態", _xlfn.REGEXTEST(C220, "Monitor Long Running Task"), "長時間実行タスク（ジョブ）の監視", _xlfn.REGEXTEST(C220, "Token requests per second"), "1秒あたりのトークンリクエスト数（要求レート）", _xlfn.REGEXTEST(C220, "Connection Model Score"), "接続モデルスコア（コネクション品質）", _xlfn.REGEXTEST(C220, "Queue swap"), "キューのスワップ発生状態", _xlfn.REGEXTEST(C220, "NiFi Node Monitoring"), "NiFiノードの稼働状態監視", _xlfn.REGEXTEST(C220, "Host Clock Offset"), "ホストのクロックオフセット（時刻同期のズレ）", _xlfn.REGEXTEST(C220, "Memory Overcommit Validation"), "メモリオーバーコミット設定の検証", _xlfn.REGEXTEST(C220, "Gateway Logging"), "ゲートウェイのログ出力設定", _xlfn.REGEXTEST(C220, "CPU Balance"), "CPU使用率の分散バランス状態", _xlfn.REGEXTEST(C220, "Disk Balance"), "ディスク使用量の分散バランス状態", _xlfn.REGEXTEST(C220, "Network Inbound Balance"), "ネットワークインバウンド（受信）の分散バランス状態", _xlfn.REGEXTEST(C220, "Network Outbound Balance"), "ネットワークアウトバウンド（送信）の分散バランス状態", _xlfn.REGEXTEST(C220, "Replica Count Balance"), "レプリカ数の分散バランス状態", _xlfn.REGEXTEST(C220, "Disk Capacity"), "ディスク総容量の限界・使用容量", _xlfn.REGEXTEST(C220, "CPU Capacity"), "CPU総処理能力の限界・使用量", _xlfn.REGEXTEST(C220, "Network Inbound Capacity"), "ネットワークインバウンド（受信）帯域の限界・使用量", _xlfn.REGEXTEST(C220, "Network Outbound Capacity"), "ネットワークアウトバウンド（送信）帯域の限界・使用量", _xlfn.REGEXTEST(C220, "Leader Replica Count Balance"), "リーダーレプリカ数の分散バランス状態", _xlfn.REGEXTEST(C220, "Host DNS Resolution Duration"), "ホストのDNS名前解決の所要時間", _xlfn.REGEXTEST(C220, "TLS Certificate Expiry"), "TLS証明書の有効期限切れ", _xlfn.REGEXTEST(C220, "Host Entropy"), "ホストのエントロピー（乱数生成能力）の不足", _xlfn.REGEXTEST(C220, "File Descriptor"), "プロセスのファイルディスクリプタ使用率", _xlfn.REGEXTEST(C220, "Unexpected Exits"), "プロセスの異常終了（予期せぬ停止）", _xlfn.REGEXTEST(C220, "Swap Memory Thresholds"), "プロセスのスワップメモリ使用量", _xlfn.REGEXTEST(C220, "Swap Memory Usage Rate"), "スワップメモリ使用量の変化率（増加速度）", _xlfn.REGEXTEST(C220, "Log Directory Free Space.*Absolute"), "ログディレクトリの空き容量（絶対値）", _xlfn.REGEXTEST(C220, "Log Directory Free Space.*Percentage"), "ログディレクトリの空き容量割合（%）", _xlfn.REGEXTEST(C220, "Heap Dump Directory Free Space.*Absolute"), "ヒープダンプディレクトリの空き容量（絶対値）", _xlfn.REGEXTEST(C220, "Heap Dump Directory Free Space.*Percentage"), "ヒープダンプディレクトリの空き容量割合（%）", _xlfn.REGEXTEST(C220, "Data Directory Free Space.*Absolute"), "データディレクトリの空き容量（絶対値）", _xlfn.REGEXTEST(C220, "Data Directory Free Space.*Percentage"), "データディレクトリの空き容量割合（%）", _xlfn.REGEXTEST(C220, "Transaction Log Directory Free Space.*Absolute"), "トランザクションログディレクトリの空き容量（絶対値）", _xlfn.REGEXTEST(C220, "Logging Threshold|Logger Threshold"), "ログ出力レベルの閾値設定", _xlfn.REGEXTEST(C220, "Enable.*Alerts"), "ヘルスアラートの有効化状態", _xlfn.REGEXTEST(C220, "Triggers"), "カスタムアラート条件（トリガー設定）", _xlfn.REGEXTEST(C220, "Healthy Kafka Broker"), "Kafka Brokerの健全ノード割合（稼働率）", _xlfn.REGEXTEST(C220, "Healthy Kafka Connect"), "Kafka Connectの健全ノード割合（稼働率）", _xlfn.REGEXTEST(C220, "Healthy KRaft Controller"), "KRaft Controllerの健全ノード割合（稼働率）", _xlfn.REGEXTEST(C220, "Healthy Knox IDBroker"), "Knox IDBrokerの健全ノード割合（稼働率）", _xlfn.REGEXTEST(C220, "Healthy Knox Gateway"), "Knox Gatewayの健全ノード割合（稼働率）", _xlfn.REGEXTEST(C220, "Healthy ZooKeeper Server"), "ZooKeeper Serverの健全ノード割合（稼働率）", _xlfn.REGEXTEST(C220, "Healthy NodeManager"), "NodeManagerの健全ノード割合（稼働率）", _xlfn.REGEXTEST(C220, "Maximum Latency"), "リクエストの最大レイテンシ（処理遅延）", _xlfn.REGEXTEST(C220, "Garbage Collection Duration"), "Javaのガベージコレクション（GC）の所要時間", _xlfn.REGEXTEST(C220, "Spool Directory Usage"), "Rangerプラグインのスプールディレクトリ使用量", _xlfn.REGEXTEST(C220, "Process Directory Free Space Monitoring Absolute"), "プロセスディレクトリの空き容量（絶対値)", _xlfn.REGEXTEST(C220, "Process Directory Free Space.*Percentage"), "プロセスディレクトリの空き容量割合（%）", _xlfn.REGEXTEST(C220, "Parcel Directory Free Space.*Absolute"), "パーセルディレクトリの空き容量（絶対値）", _xlfn.REGEXTEST(C220, "Parcel Directory Free Space.*Percentage"), "パーセルディレクトリの空き容量割合（%）", _xlfn.REGEXTEST(C220, "Host Network Frame Error Percentage"), "ホストのネットワークフレームエラー割合（%）", _xlfn.REGEXTEST(C220, "Network Interfaces Slow Link Modes"), "ホストのネットワークインターフェースの低速リンクモード検出", _xlfn.REGEXTEST(C220, "Host Memory Swapping"), "ホストのメモリのスワップ発生状態", TRUE, "要手動確認")</f>
        <v>プロセスのスワップメモリ使用量</v>
      </c>
      <c r="H220" s="479" t="s">
        <v>944</v>
      </c>
    </row>
    <row r="221" spans="1:8" ht="33.6">
      <c r="A221" s="514"/>
      <c r="B221" s="473"/>
      <c r="C221" s="471" t="s">
        <v>758</v>
      </c>
      <c r="D221" s="471" t="s">
        <v>759</v>
      </c>
      <c r="E221" s="471" t="s">
        <v>1017</v>
      </c>
      <c r="F221" s="471"/>
      <c r="G221" s="471" t="str" cm="1">
        <f t="array" ref="G221">_xlfn.IFS(C221 = "", "", _xlfn.REGEXTEST(C221, "Service Metric Migrator Minimum Consecutive Successful Checks"), "サービスメトリック移行ツールの連続正常チェック最小回数", _xlfn.REGEXTEST(C221, "Rebalancing"), "リバランシング（データ再配置）状態", _xlfn.REGEXTEST(C221, "Temporary Dump Directory"), "一時ダンプディレクトリの監視", _xlfn.REGEXTEST(C221, "Safemode Extension"), "セーフモード延長状態", _xlfn.REGEXTEST(C221, "Client Idle"), "クライアントのアイドル（待機）状態", _xlfn.REGEXTEST(C221, "Available Space Policy Balanced"), "空き容量ポリシーの分散バランス状態", _xlfn.REGEXTEST(C221, "Filesystem Checkpoint Transaction"), "ファイルシステムのチェックポイントトランザクション", _xlfn.REGEXTEST(C221, "Blocks With Corrupt Replicas Monitoring"), "破損レプリカを持つブロックの監視", _xlfn.REGEXTEST(C221, "Missing Block Monitoring"), "消失（ミッシング）ブロックの監視", _xlfn.REGEXTEST(C221, "Under-replicated Block Monitoring"), "レプリカ数不足ブロックの監視", _xlfn.REGEXTEST(C221, "HDFS Free Space Monitoring"), "HDFSの空き容量監視", _xlfn.REGEXTEST(C221, "DataNode Monitoring"), "DataNodeの稼働状態監視", _xlfn.REGEXTEST(C221, "Rules to Extract Events from Log Files"), "ログファイルからのイベント抽出ルール設定", _xlfn.REGEXTEST(C221, "Free Space Monitoring$"), "空き容量監視（一般設定）", _xlfn.REGEXTEST(C221, "Transceivers Usage"), "トランシーバー使用量（データ転送スレッド数）", _xlfn.REGEXTEST(C221, "Volume Failures"), "ボリューム障害（ディスクエラー）数", _xlfn.REGEXTEST(C221, "Block Count"), "ブロック総数", _xlfn.REGEXTEST(C221, "Audit Failure"), "監査（オーディット）ログの失敗イベント", _xlfn.REGEXTEST(C221, "Web Metric Collection Duration"), "Webメトリック収集の所要時間", _xlfn.REGEXTEST(C221, "Pause Duration"), "一時停止（ポーズ）の所要時間", _xlfn.REGEXTEST(C221, "Fsync Latency"), "Fsync（ディスク同期）のレイテンシ", _xlfn.REGEXTEST(C221, "Free Space Monitoring Absolute"), "空き容量（絶対値）", _xlfn.REGEXTEST(C221, "Free Space Monitoring Percentage"), "空き容量割合（%）", _xlfn.REGEXTEST(C221, "Age Monitoring"), "経過時間の監視", _xlfn.REGEXTEST(C221, "Transactions Monitoring"), "トランザクション数の監視", _xlfn.REGEXTEST(C221, "RPC Latency"), "RPC（遠隔手続き呼出し）のレイテンシ", _xlfn.REGEXTEST(C221, "Directory Failures"), "ディレクトリ障害数", _xlfn.REGEXTEST(C221, "Out-Of-Sync JournalNodes"), "同期ズレが発生しているJournalNode数", _xlfn.REGEXTEST(C221, "Safemode Threshold Percentage"), "セーフモード解除閾値の割合（%）", _xlfn.REGEXTEST(C221, "Kerberos Ticket Renewer Monitoring"), "Kerberosチケット更新プロセスの稼働状態監視", _xlfn.REGEXTEST(C221, "Load Balancer Monitoring"), "ロードバランサーの稼働状態監視", _xlfn.REGEXTEST(C221, "Navigator Audit Failure"), "Cloudera Navigator監査ログの失敗イベント", _xlfn.REGEXTEST(C221, "Schema Registry Server Monitoring"), "Schema Registry Serverの稼働状態監視", _xlfn.REGEXTEST(C221, "SRM Service Monitoring"), "SRMサービスの稼働状態監視", _xlfn.REGEXTEST(C221, "SRM Driver Monitoring"), "SRMドライバーの稼働状態監視", _xlfn.REGEXTEST(C221, "Loggin"), "ログ出力状態・設定監視", _xlfn.REGEXTEST(C221, "Server Monitoring"), "サーバーの稼働状態監視", _xlfn.REGEXTEST(C221, "Server Connection Count"), "サーバーの接続数（コネクション数）", _xlfn.REGEXTEST(C221, "Server Outstanding Requests"), "サーバーの未処理リクエスト数（滞留要求数）", _xlfn.REGEXTEST(C221, "Repository Status"), "リポジトリのステータス状態", _xlfn.REGEXTEST(C221, "Monitor Long Running Task"), "長時間実行タスク（ジョブ）の監視", _xlfn.REGEXTEST(C221, "Token requests per second"), "1秒あたりのトークンリクエスト数（要求レート）", _xlfn.REGEXTEST(C221, "Connection Model Score"), "接続モデルスコア（コネクション品質）", _xlfn.REGEXTEST(C221, "Queue swap"), "キューのスワップ発生状態", _xlfn.REGEXTEST(C221, "NiFi Node Monitoring"), "NiFiノードの稼働状態監視", _xlfn.REGEXTEST(C221, "Host Clock Offset"), "ホストのクロックオフセット（時刻同期のズレ）", _xlfn.REGEXTEST(C221, "Memory Overcommit Validation"), "メモリオーバーコミット設定の検証", _xlfn.REGEXTEST(C221, "Gateway Logging"), "ゲートウェイのログ出力設定", _xlfn.REGEXTEST(C221, "CPU Balance"), "CPU使用率の分散バランス状態", _xlfn.REGEXTEST(C221, "Disk Balance"), "ディスク使用量の分散バランス状態", _xlfn.REGEXTEST(C221, "Network Inbound Balance"), "ネットワークインバウンド（受信）の分散バランス状態", _xlfn.REGEXTEST(C221, "Network Outbound Balance"), "ネットワークアウトバウンド（送信）の分散バランス状態", _xlfn.REGEXTEST(C221, "Replica Count Balance"), "レプリカ数の分散バランス状態", _xlfn.REGEXTEST(C221, "Disk Capacity"), "ディスク総容量の限界・使用容量", _xlfn.REGEXTEST(C221, "CPU Capacity"), "CPU総処理能力の限界・使用量", _xlfn.REGEXTEST(C221, "Network Inbound Capacity"), "ネットワークインバウンド（受信）帯域の限界・使用量", _xlfn.REGEXTEST(C221, "Network Outbound Capacity"), "ネットワークアウトバウンド（送信）帯域の限界・使用量", _xlfn.REGEXTEST(C221, "Leader Replica Count Balance"), "リーダーレプリカ数の分散バランス状態", _xlfn.REGEXTEST(C221, "Host DNS Resolution Duration"), "ホストのDNS名前解決の所要時間", _xlfn.REGEXTEST(C221, "TLS Certificate Expiry"), "TLS証明書の有効期限切れ", _xlfn.REGEXTEST(C221, "Host Entropy"), "ホストのエントロピー（乱数生成能力）の不足", _xlfn.REGEXTEST(C221, "File Descriptor"), "プロセスのファイルディスクリプタ使用率", _xlfn.REGEXTEST(C221, "Unexpected Exits"), "プロセスの異常終了（予期せぬ停止）", _xlfn.REGEXTEST(C221, "Swap Memory Thresholds"), "プロセスのスワップメモリ使用量", _xlfn.REGEXTEST(C221, "Swap Memory Usage Rate"), "スワップメモリ使用量の変化率（増加速度）", _xlfn.REGEXTEST(C221, "Log Directory Free Space.*Absolute"), "ログディレクトリの空き容量（絶対値）", _xlfn.REGEXTEST(C221, "Log Directory Free Space.*Percentage"), "ログディレクトリの空き容量割合（%）", _xlfn.REGEXTEST(C221, "Heap Dump Directory Free Space.*Absolute"), "ヒープダンプディレクトリの空き容量（絶対値）", _xlfn.REGEXTEST(C221, "Heap Dump Directory Free Space.*Percentage"), "ヒープダンプディレクトリの空き容量割合（%）", _xlfn.REGEXTEST(C221, "Data Directory Free Space.*Absolute"), "データディレクトリの空き容量（絶対値）", _xlfn.REGEXTEST(C221, "Data Directory Free Space.*Percentage"), "データディレクトリの空き容量割合（%）", _xlfn.REGEXTEST(C221, "Transaction Log Directory Free Space.*Absolute"), "トランザクションログディレクトリの空き容量（絶対値）", _xlfn.REGEXTEST(C221, "Logging Threshold|Logger Threshold"), "ログ出力レベルの閾値設定", _xlfn.REGEXTEST(C221, "Enable.*Alerts"), "ヘルスアラートの有効化状態", _xlfn.REGEXTEST(C221, "Triggers"), "カスタムアラート条件（トリガー設定）", _xlfn.REGEXTEST(C221, "Healthy Kafka Broker"), "Kafka Brokerの健全ノード割合（稼働率）", _xlfn.REGEXTEST(C221, "Healthy Kafka Connect"), "Kafka Connectの健全ノード割合（稼働率）", _xlfn.REGEXTEST(C221, "Healthy KRaft Controller"), "KRaft Controllerの健全ノード割合（稼働率）", _xlfn.REGEXTEST(C221, "Healthy Knox IDBroker"), "Knox IDBrokerの健全ノード割合（稼働率）", _xlfn.REGEXTEST(C221, "Healthy Knox Gateway"), "Knox Gatewayの健全ノード割合（稼働率）", _xlfn.REGEXTEST(C221, "Healthy ZooKeeper Server"), "ZooKeeper Serverの健全ノード割合（稼働率）", _xlfn.REGEXTEST(C221, "Healthy NodeManager"), "NodeManagerの健全ノード割合（稼働率）", _xlfn.REGEXTEST(C221, "Maximum Latency"), "リクエストの最大レイテンシ（処理遅延）", _xlfn.REGEXTEST(C221, "Garbage Collection Duration"), "Javaのガベージコレクション（GC）の所要時間", _xlfn.REGEXTEST(C221, "Spool Directory Usage"), "Rangerプラグインのスプールディレクトリ使用量", _xlfn.REGEXTEST(C221, "Process Directory Free Space Monitoring Absolute"), "プロセスディレクトリの空き容量（絶対値)", _xlfn.REGEXTEST(C221, "Process Directory Free Space.*Percentage"), "プロセスディレクトリの空き容量割合（%）", _xlfn.REGEXTEST(C221, "Parcel Directory Free Space.*Absolute"), "パーセルディレクトリの空き容量（絶対値）", _xlfn.REGEXTEST(C221, "Parcel Directory Free Space.*Percentage"), "パーセルディレクトリの空き容量割合（%）", _xlfn.REGEXTEST(C221, "Host Network Frame Error Percentage"), "ホストのネットワークフレームエラー割合（%）", _xlfn.REGEXTEST(C221, "Network Interfaces Slow Link Modes"), "ホストのネットワークインターフェースの低速リンクモード検出", _xlfn.REGEXTEST(C221, "Host Memory Swapping"), "ホストのメモリのスワップ発生状態", TRUE, "要手動確認")</f>
        <v>スワップメモリ使用量の変化率（増加速度）</v>
      </c>
      <c r="H221" s="479" t="s">
        <v>683</v>
      </c>
    </row>
    <row r="222" spans="1:8" ht="33.6">
      <c r="A222" s="514"/>
      <c r="B222" s="473"/>
      <c r="C222" s="474" t="s">
        <v>866</v>
      </c>
      <c r="D222" s="474" t="s">
        <v>764</v>
      </c>
      <c r="E222" s="474" t="s">
        <v>1017</v>
      </c>
      <c r="F222" s="474"/>
      <c r="G222" s="474" t="str" cm="1">
        <f t="array" ref="G222">_xlfn.IFS(C222 = "", "", _xlfn.REGEXTEST(C222, "Service Metric Migrator Minimum Consecutive Successful Checks"), "サービスメトリック移行ツールの連続正常チェック最小回数", _xlfn.REGEXTEST(C222, "Rebalancing"), "リバランシング（データ再配置）状態", _xlfn.REGEXTEST(C222, "Temporary Dump Directory"), "一時ダンプディレクトリの監視", _xlfn.REGEXTEST(C222, "Safemode Extension"), "セーフモード延長状態", _xlfn.REGEXTEST(C222, "Client Idle"), "クライアントのアイドル（待機）状態", _xlfn.REGEXTEST(C222, "Available Space Policy Balanced"), "空き容量ポリシーの分散バランス状態", _xlfn.REGEXTEST(C222, "Filesystem Checkpoint Transaction"), "ファイルシステムのチェックポイントトランザクション", _xlfn.REGEXTEST(C222, "Blocks With Corrupt Replicas Monitoring"), "破損レプリカを持つブロックの監視", _xlfn.REGEXTEST(C222, "Missing Block Monitoring"), "消失（ミッシング）ブロックの監視", _xlfn.REGEXTEST(C222, "Under-replicated Block Monitoring"), "レプリカ数不足ブロックの監視", _xlfn.REGEXTEST(C222, "HDFS Free Space Monitoring"), "HDFSの空き容量監視", _xlfn.REGEXTEST(C222, "DataNode Monitoring"), "DataNodeの稼働状態監視", _xlfn.REGEXTEST(C222, "Rules to Extract Events from Log Files"), "ログファイルからのイベント抽出ルール設定", _xlfn.REGEXTEST(C222, "Free Space Monitoring$"), "空き容量監視（一般設定）", _xlfn.REGEXTEST(C222, "Transceivers Usage"), "トランシーバー使用量（データ転送スレッド数）", _xlfn.REGEXTEST(C222, "Volume Failures"), "ボリューム障害（ディスクエラー）数", _xlfn.REGEXTEST(C222, "Block Count"), "ブロック総数", _xlfn.REGEXTEST(C222, "Audit Failure"), "監査（オーディット）ログの失敗イベント", _xlfn.REGEXTEST(C222, "Web Metric Collection Duration"), "Webメトリック収集の所要時間", _xlfn.REGEXTEST(C222, "Pause Duration"), "一時停止（ポーズ）の所要時間", _xlfn.REGEXTEST(C222, "Fsync Latency"), "Fsync（ディスク同期）のレイテンシ", _xlfn.REGEXTEST(C222, "Free Space Monitoring Absolute"), "空き容量（絶対値）", _xlfn.REGEXTEST(C222, "Free Space Monitoring Percentage"), "空き容量割合（%）", _xlfn.REGEXTEST(C222, "Age Monitoring"), "経過時間の監視", _xlfn.REGEXTEST(C222, "Transactions Monitoring"), "トランザクション数の監視", _xlfn.REGEXTEST(C222, "RPC Latency"), "RPC（遠隔手続き呼出し）のレイテンシ", _xlfn.REGEXTEST(C222, "Directory Failures"), "ディレクトリ障害数", _xlfn.REGEXTEST(C222, "Out-Of-Sync JournalNodes"), "同期ズレが発生しているJournalNode数", _xlfn.REGEXTEST(C222, "Safemode Threshold Percentage"), "セーフモード解除閾値の割合（%）", _xlfn.REGEXTEST(C222, "Kerberos Ticket Renewer Monitoring"), "Kerberosチケット更新プロセスの稼働状態監視", _xlfn.REGEXTEST(C222, "Load Balancer Monitoring"), "ロードバランサーの稼働状態監視", _xlfn.REGEXTEST(C222, "Navigator Audit Failure"), "Cloudera Navigator監査ログの失敗イベント", _xlfn.REGEXTEST(C222, "Schema Registry Server Monitoring"), "Schema Registry Serverの稼働状態監視", _xlfn.REGEXTEST(C222, "SRM Service Monitoring"), "SRMサービスの稼働状態監視", _xlfn.REGEXTEST(C222, "SRM Driver Monitoring"), "SRMドライバーの稼働状態監視", _xlfn.REGEXTEST(C222, "Loggin"), "ログ出力状態・設定監視", _xlfn.REGEXTEST(C222, "Server Monitoring"), "サーバーの稼働状態監視", _xlfn.REGEXTEST(C222, "Server Connection Count"), "サーバーの接続数（コネクション数）", _xlfn.REGEXTEST(C222, "Server Outstanding Requests"), "サーバーの未処理リクエスト数（滞留要求数）", _xlfn.REGEXTEST(C222, "Repository Status"), "リポジトリのステータス状態", _xlfn.REGEXTEST(C222, "Monitor Long Running Task"), "長時間実行タスク（ジョブ）の監視", _xlfn.REGEXTEST(C222, "Token requests per second"), "1秒あたりのトークンリクエスト数（要求レート）", _xlfn.REGEXTEST(C222, "Connection Model Score"), "接続モデルスコア（コネクション品質）", _xlfn.REGEXTEST(C222, "Queue swap"), "キューのスワップ発生状態", _xlfn.REGEXTEST(C222, "NiFi Node Monitoring"), "NiFiノードの稼働状態監視", _xlfn.REGEXTEST(C222, "Host Clock Offset"), "ホストのクロックオフセット（時刻同期のズレ）", _xlfn.REGEXTEST(C222, "Memory Overcommit Validation"), "メモリオーバーコミット設定の検証", _xlfn.REGEXTEST(C222, "Gateway Logging"), "ゲートウェイのログ出力設定", _xlfn.REGEXTEST(C222, "CPU Balance"), "CPU使用率の分散バランス状態", _xlfn.REGEXTEST(C222, "Disk Balance"), "ディスク使用量の分散バランス状態", _xlfn.REGEXTEST(C222, "Network Inbound Balance"), "ネットワークインバウンド（受信）の分散バランス状態", _xlfn.REGEXTEST(C222, "Network Outbound Balance"), "ネットワークアウトバウンド（送信）の分散バランス状態", _xlfn.REGEXTEST(C222, "Replica Count Balance"), "レプリカ数の分散バランス状態", _xlfn.REGEXTEST(C222, "Disk Capacity"), "ディスク総容量の限界・使用容量", _xlfn.REGEXTEST(C222, "CPU Capacity"), "CPU総処理能力の限界・使用量", _xlfn.REGEXTEST(C222, "Network Inbound Capacity"), "ネットワークインバウンド（受信）帯域の限界・使用量", _xlfn.REGEXTEST(C222, "Network Outbound Capacity"), "ネットワークアウトバウンド（送信）帯域の限界・使用量", _xlfn.REGEXTEST(C222, "Leader Replica Count Balance"), "リーダーレプリカ数の分散バランス状態", _xlfn.REGEXTEST(C222, "Host DNS Resolution Duration"), "ホストのDNS名前解決の所要時間", _xlfn.REGEXTEST(C222, "TLS Certificate Expiry"), "TLS証明書の有効期限切れ", _xlfn.REGEXTEST(C222, "Host Entropy"), "ホストのエントロピー（乱数生成能力）の不足", _xlfn.REGEXTEST(C222, "File Descriptor"), "プロセスのファイルディスクリプタ使用率", _xlfn.REGEXTEST(C222, "Unexpected Exits"), "プロセスの異常終了（予期せぬ停止）", _xlfn.REGEXTEST(C222, "Swap Memory Thresholds"), "プロセスのスワップメモリ使用量", _xlfn.REGEXTEST(C222, "Swap Memory Usage Rate"), "スワップメモリ使用量の変化率（増加速度）", _xlfn.REGEXTEST(C222, "Log Directory Free Space.*Absolute"), "ログディレクトリの空き容量（絶対値）", _xlfn.REGEXTEST(C222, "Log Directory Free Space.*Percentage"), "ログディレクトリの空き容量割合（%）", _xlfn.REGEXTEST(C222, "Heap Dump Directory Free Space.*Absolute"), "ヒープダンプディレクトリの空き容量（絶対値）", _xlfn.REGEXTEST(C222, "Heap Dump Directory Free Space.*Percentage"), "ヒープダンプディレクトリの空き容量割合（%）", _xlfn.REGEXTEST(C222, "Data Directory Free Space.*Absolute"), "データディレクトリの空き容量（絶対値）", _xlfn.REGEXTEST(C222, "Data Directory Free Space.*Percentage"), "データディレクトリの空き容量割合（%）", _xlfn.REGEXTEST(C222, "Transaction Log Directory Free Space.*Absolute"), "トランザクションログディレクトリの空き容量（絶対値）", _xlfn.REGEXTEST(C222, "Logging Threshold|Logger Threshold"), "ログ出力レベルの閾値設定", _xlfn.REGEXTEST(C222, "Enable.*Alerts"), "ヘルスアラートの有効化状態", _xlfn.REGEXTEST(C222, "Triggers"), "カスタムアラート条件（トリガー設定）", _xlfn.REGEXTEST(C222, "Healthy Kafka Broker"), "Kafka Brokerの健全ノード割合（稼働率）", _xlfn.REGEXTEST(C222, "Healthy Kafka Connect"), "Kafka Connectの健全ノード割合（稼働率）", _xlfn.REGEXTEST(C222, "Healthy KRaft Controller"), "KRaft Controllerの健全ノード割合（稼働率）", _xlfn.REGEXTEST(C222, "Healthy Knox IDBroker"), "Knox IDBrokerの健全ノード割合（稼働率）", _xlfn.REGEXTEST(C222, "Healthy Knox Gateway"), "Knox Gatewayの健全ノード割合（稼働率）", _xlfn.REGEXTEST(C222, "Healthy ZooKeeper Server"), "ZooKeeper Serverの健全ノード割合（稼働率）", _xlfn.REGEXTEST(C222, "Healthy NodeManager"), "NodeManagerの健全ノード割合（稼働率）", _xlfn.REGEXTEST(C222, "Maximum Latency"), "リクエストの最大レイテンシ（処理遅延）", _xlfn.REGEXTEST(C222, "Garbage Collection Duration"), "Javaのガベージコレクション（GC）の所要時間", _xlfn.REGEXTEST(C222, "Spool Directory Usage"), "Rangerプラグインのスプールディレクトリ使用量", _xlfn.REGEXTEST(C222, "Process Directory Free Space Monitoring Absolute"), "プロセスディレクトリの空き容量（絶対値)", _xlfn.REGEXTEST(C222, "Process Directory Free Space.*Percentage"), "プロセスディレクトリの空き容量割合（%）", _xlfn.REGEXTEST(C222, "Parcel Directory Free Space.*Absolute"), "パーセルディレクトリの空き容量（絶対値）", _xlfn.REGEXTEST(C222, "Parcel Directory Free Space.*Percentage"), "パーセルディレクトリの空き容量割合（%）", _xlfn.REGEXTEST(C222, "Host Network Frame Error Percentage"), "ホストのネットワークフレームエラー割合（%）", _xlfn.REGEXTEST(C222, "Network Interfaces Slow Link Modes"), "ホストのネットワークインターフェースの低速リンクモード検出", _xlfn.REGEXTEST(C222, "Host Memory Swapping"), "ホストのメモリのスワップ発生状態", TRUE, "要手動確認")</f>
        <v>Rangerプラグインのスプールディレクトリ使用量</v>
      </c>
      <c r="H222" s="480" t="s">
        <v>949</v>
      </c>
    </row>
    <row r="223" spans="1:8" ht="33.6">
      <c r="A223" s="475" t="s">
        <v>345</v>
      </c>
      <c r="B223" s="476" t="s">
        <v>677</v>
      </c>
      <c r="C223" s="477" t="s">
        <v>678</v>
      </c>
      <c r="D223" s="477" t="s">
        <v>679</v>
      </c>
      <c r="E223" s="477"/>
      <c r="F223" s="477"/>
      <c r="G223" s="477" t="str" cm="1">
        <f t="array" ref="G223">_xlfn.IFS(C223 = "", "", _xlfn.REGEXTEST(C223, "Service Metric Migrator Minimum Consecutive Successful Checks"), "サービスメトリック移行ツールの連続正常チェック最小回数", _xlfn.REGEXTEST(C223, "Rebalancing"), "リバランシング（データ再配置）状態", _xlfn.REGEXTEST(C223, "Temporary Dump Directory"), "一時ダンプディレクトリの監視", _xlfn.REGEXTEST(C223, "Safemode Extension"), "セーフモード延長状態", _xlfn.REGEXTEST(C223, "Client Idle"), "クライアントのアイドル（待機）状態", _xlfn.REGEXTEST(C223, "Available Space Policy Balanced"), "空き容量ポリシーの分散バランス状態", _xlfn.REGEXTEST(C223, "Filesystem Checkpoint Transaction"), "ファイルシステムのチェックポイントトランザクション", _xlfn.REGEXTEST(C223, "Blocks With Corrupt Replicas Monitoring"), "破損レプリカを持つブロックの監視", _xlfn.REGEXTEST(C223, "Missing Block Monitoring"), "消失（ミッシング）ブロックの監視", _xlfn.REGEXTEST(C223, "Under-replicated Block Monitoring"), "レプリカ数不足ブロックの監視", _xlfn.REGEXTEST(C223, "HDFS Free Space Monitoring"), "HDFSの空き容量監視", _xlfn.REGEXTEST(C223, "DataNode Monitoring"), "DataNodeの稼働状態監視", _xlfn.REGEXTEST(C223, "Rules to Extract Events from Log Files"), "ログファイルからのイベント抽出ルール設定", _xlfn.REGEXTEST(C223, "Free Space Monitoring$"), "空き容量監視（一般設定）", _xlfn.REGEXTEST(C223, "Transceivers Usage"), "トランシーバー使用量（データ転送スレッド数）", _xlfn.REGEXTEST(C223, "Volume Failures"), "ボリューム障害（ディスクエラー）数", _xlfn.REGEXTEST(C223, "Block Count"), "ブロック総数", _xlfn.REGEXTEST(C223, "Audit Failure"), "監査（オーディット）ログの失敗イベント", _xlfn.REGEXTEST(C223, "Web Metric Collection Duration"), "Webメトリック収集の所要時間", _xlfn.REGEXTEST(C223, "Pause Duration"), "一時停止（ポーズ）の所要時間", _xlfn.REGEXTEST(C223, "Fsync Latency"), "Fsync（ディスク同期）のレイテンシ", _xlfn.REGEXTEST(C223, "Free Space Monitoring Absolute"), "空き容量（絶対値）", _xlfn.REGEXTEST(C223, "Free Space Monitoring Percentage"), "空き容量割合（%）", _xlfn.REGEXTEST(C223, "Age Monitoring"), "経過時間の監視", _xlfn.REGEXTEST(C223, "Transactions Monitoring"), "トランザクション数の監視", _xlfn.REGEXTEST(C223, "RPC Latency"), "RPC（遠隔手続き呼出し）のレイテンシ", _xlfn.REGEXTEST(C223, "Directory Failures"), "ディレクトリ障害数", _xlfn.REGEXTEST(C223, "Out-Of-Sync JournalNodes"), "同期ズレが発生しているJournalNode数", _xlfn.REGEXTEST(C223, "Safemode Threshold Percentage"), "セーフモード解除閾値の割合（%）", _xlfn.REGEXTEST(C223, "Kerberos Ticket Renewer Monitoring"), "Kerberosチケット更新プロセスの稼働状態監視", _xlfn.REGEXTEST(C223, "Load Balancer Monitoring"), "ロードバランサーの稼働状態監視", _xlfn.REGEXTEST(C223, "Navigator Audit Failure"), "Cloudera Navigator監査ログの失敗イベント", _xlfn.REGEXTEST(C223, "Schema Registry Server Monitoring"), "Schema Registry Serverの稼働状態監視", _xlfn.REGEXTEST(C223, "SRM Service Monitoring"), "SRMサービスの稼働状態監視", _xlfn.REGEXTEST(C223, "SRM Driver Monitoring"), "SRMドライバーの稼働状態監視", _xlfn.REGEXTEST(C223, "Loggin"), "ログ出力状態・設定監視", _xlfn.REGEXTEST(C223, "Server Monitoring"), "サーバーの稼働状態監視", _xlfn.REGEXTEST(C223, "Server Connection Count"), "サーバーの接続数（コネクション数）", _xlfn.REGEXTEST(C223, "Server Outstanding Requests"), "サーバーの未処理リクエスト数（滞留要求数）", _xlfn.REGEXTEST(C223, "Repository Status"), "リポジトリのステータス状態", _xlfn.REGEXTEST(C223, "Monitor Long Running Task"), "長時間実行タスク（ジョブ）の監視", _xlfn.REGEXTEST(C223, "Token requests per second"), "1秒あたりのトークンリクエスト数（要求レート）", _xlfn.REGEXTEST(C223, "Connection Model Score"), "接続モデルスコア（コネクション品質）", _xlfn.REGEXTEST(C223, "Queue swap"), "キューのスワップ発生状態", _xlfn.REGEXTEST(C223, "NiFi Node Monitoring"), "NiFiノードの稼働状態監視", _xlfn.REGEXTEST(C223, "Host Clock Offset"), "ホストのクロックオフセット（時刻同期のズレ）", _xlfn.REGEXTEST(C223, "Memory Overcommit Validation"), "メモリオーバーコミット設定の検証", _xlfn.REGEXTEST(C223, "Gateway Logging"), "ゲートウェイのログ出力設定", _xlfn.REGEXTEST(C223, "CPU Balance"), "CPU使用率の分散バランス状態", _xlfn.REGEXTEST(C223, "Disk Balance"), "ディスク使用量の分散バランス状態", _xlfn.REGEXTEST(C223, "Network Inbound Balance"), "ネットワークインバウンド（受信）の分散バランス状態", _xlfn.REGEXTEST(C223, "Network Outbound Balance"), "ネットワークアウトバウンド（送信）の分散バランス状態", _xlfn.REGEXTEST(C223, "Replica Count Balance"), "レプリカ数の分散バランス状態", _xlfn.REGEXTEST(C223, "Disk Capacity"), "ディスク総容量の限界・使用容量", _xlfn.REGEXTEST(C223, "CPU Capacity"), "CPU総処理能力の限界・使用量", _xlfn.REGEXTEST(C223, "Network Inbound Capacity"), "ネットワークインバウンド（受信）帯域の限界・使用量", _xlfn.REGEXTEST(C223, "Network Outbound Capacity"), "ネットワークアウトバウンド（送信）帯域の限界・使用量", _xlfn.REGEXTEST(C223, "Leader Replica Count Balance"), "リーダーレプリカ数の分散バランス状態", _xlfn.REGEXTEST(C223, "Host DNS Resolution Duration"), "ホストのDNS名前解決の所要時間", _xlfn.REGEXTEST(C223, "TLS Certificate Expiry"), "TLS証明書の有効期限切れ", _xlfn.REGEXTEST(C223, "Host Entropy"), "ホストのエントロピー（乱数生成能力）の不足", _xlfn.REGEXTEST(C223, "File Descriptor"), "プロセスのファイルディスクリプタ使用率", _xlfn.REGEXTEST(C223, "Unexpected Exits"), "プロセスの異常終了（予期せぬ停止）", _xlfn.REGEXTEST(C223, "Swap Memory Thresholds"), "プロセスのスワップメモリ使用量", _xlfn.REGEXTEST(C223, "Swap Memory Usage Rate"), "スワップメモリ使用量の変化率（増加速度）", _xlfn.REGEXTEST(C223, "Log Directory Free Space.*Absolute"), "ログディレクトリの空き容量（絶対値）", _xlfn.REGEXTEST(C223, "Log Directory Free Space.*Percentage"), "ログディレクトリの空き容量割合（%）", _xlfn.REGEXTEST(C223, "Heap Dump Directory Free Space.*Absolute"), "ヒープダンプディレクトリの空き容量（絶対値）", _xlfn.REGEXTEST(C223, "Heap Dump Directory Free Space.*Percentage"), "ヒープダンプディレクトリの空き容量割合（%）", _xlfn.REGEXTEST(C223, "Data Directory Free Space.*Absolute"), "データディレクトリの空き容量（絶対値）", _xlfn.REGEXTEST(C223, "Data Directory Free Space.*Percentage"), "データディレクトリの空き容量割合（%）", _xlfn.REGEXTEST(C223, "Transaction Log Directory Free Space.*Absolute"), "トランザクションログディレクトリの空き容量（絶対値）", _xlfn.REGEXTEST(C223, "Logging Threshold|Logger Threshold"), "ログ出力レベルの閾値設定", _xlfn.REGEXTEST(C223, "Enable.*Alerts"), "ヘルスアラートの有効化状態", _xlfn.REGEXTEST(C223, "Triggers"), "カスタムアラート条件（トリガー設定）", _xlfn.REGEXTEST(C223, "Healthy Kafka Broker"), "Kafka Brokerの健全ノード割合（稼働率）", _xlfn.REGEXTEST(C223, "Healthy Kafka Connect"), "Kafka Connectの健全ノード割合（稼働率）", _xlfn.REGEXTEST(C223, "Healthy KRaft Controller"), "KRaft Controllerの健全ノード割合（稼働率）", _xlfn.REGEXTEST(C223, "Healthy Knox IDBroker"), "Knox IDBrokerの健全ノード割合（稼働率）", _xlfn.REGEXTEST(C223, "Healthy Knox Gateway"), "Knox Gatewayの健全ノード割合（稼働率）", _xlfn.REGEXTEST(C223, "Healthy ZooKeeper Server"), "ZooKeeper Serverの健全ノード割合（稼働率）", _xlfn.REGEXTEST(C223, "Healthy NodeManager"), "NodeManagerの健全ノード割合（稼働率）", _xlfn.REGEXTEST(C223, "Maximum Latency"), "リクエストの最大レイテンシ（処理遅延）", _xlfn.REGEXTEST(C223, "Garbage Collection Duration"), "Javaのガベージコレクション（GC）の所要時間", _xlfn.REGEXTEST(C223, "Spool Directory Usage"), "Rangerプラグインのスプールディレクトリ使用量", _xlfn.REGEXTEST(C223, "Process Directory Free Space Monitoring Absolute"), "プロセスディレクトリの空き容量（絶対値)", _xlfn.REGEXTEST(C223, "Process Directory Free Space.*Percentage"), "プロセスディレクトリの空き容量割合（%）", _xlfn.REGEXTEST(C223, "Parcel Directory Free Space.*Absolute"), "パーセルディレクトリの空き容量（絶対値）", _xlfn.REGEXTEST(C223, "Parcel Directory Free Space.*Percentage"), "パーセルディレクトリの空き容量割合（%）", _xlfn.REGEXTEST(C223, "Host Network Frame Error Percentage"), "ホストのネットワークフレームエラー割合（%）", _xlfn.REGEXTEST(C223, "Network Interfaces Slow Link Modes"), "ホストのネットワークインターフェースの低速リンクモード検出", _xlfn.REGEXTEST(C223, "Host Memory Swapping"), "ホストのメモリのスワップ発生状態", TRUE, "要手動確認")</f>
        <v>空き容量（絶対値）</v>
      </c>
      <c r="H223" s="481" t="s">
        <v>1022</v>
      </c>
    </row>
    <row r="224" spans="1:8" ht="33.6">
      <c r="A224" s="514"/>
      <c r="B224" s="473"/>
      <c r="C224" s="471" t="s">
        <v>681</v>
      </c>
      <c r="D224" s="471" t="s">
        <v>682</v>
      </c>
      <c r="E224" s="471"/>
      <c r="F224" s="471"/>
      <c r="G224" s="471" t="str" cm="1">
        <f t="array" ref="G224">_xlfn.IFS(C224 = "", "", _xlfn.REGEXTEST(C224, "Service Metric Migrator Minimum Consecutive Successful Checks"), "サービスメトリック移行ツールの連続正常チェック最小回数", _xlfn.REGEXTEST(C224, "Rebalancing"), "リバランシング（データ再配置）状態", _xlfn.REGEXTEST(C224, "Temporary Dump Directory"), "一時ダンプディレクトリの監視", _xlfn.REGEXTEST(C224, "Safemode Extension"), "セーフモード延長状態", _xlfn.REGEXTEST(C224, "Client Idle"), "クライアントのアイドル（待機）状態", _xlfn.REGEXTEST(C224, "Available Space Policy Balanced"), "空き容量ポリシーの分散バランス状態", _xlfn.REGEXTEST(C224, "Filesystem Checkpoint Transaction"), "ファイルシステムのチェックポイントトランザクション", _xlfn.REGEXTEST(C224, "Blocks With Corrupt Replicas Monitoring"), "破損レプリカを持つブロックの監視", _xlfn.REGEXTEST(C224, "Missing Block Monitoring"), "消失（ミッシング）ブロックの監視", _xlfn.REGEXTEST(C224, "Under-replicated Block Monitoring"), "レプリカ数不足ブロックの監視", _xlfn.REGEXTEST(C224, "HDFS Free Space Monitoring"), "HDFSの空き容量監視", _xlfn.REGEXTEST(C224, "DataNode Monitoring"), "DataNodeの稼働状態監視", _xlfn.REGEXTEST(C224, "Rules to Extract Events from Log Files"), "ログファイルからのイベント抽出ルール設定", _xlfn.REGEXTEST(C224, "Free Space Monitoring$"), "空き容量監視（一般設定）", _xlfn.REGEXTEST(C224, "Transceivers Usage"), "トランシーバー使用量（データ転送スレッド数）", _xlfn.REGEXTEST(C224, "Volume Failures"), "ボリューム障害（ディスクエラー）数", _xlfn.REGEXTEST(C224, "Block Count"), "ブロック総数", _xlfn.REGEXTEST(C224, "Audit Failure"), "監査（オーディット）ログの失敗イベント", _xlfn.REGEXTEST(C224, "Web Metric Collection Duration"), "Webメトリック収集の所要時間", _xlfn.REGEXTEST(C224, "Pause Duration"), "一時停止（ポーズ）の所要時間", _xlfn.REGEXTEST(C224, "Fsync Latency"), "Fsync（ディスク同期）のレイテンシ", _xlfn.REGEXTEST(C224, "Free Space Monitoring Absolute"), "空き容量（絶対値）", _xlfn.REGEXTEST(C224, "Free Space Monitoring Percentage"), "空き容量割合（%）", _xlfn.REGEXTEST(C224, "Age Monitoring"), "経過時間の監視", _xlfn.REGEXTEST(C224, "Transactions Monitoring"), "トランザクション数の監視", _xlfn.REGEXTEST(C224, "RPC Latency"), "RPC（遠隔手続き呼出し）のレイテンシ", _xlfn.REGEXTEST(C224, "Directory Failures"), "ディレクトリ障害数", _xlfn.REGEXTEST(C224, "Out-Of-Sync JournalNodes"), "同期ズレが発生しているJournalNode数", _xlfn.REGEXTEST(C224, "Safemode Threshold Percentage"), "セーフモード解除閾値の割合（%）", _xlfn.REGEXTEST(C224, "Kerberos Ticket Renewer Monitoring"), "Kerberosチケット更新プロセスの稼働状態監視", _xlfn.REGEXTEST(C224, "Load Balancer Monitoring"), "ロードバランサーの稼働状態監視", _xlfn.REGEXTEST(C224, "Navigator Audit Failure"), "Cloudera Navigator監査ログの失敗イベント", _xlfn.REGEXTEST(C224, "Schema Registry Server Monitoring"), "Schema Registry Serverの稼働状態監視", _xlfn.REGEXTEST(C224, "SRM Service Monitoring"), "SRMサービスの稼働状態監視", _xlfn.REGEXTEST(C224, "SRM Driver Monitoring"), "SRMドライバーの稼働状態監視", _xlfn.REGEXTEST(C224, "Loggin"), "ログ出力状態・設定監視", _xlfn.REGEXTEST(C224, "Server Monitoring"), "サーバーの稼働状態監視", _xlfn.REGEXTEST(C224, "Server Connection Count"), "サーバーの接続数（コネクション数）", _xlfn.REGEXTEST(C224, "Server Outstanding Requests"), "サーバーの未処理リクエスト数（滞留要求数）", _xlfn.REGEXTEST(C224, "Repository Status"), "リポジトリのステータス状態", _xlfn.REGEXTEST(C224, "Monitor Long Running Task"), "長時間実行タスク（ジョブ）の監視", _xlfn.REGEXTEST(C224, "Token requests per second"), "1秒あたりのトークンリクエスト数（要求レート）", _xlfn.REGEXTEST(C224, "Connection Model Score"), "接続モデルスコア（コネクション品質）", _xlfn.REGEXTEST(C224, "Queue swap"), "キューのスワップ発生状態", _xlfn.REGEXTEST(C224, "NiFi Node Monitoring"), "NiFiノードの稼働状態監視", _xlfn.REGEXTEST(C224, "Host Clock Offset"), "ホストのクロックオフセット（時刻同期のズレ）", _xlfn.REGEXTEST(C224, "Memory Overcommit Validation"), "メモリオーバーコミット設定の検証", _xlfn.REGEXTEST(C224, "Gateway Logging"), "ゲートウェイのログ出力設定", _xlfn.REGEXTEST(C224, "CPU Balance"), "CPU使用率の分散バランス状態", _xlfn.REGEXTEST(C224, "Disk Balance"), "ディスク使用量の分散バランス状態", _xlfn.REGEXTEST(C224, "Network Inbound Balance"), "ネットワークインバウンド（受信）の分散バランス状態", _xlfn.REGEXTEST(C224, "Network Outbound Balance"), "ネットワークアウトバウンド（送信）の分散バランス状態", _xlfn.REGEXTEST(C224, "Replica Count Balance"), "レプリカ数の分散バランス状態", _xlfn.REGEXTEST(C224, "Disk Capacity"), "ディスク総容量の限界・使用容量", _xlfn.REGEXTEST(C224, "CPU Capacity"), "CPU総処理能力の限界・使用量", _xlfn.REGEXTEST(C224, "Network Inbound Capacity"), "ネットワークインバウンド（受信）帯域の限界・使用量", _xlfn.REGEXTEST(C224, "Network Outbound Capacity"), "ネットワークアウトバウンド（送信）帯域の限界・使用量", _xlfn.REGEXTEST(C224, "Leader Replica Count Balance"), "リーダーレプリカ数の分散バランス状態", _xlfn.REGEXTEST(C224, "Host DNS Resolution Duration"), "ホストのDNS名前解決の所要時間", _xlfn.REGEXTEST(C224, "TLS Certificate Expiry"), "TLS証明書の有効期限切れ", _xlfn.REGEXTEST(C224, "Host Entropy"), "ホストのエントロピー（乱数生成能力）の不足", _xlfn.REGEXTEST(C224, "File Descriptor"), "プロセスのファイルディスクリプタ使用率", _xlfn.REGEXTEST(C224, "Unexpected Exits"), "プロセスの異常終了（予期せぬ停止）", _xlfn.REGEXTEST(C224, "Swap Memory Thresholds"), "プロセスのスワップメモリ使用量", _xlfn.REGEXTEST(C224, "Swap Memory Usage Rate"), "スワップメモリ使用量の変化率（増加速度）", _xlfn.REGEXTEST(C224, "Log Directory Free Space.*Absolute"), "ログディレクトリの空き容量（絶対値）", _xlfn.REGEXTEST(C224, "Log Directory Free Space.*Percentage"), "ログディレクトリの空き容量割合（%）", _xlfn.REGEXTEST(C224, "Heap Dump Directory Free Space.*Absolute"), "ヒープダンプディレクトリの空き容量（絶対値）", _xlfn.REGEXTEST(C224, "Heap Dump Directory Free Space.*Percentage"), "ヒープダンプディレクトリの空き容量割合（%）", _xlfn.REGEXTEST(C224, "Data Directory Free Space.*Absolute"), "データディレクトリの空き容量（絶対値）", _xlfn.REGEXTEST(C224, "Data Directory Free Space.*Percentage"), "データディレクトリの空き容量割合（%）", _xlfn.REGEXTEST(C224, "Transaction Log Directory Free Space.*Absolute"), "トランザクションログディレクトリの空き容量（絶対値）", _xlfn.REGEXTEST(C224, "Logging Threshold|Logger Threshold"), "ログ出力レベルの閾値設定", _xlfn.REGEXTEST(C224, "Enable.*Alerts"), "ヘルスアラートの有効化状態", _xlfn.REGEXTEST(C224, "Triggers"), "カスタムアラート条件（トリガー設定）", _xlfn.REGEXTEST(C224, "Healthy Kafka Broker"), "Kafka Brokerの健全ノード割合（稼働率）", _xlfn.REGEXTEST(C224, "Healthy Kafka Connect"), "Kafka Connectの健全ノード割合（稼働率）", _xlfn.REGEXTEST(C224, "Healthy KRaft Controller"), "KRaft Controllerの健全ノード割合（稼働率）", _xlfn.REGEXTEST(C224, "Healthy Knox IDBroker"), "Knox IDBrokerの健全ノード割合（稼働率）", _xlfn.REGEXTEST(C224, "Healthy Knox Gateway"), "Knox Gatewayの健全ノード割合（稼働率）", _xlfn.REGEXTEST(C224, "Healthy ZooKeeper Server"), "ZooKeeper Serverの健全ノード割合（稼働率）", _xlfn.REGEXTEST(C224, "Healthy NodeManager"), "NodeManagerの健全ノード割合（稼働率）", _xlfn.REGEXTEST(C224, "Maximum Latency"), "リクエストの最大レイテンシ（処理遅延）", _xlfn.REGEXTEST(C224, "Garbage Collection Duration"), "Javaのガベージコレクション（GC）の所要時間", _xlfn.REGEXTEST(C224, "Spool Directory Usage"), "Rangerプラグインのスプールディレクトリ使用量", _xlfn.REGEXTEST(C224, "Process Directory Free Space Monitoring Absolute"), "プロセスディレクトリの空き容量（絶対値)", _xlfn.REGEXTEST(C224, "Process Directory Free Space.*Percentage"), "プロセスディレクトリの空き容量割合（%）", _xlfn.REGEXTEST(C224, "Parcel Directory Free Space.*Absolute"), "パーセルディレクトリの空き容量（絶対値）", _xlfn.REGEXTEST(C224, "Parcel Directory Free Space.*Percentage"), "パーセルディレクトリの空き容量割合（%）", _xlfn.REGEXTEST(C224, "Host Network Frame Error Percentage"), "ホストのネットワークフレームエラー割合（%）", _xlfn.REGEXTEST(C224, "Network Interfaces Slow Link Modes"), "ホストのネットワークインターフェースの低速リンクモード検出", _xlfn.REGEXTEST(C224, "Host Memory Swapping"), "ホストのメモリのスワップ発生状態", TRUE, "要手動確認")</f>
        <v>空き容量割合（%）</v>
      </c>
      <c r="H224" s="479" t="s">
        <v>683</v>
      </c>
    </row>
    <row r="225" spans="1:8" ht="33.6">
      <c r="A225" s="514"/>
      <c r="B225" s="473"/>
      <c r="C225" s="471" t="s">
        <v>684</v>
      </c>
      <c r="D225" s="471" t="s">
        <v>685</v>
      </c>
      <c r="E225" s="471"/>
      <c r="F225" s="471"/>
      <c r="G225" s="471" t="str" cm="1">
        <f t="array" ref="G225">_xlfn.IFS(C225 = "", "", _xlfn.REGEXTEST(C225, "Service Metric Migrator Minimum Consecutive Successful Checks"), "サービスメトリック移行ツールの連続正常チェック最小回数", _xlfn.REGEXTEST(C225, "Rebalancing"), "リバランシング（データ再配置）状態", _xlfn.REGEXTEST(C225, "Temporary Dump Directory"), "一時ダンプディレクトリの監視", _xlfn.REGEXTEST(C225, "Safemode Extension"), "セーフモード延長状態", _xlfn.REGEXTEST(C225, "Client Idle"), "クライアントのアイドル（待機）状態", _xlfn.REGEXTEST(C225, "Available Space Policy Balanced"), "空き容量ポリシーの分散バランス状態", _xlfn.REGEXTEST(C225, "Filesystem Checkpoint Transaction"), "ファイルシステムのチェックポイントトランザクション", _xlfn.REGEXTEST(C225, "Blocks With Corrupt Replicas Monitoring"), "破損レプリカを持つブロックの監視", _xlfn.REGEXTEST(C225, "Missing Block Monitoring"), "消失（ミッシング）ブロックの監視", _xlfn.REGEXTEST(C225, "Under-replicated Block Monitoring"), "レプリカ数不足ブロックの監視", _xlfn.REGEXTEST(C225, "HDFS Free Space Monitoring"), "HDFSの空き容量監視", _xlfn.REGEXTEST(C225, "DataNode Monitoring"), "DataNodeの稼働状態監視", _xlfn.REGEXTEST(C225, "Rules to Extract Events from Log Files"), "ログファイルからのイベント抽出ルール設定", _xlfn.REGEXTEST(C225, "Free Space Monitoring$"), "空き容量監視（一般設定）", _xlfn.REGEXTEST(C225, "Transceivers Usage"), "トランシーバー使用量（データ転送スレッド数）", _xlfn.REGEXTEST(C225, "Volume Failures"), "ボリューム障害（ディスクエラー）数", _xlfn.REGEXTEST(C225, "Block Count"), "ブロック総数", _xlfn.REGEXTEST(C225, "Audit Failure"), "監査（オーディット）ログの失敗イベント", _xlfn.REGEXTEST(C225, "Web Metric Collection Duration"), "Webメトリック収集の所要時間", _xlfn.REGEXTEST(C225, "Pause Duration"), "一時停止（ポーズ）の所要時間", _xlfn.REGEXTEST(C225, "Fsync Latency"), "Fsync（ディスク同期）のレイテンシ", _xlfn.REGEXTEST(C225, "Free Space Monitoring Absolute"), "空き容量（絶対値）", _xlfn.REGEXTEST(C225, "Free Space Monitoring Percentage"), "空き容量割合（%）", _xlfn.REGEXTEST(C225, "Age Monitoring"), "経過時間の監視", _xlfn.REGEXTEST(C225, "Transactions Monitoring"), "トランザクション数の監視", _xlfn.REGEXTEST(C225, "RPC Latency"), "RPC（遠隔手続き呼出し）のレイテンシ", _xlfn.REGEXTEST(C225, "Directory Failures"), "ディレクトリ障害数", _xlfn.REGEXTEST(C225, "Out-Of-Sync JournalNodes"), "同期ズレが発生しているJournalNode数", _xlfn.REGEXTEST(C225, "Safemode Threshold Percentage"), "セーフモード解除閾値の割合（%）", _xlfn.REGEXTEST(C225, "Kerberos Ticket Renewer Monitoring"), "Kerberosチケット更新プロセスの稼働状態監視", _xlfn.REGEXTEST(C225, "Load Balancer Monitoring"), "ロードバランサーの稼働状態監視", _xlfn.REGEXTEST(C225, "Navigator Audit Failure"), "Cloudera Navigator監査ログの失敗イベント", _xlfn.REGEXTEST(C225, "Schema Registry Server Monitoring"), "Schema Registry Serverの稼働状態監視", _xlfn.REGEXTEST(C225, "SRM Service Monitoring"), "SRMサービスの稼働状態監視", _xlfn.REGEXTEST(C225, "SRM Driver Monitoring"), "SRMドライバーの稼働状態監視", _xlfn.REGEXTEST(C225, "Loggin"), "ログ出力状態・設定監視", _xlfn.REGEXTEST(C225, "Server Monitoring"), "サーバーの稼働状態監視", _xlfn.REGEXTEST(C225, "Server Connection Count"), "サーバーの接続数（コネクション数）", _xlfn.REGEXTEST(C225, "Server Outstanding Requests"), "サーバーの未処理リクエスト数（滞留要求数）", _xlfn.REGEXTEST(C225, "Repository Status"), "リポジトリのステータス状態", _xlfn.REGEXTEST(C225, "Monitor Long Running Task"), "長時間実行タスク（ジョブ）の監視", _xlfn.REGEXTEST(C225, "Token requests per second"), "1秒あたりのトークンリクエスト数（要求レート）", _xlfn.REGEXTEST(C225, "Connection Model Score"), "接続モデルスコア（コネクション品質）", _xlfn.REGEXTEST(C225, "Queue swap"), "キューのスワップ発生状態", _xlfn.REGEXTEST(C225, "NiFi Node Monitoring"), "NiFiノードの稼働状態監視", _xlfn.REGEXTEST(C225, "Host Clock Offset"), "ホストのクロックオフセット（時刻同期のズレ）", _xlfn.REGEXTEST(C225, "Memory Overcommit Validation"), "メモリオーバーコミット設定の検証", _xlfn.REGEXTEST(C225, "Gateway Logging"), "ゲートウェイのログ出力設定", _xlfn.REGEXTEST(C225, "CPU Balance"), "CPU使用率の分散バランス状態", _xlfn.REGEXTEST(C225, "Disk Balance"), "ディスク使用量の分散バランス状態", _xlfn.REGEXTEST(C225, "Network Inbound Balance"), "ネットワークインバウンド（受信）の分散バランス状態", _xlfn.REGEXTEST(C225, "Network Outbound Balance"), "ネットワークアウトバウンド（送信）の分散バランス状態", _xlfn.REGEXTEST(C225, "Replica Count Balance"), "レプリカ数の分散バランス状態", _xlfn.REGEXTEST(C225, "Disk Capacity"), "ディスク総容量の限界・使用容量", _xlfn.REGEXTEST(C225, "CPU Capacity"), "CPU総処理能力の限界・使用量", _xlfn.REGEXTEST(C225, "Network Inbound Capacity"), "ネットワークインバウンド（受信）帯域の限界・使用量", _xlfn.REGEXTEST(C225, "Network Outbound Capacity"), "ネットワークアウトバウンド（送信）帯域の限界・使用量", _xlfn.REGEXTEST(C225, "Leader Replica Count Balance"), "リーダーレプリカ数の分散バランス状態", _xlfn.REGEXTEST(C225, "Host DNS Resolution Duration"), "ホストのDNS名前解決の所要時間", _xlfn.REGEXTEST(C225, "TLS Certificate Expiry"), "TLS証明書の有効期限切れ", _xlfn.REGEXTEST(C225, "Host Entropy"), "ホストのエントロピー（乱数生成能力）の不足", _xlfn.REGEXTEST(C225, "File Descriptor"), "プロセスのファイルディスクリプタ使用率", _xlfn.REGEXTEST(C225, "Unexpected Exits"), "プロセスの異常終了（予期せぬ停止）", _xlfn.REGEXTEST(C225, "Swap Memory Thresholds"), "プロセスのスワップメモリ使用量", _xlfn.REGEXTEST(C225, "Swap Memory Usage Rate"), "スワップメモリ使用量の変化率（増加速度）", _xlfn.REGEXTEST(C225, "Log Directory Free Space.*Absolute"), "ログディレクトリの空き容量（絶対値）", _xlfn.REGEXTEST(C225, "Log Directory Free Space.*Percentage"), "ログディレクトリの空き容量割合（%）", _xlfn.REGEXTEST(C225, "Heap Dump Directory Free Space.*Absolute"), "ヒープダンプディレクトリの空き容量（絶対値）", _xlfn.REGEXTEST(C225, "Heap Dump Directory Free Space.*Percentage"), "ヒープダンプディレクトリの空き容量割合（%）", _xlfn.REGEXTEST(C225, "Data Directory Free Space.*Absolute"), "データディレクトリの空き容量（絶対値）", _xlfn.REGEXTEST(C225, "Data Directory Free Space.*Percentage"), "データディレクトリの空き容量割合（%）", _xlfn.REGEXTEST(C225, "Transaction Log Directory Free Space.*Absolute"), "トランザクションログディレクトリの空き容量（絶対値）", _xlfn.REGEXTEST(C225, "Logging Threshold|Logger Threshold"), "ログ出力レベルの閾値設定", _xlfn.REGEXTEST(C225, "Enable.*Alerts"), "ヘルスアラートの有効化状態", _xlfn.REGEXTEST(C225, "Triggers"), "カスタムアラート条件（トリガー設定）", _xlfn.REGEXTEST(C225, "Healthy Kafka Broker"), "Kafka Brokerの健全ノード割合（稼働率）", _xlfn.REGEXTEST(C225, "Healthy Kafka Connect"), "Kafka Connectの健全ノード割合（稼働率）", _xlfn.REGEXTEST(C225, "Healthy KRaft Controller"), "KRaft Controllerの健全ノード割合（稼働率）", _xlfn.REGEXTEST(C225, "Healthy Knox IDBroker"), "Knox IDBrokerの健全ノード割合（稼働率）", _xlfn.REGEXTEST(C225, "Healthy Knox Gateway"), "Knox Gatewayの健全ノード割合（稼働率）", _xlfn.REGEXTEST(C225, "Healthy ZooKeeper Server"), "ZooKeeper Serverの健全ノード割合（稼働率）", _xlfn.REGEXTEST(C225, "Healthy NodeManager"), "NodeManagerの健全ノード割合（稼働率）", _xlfn.REGEXTEST(C225, "Maximum Latency"), "リクエストの最大レイテンシ（処理遅延）", _xlfn.REGEXTEST(C225, "Garbage Collection Duration"), "Javaのガベージコレクション（GC）の所要時間", _xlfn.REGEXTEST(C225, "Spool Directory Usage"), "Rangerプラグインのスプールディレクトリ使用量", _xlfn.REGEXTEST(C225, "Process Directory Free Space Monitoring Absolute"), "プロセスディレクトリの空き容量（絶対値)", _xlfn.REGEXTEST(C225, "Process Directory Free Space.*Percentage"), "プロセスディレクトリの空き容量割合（%）", _xlfn.REGEXTEST(C225, "Parcel Directory Free Space.*Absolute"), "パーセルディレクトリの空き容量（絶対値）", _xlfn.REGEXTEST(C225, "Parcel Directory Free Space.*Percentage"), "パーセルディレクトリの空き容量割合（%）", _xlfn.REGEXTEST(C225, "Host Network Frame Error Percentage"), "ホストのネットワークフレームエラー割合（%）", _xlfn.REGEXTEST(C225, "Network Interfaces Slow Link Modes"), "ホストのネットワークインターフェースの低速リンクモード検出", _xlfn.REGEXTEST(C225, "Host Memory Swapping"), "ホストのメモリのスワップ発生状態", TRUE, "要手動確認")</f>
        <v>空き容量（絶対値）</v>
      </c>
      <c r="H225" s="479" t="s">
        <v>898</v>
      </c>
    </row>
    <row r="226" spans="1:8" ht="33.6">
      <c r="A226" s="514"/>
      <c r="B226" s="473"/>
      <c r="C226" s="471" t="s">
        <v>687</v>
      </c>
      <c r="D226" s="471" t="s">
        <v>688</v>
      </c>
      <c r="E226" s="471"/>
      <c r="F226" s="471"/>
      <c r="G226" s="471" t="str" cm="1">
        <f t="array" ref="G226">_xlfn.IFS(C226 = "", "", _xlfn.REGEXTEST(C226, "Service Metric Migrator Minimum Consecutive Successful Checks"), "サービスメトリック移行ツールの連続正常チェック最小回数", _xlfn.REGEXTEST(C226, "Rebalancing"), "リバランシング（データ再配置）状態", _xlfn.REGEXTEST(C226, "Temporary Dump Directory"), "一時ダンプディレクトリの監視", _xlfn.REGEXTEST(C226, "Safemode Extension"), "セーフモード延長状態", _xlfn.REGEXTEST(C226, "Client Idle"), "クライアントのアイドル（待機）状態", _xlfn.REGEXTEST(C226, "Available Space Policy Balanced"), "空き容量ポリシーの分散バランス状態", _xlfn.REGEXTEST(C226, "Filesystem Checkpoint Transaction"), "ファイルシステムのチェックポイントトランザクション", _xlfn.REGEXTEST(C226, "Blocks With Corrupt Replicas Monitoring"), "破損レプリカを持つブロックの監視", _xlfn.REGEXTEST(C226, "Missing Block Monitoring"), "消失（ミッシング）ブロックの監視", _xlfn.REGEXTEST(C226, "Under-replicated Block Monitoring"), "レプリカ数不足ブロックの監視", _xlfn.REGEXTEST(C226, "HDFS Free Space Monitoring"), "HDFSの空き容量監視", _xlfn.REGEXTEST(C226, "DataNode Monitoring"), "DataNodeの稼働状態監視", _xlfn.REGEXTEST(C226, "Rules to Extract Events from Log Files"), "ログファイルからのイベント抽出ルール設定", _xlfn.REGEXTEST(C226, "Free Space Monitoring$"), "空き容量監視（一般設定）", _xlfn.REGEXTEST(C226, "Transceivers Usage"), "トランシーバー使用量（データ転送スレッド数）", _xlfn.REGEXTEST(C226, "Volume Failures"), "ボリューム障害（ディスクエラー）数", _xlfn.REGEXTEST(C226, "Block Count"), "ブロック総数", _xlfn.REGEXTEST(C226, "Audit Failure"), "監査（オーディット）ログの失敗イベント", _xlfn.REGEXTEST(C226, "Web Metric Collection Duration"), "Webメトリック収集の所要時間", _xlfn.REGEXTEST(C226, "Pause Duration"), "一時停止（ポーズ）の所要時間", _xlfn.REGEXTEST(C226, "Fsync Latency"), "Fsync（ディスク同期）のレイテンシ", _xlfn.REGEXTEST(C226, "Free Space Monitoring Absolute"), "空き容量（絶対値）", _xlfn.REGEXTEST(C226, "Free Space Monitoring Percentage"), "空き容量割合（%）", _xlfn.REGEXTEST(C226, "Age Monitoring"), "経過時間の監視", _xlfn.REGEXTEST(C226, "Transactions Monitoring"), "トランザクション数の監視", _xlfn.REGEXTEST(C226, "RPC Latency"), "RPC（遠隔手続き呼出し）のレイテンシ", _xlfn.REGEXTEST(C226, "Directory Failures"), "ディレクトリ障害数", _xlfn.REGEXTEST(C226, "Out-Of-Sync JournalNodes"), "同期ズレが発生しているJournalNode数", _xlfn.REGEXTEST(C226, "Safemode Threshold Percentage"), "セーフモード解除閾値の割合（%）", _xlfn.REGEXTEST(C226, "Kerberos Ticket Renewer Monitoring"), "Kerberosチケット更新プロセスの稼働状態監視", _xlfn.REGEXTEST(C226, "Load Balancer Monitoring"), "ロードバランサーの稼働状態監視", _xlfn.REGEXTEST(C226, "Navigator Audit Failure"), "Cloudera Navigator監査ログの失敗イベント", _xlfn.REGEXTEST(C226, "Schema Registry Server Monitoring"), "Schema Registry Serverの稼働状態監視", _xlfn.REGEXTEST(C226, "SRM Service Monitoring"), "SRMサービスの稼働状態監視", _xlfn.REGEXTEST(C226, "SRM Driver Monitoring"), "SRMドライバーの稼働状態監視", _xlfn.REGEXTEST(C226, "Loggin"), "ログ出力状態・設定監視", _xlfn.REGEXTEST(C226, "Server Monitoring"), "サーバーの稼働状態監視", _xlfn.REGEXTEST(C226, "Server Connection Count"), "サーバーの接続数（コネクション数）", _xlfn.REGEXTEST(C226, "Server Outstanding Requests"), "サーバーの未処理リクエスト数（滞留要求数）", _xlfn.REGEXTEST(C226, "Repository Status"), "リポジトリのステータス状態", _xlfn.REGEXTEST(C226, "Monitor Long Running Task"), "長時間実行タスク（ジョブ）の監視", _xlfn.REGEXTEST(C226, "Token requests per second"), "1秒あたりのトークンリクエスト数（要求レート）", _xlfn.REGEXTEST(C226, "Connection Model Score"), "接続モデルスコア（コネクション品質）", _xlfn.REGEXTEST(C226, "Queue swap"), "キューのスワップ発生状態", _xlfn.REGEXTEST(C226, "NiFi Node Monitoring"), "NiFiノードの稼働状態監視", _xlfn.REGEXTEST(C226, "Host Clock Offset"), "ホストのクロックオフセット（時刻同期のズレ）", _xlfn.REGEXTEST(C226, "Memory Overcommit Validation"), "メモリオーバーコミット設定の検証", _xlfn.REGEXTEST(C226, "Gateway Logging"), "ゲートウェイのログ出力設定", _xlfn.REGEXTEST(C226, "CPU Balance"), "CPU使用率の分散バランス状態", _xlfn.REGEXTEST(C226, "Disk Balance"), "ディスク使用量の分散バランス状態", _xlfn.REGEXTEST(C226, "Network Inbound Balance"), "ネットワークインバウンド（受信）の分散バランス状態", _xlfn.REGEXTEST(C226, "Network Outbound Balance"), "ネットワークアウトバウンド（送信）の分散バランス状態", _xlfn.REGEXTEST(C226, "Replica Count Balance"), "レプリカ数の分散バランス状態", _xlfn.REGEXTEST(C226, "Disk Capacity"), "ディスク総容量の限界・使用容量", _xlfn.REGEXTEST(C226, "CPU Capacity"), "CPU総処理能力の限界・使用量", _xlfn.REGEXTEST(C226, "Network Inbound Capacity"), "ネットワークインバウンド（受信）帯域の限界・使用量", _xlfn.REGEXTEST(C226, "Network Outbound Capacity"), "ネットワークアウトバウンド（送信）帯域の限界・使用量", _xlfn.REGEXTEST(C226, "Leader Replica Count Balance"), "リーダーレプリカ数の分散バランス状態", _xlfn.REGEXTEST(C226, "Host DNS Resolution Duration"), "ホストのDNS名前解決の所要時間", _xlfn.REGEXTEST(C226, "TLS Certificate Expiry"), "TLS証明書の有効期限切れ", _xlfn.REGEXTEST(C226, "Host Entropy"), "ホストのエントロピー（乱数生成能力）の不足", _xlfn.REGEXTEST(C226, "File Descriptor"), "プロセスのファイルディスクリプタ使用率", _xlfn.REGEXTEST(C226, "Unexpected Exits"), "プロセスの異常終了（予期せぬ停止）", _xlfn.REGEXTEST(C226, "Swap Memory Thresholds"), "プロセスのスワップメモリ使用量", _xlfn.REGEXTEST(C226, "Swap Memory Usage Rate"), "スワップメモリ使用量の変化率（増加速度）", _xlfn.REGEXTEST(C226, "Log Directory Free Space.*Absolute"), "ログディレクトリの空き容量（絶対値）", _xlfn.REGEXTEST(C226, "Log Directory Free Space.*Percentage"), "ログディレクトリの空き容量割合（%）", _xlfn.REGEXTEST(C226, "Heap Dump Directory Free Space.*Absolute"), "ヒープダンプディレクトリの空き容量（絶対値）", _xlfn.REGEXTEST(C226, "Heap Dump Directory Free Space.*Percentage"), "ヒープダンプディレクトリの空き容量割合（%）", _xlfn.REGEXTEST(C226, "Data Directory Free Space.*Absolute"), "データディレクトリの空き容量（絶対値）", _xlfn.REGEXTEST(C226, "Data Directory Free Space.*Percentage"), "データディレクトリの空き容量割合（%）", _xlfn.REGEXTEST(C226, "Transaction Log Directory Free Space.*Absolute"), "トランザクションログディレクトリの空き容量（絶対値）", _xlfn.REGEXTEST(C226, "Logging Threshold|Logger Threshold"), "ログ出力レベルの閾値設定", _xlfn.REGEXTEST(C226, "Enable.*Alerts"), "ヘルスアラートの有効化状態", _xlfn.REGEXTEST(C226, "Triggers"), "カスタムアラート条件（トリガー設定）", _xlfn.REGEXTEST(C226, "Healthy Kafka Broker"), "Kafka Brokerの健全ノード割合（稼働率）", _xlfn.REGEXTEST(C226, "Healthy Kafka Connect"), "Kafka Connectの健全ノード割合（稼働率）", _xlfn.REGEXTEST(C226, "Healthy KRaft Controller"), "KRaft Controllerの健全ノード割合（稼働率）", _xlfn.REGEXTEST(C226, "Healthy Knox IDBroker"), "Knox IDBrokerの健全ノード割合（稼働率）", _xlfn.REGEXTEST(C226, "Healthy Knox Gateway"), "Knox Gatewayの健全ノード割合（稼働率）", _xlfn.REGEXTEST(C226, "Healthy ZooKeeper Server"), "ZooKeeper Serverの健全ノード割合（稼働率）", _xlfn.REGEXTEST(C226, "Healthy NodeManager"), "NodeManagerの健全ノード割合（稼働率）", _xlfn.REGEXTEST(C226, "Maximum Latency"), "リクエストの最大レイテンシ（処理遅延）", _xlfn.REGEXTEST(C226, "Garbage Collection Duration"), "Javaのガベージコレクション（GC）の所要時間", _xlfn.REGEXTEST(C226, "Spool Directory Usage"), "Rangerプラグインのスプールディレクトリ使用量", _xlfn.REGEXTEST(C226, "Process Directory Free Space Monitoring Absolute"), "プロセスディレクトリの空き容量（絶対値)", _xlfn.REGEXTEST(C226, "Process Directory Free Space.*Percentage"), "プロセスディレクトリの空き容量割合（%）", _xlfn.REGEXTEST(C226, "Parcel Directory Free Space.*Absolute"), "パーセルディレクトリの空き容量（絶対値）", _xlfn.REGEXTEST(C226, "Parcel Directory Free Space.*Percentage"), "パーセルディレクトリの空き容量割合（%）", _xlfn.REGEXTEST(C226, "Host Network Frame Error Percentage"), "ホストのネットワークフレームエラー割合（%）", _xlfn.REGEXTEST(C226, "Network Interfaces Slow Link Modes"), "ホストのネットワークインターフェースの低速リンクモード検出", _xlfn.REGEXTEST(C226, "Host Memory Swapping"), "ホストのメモリのスワップ発生状態", TRUE, "要手動確認")</f>
        <v>空き容量割合（%）</v>
      </c>
      <c r="H226" s="479" t="s">
        <v>683</v>
      </c>
    </row>
    <row r="227" spans="1:8" ht="33.6">
      <c r="A227" s="514"/>
      <c r="B227" s="473"/>
      <c r="C227" s="471" t="s">
        <v>690</v>
      </c>
      <c r="D227" s="471" t="s">
        <v>691</v>
      </c>
      <c r="E227" s="471"/>
      <c r="F227" s="471"/>
      <c r="G227" s="471" t="str" cm="1">
        <f t="array" ref="G227">_xlfn.IFS(C227 = "", "", _xlfn.REGEXTEST(C227, "Service Metric Migrator Minimum Consecutive Successful Checks"), "サービスメトリック移行ツールの連続正常チェック最小回数", _xlfn.REGEXTEST(C227, "Rebalancing"), "リバランシング（データ再配置）状態", _xlfn.REGEXTEST(C227, "Temporary Dump Directory"), "一時ダンプディレクトリの監視", _xlfn.REGEXTEST(C227, "Safemode Extension"), "セーフモード延長状態", _xlfn.REGEXTEST(C227, "Client Idle"), "クライアントのアイドル（待機）状態", _xlfn.REGEXTEST(C227, "Available Space Policy Balanced"), "空き容量ポリシーの分散バランス状態", _xlfn.REGEXTEST(C227, "Filesystem Checkpoint Transaction"), "ファイルシステムのチェックポイントトランザクション", _xlfn.REGEXTEST(C227, "Blocks With Corrupt Replicas Monitoring"), "破損レプリカを持つブロックの監視", _xlfn.REGEXTEST(C227, "Missing Block Monitoring"), "消失（ミッシング）ブロックの監視", _xlfn.REGEXTEST(C227, "Under-replicated Block Monitoring"), "レプリカ数不足ブロックの監視", _xlfn.REGEXTEST(C227, "HDFS Free Space Monitoring"), "HDFSの空き容量監視", _xlfn.REGEXTEST(C227, "DataNode Monitoring"), "DataNodeの稼働状態監視", _xlfn.REGEXTEST(C227, "Rules to Extract Events from Log Files"), "ログファイルからのイベント抽出ルール設定", _xlfn.REGEXTEST(C227, "Free Space Monitoring$"), "空き容量監視（一般設定）", _xlfn.REGEXTEST(C227, "Transceivers Usage"), "トランシーバー使用量（データ転送スレッド数）", _xlfn.REGEXTEST(C227, "Volume Failures"), "ボリューム障害（ディスクエラー）数", _xlfn.REGEXTEST(C227, "Block Count"), "ブロック総数", _xlfn.REGEXTEST(C227, "Audit Failure"), "監査（オーディット）ログの失敗イベント", _xlfn.REGEXTEST(C227, "Web Metric Collection Duration"), "Webメトリック収集の所要時間", _xlfn.REGEXTEST(C227, "Pause Duration"), "一時停止（ポーズ）の所要時間", _xlfn.REGEXTEST(C227, "Fsync Latency"), "Fsync（ディスク同期）のレイテンシ", _xlfn.REGEXTEST(C227, "Free Space Monitoring Absolute"), "空き容量（絶対値）", _xlfn.REGEXTEST(C227, "Free Space Monitoring Percentage"), "空き容量割合（%）", _xlfn.REGEXTEST(C227, "Age Monitoring"), "経過時間の監視", _xlfn.REGEXTEST(C227, "Transactions Monitoring"), "トランザクション数の監視", _xlfn.REGEXTEST(C227, "RPC Latency"), "RPC（遠隔手続き呼出し）のレイテンシ", _xlfn.REGEXTEST(C227, "Directory Failures"), "ディレクトリ障害数", _xlfn.REGEXTEST(C227, "Out-Of-Sync JournalNodes"), "同期ズレが発生しているJournalNode数", _xlfn.REGEXTEST(C227, "Safemode Threshold Percentage"), "セーフモード解除閾値の割合（%）", _xlfn.REGEXTEST(C227, "Kerberos Ticket Renewer Monitoring"), "Kerberosチケット更新プロセスの稼働状態監視", _xlfn.REGEXTEST(C227, "Load Balancer Monitoring"), "ロードバランサーの稼働状態監視", _xlfn.REGEXTEST(C227, "Navigator Audit Failure"), "Cloudera Navigator監査ログの失敗イベント", _xlfn.REGEXTEST(C227, "Schema Registry Server Monitoring"), "Schema Registry Serverの稼働状態監視", _xlfn.REGEXTEST(C227, "SRM Service Monitoring"), "SRMサービスの稼働状態監視", _xlfn.REGEXTEST(C227, "SRM Driver Monitoring"), "SRMドライバーの稼働状態監視", _xlfn.REGEXTEST(C227, "Loggin"), "ログ出力状態・設定監視", _xlfn.REGEXTEST(C227, "Server Monitoring"), "サーバーの稼働状態監視", _xlfn.REGEXTEST(C227, "Server Connection Count"), "サーバーの接続数（コネクション数）", _xlfn.REGEXTEST(C227, "Server Outstanding Requests"), "サーバーの未処理リクエスト数（滞留要求数）", _xlfn.REGEXTEST(C227, "Repository Status"), "リポジトリのステータス状態", _xlfn.REGEXTEST(C227, "Monitor Long Running Task"), "長時間実行タスク（ジョブ）の監視", _xlfn.REGEXTEST(C227, "Token requests per second"), "1秒あたりのトークンリクエスト数（要求レート）", _xlfn.REGEXTEST(C227, "Connection Model Score"), "接続モデルスコア（コネクション品質）", _xlfn.REGEXTEST(C227, "Queue swap"), "キューのスワップ発生状態", _xlfn.REGEXTEST(C227, "NiFi Node Monitoring"), "NiFiノードの稼働状態監視", _xlfn.REGEXTEST(C227, "Host Clock Offset"), "ホストのクロックオフセット（時刻同期のズレ）", _xlfn.REGEXTEST(C227, "Memory Overcommit Validation"), "メモリオーバーコミット設定の検証", _xlfn.REGEXTEST(C227, "Gateway Logging"), "ゲートウェイのログ出力設定", _xlfn.REGEXTEST(C227, "CPU Balance"), "CPU使用率の分散バランス状態", _xlfn.REGEXTEST(C227, "Disk Balance"), "ディスク使用量の分散バランス状態", _xlfn.REGEXTEST(C227, "Network Inbound Balance"), "ネットワークインバウンド（受信）の分散バランス状態", _xlfn.REGEXTEST(C227, "Network Outbound Balance"), "ネットワークアウトバウンド（送信）の分散バランス状態", _xlfn.REGEXTEST(C227, "Replica Count Balance"), "レプリカ数の分散バランス状態", _xlfn.REGEXTEST(C227, "Disk Capacity"), "ディスク総容量の限界・使用容量", _xlfn.REGEXTEST(C227, "CPU Capacity"), "CPU総処理能力の限界・使用量", _xlfn.REGEXTEST(C227, "Network Inbound Capacity"), "ネットワークインバウンド（受信）帯域の限界・使用量", _xlfn.REGEXTEST(C227, "Network Outbound Capacity"), "ネットワークアウトバウンド（送信）帯域の限界・使用量", _xlfn.REGEXTEST(C227, "Leader Replica Count Balance"), "リーダーレプリカ数の分散バランス状態", _xlfn.REGEXTEST(C227, "Host DNS Resolution Duration"), "ホストのDNS名前解決の所要時間", _xlfn.REGEXTEST(C227, "TLS Certificate Expiry"), "TLS証明書の有効期限切れ", _xlfn.REGEXTEST(C227, "Host Entropy"), "ホストのエントロピー（乱数生成能力）の不足", _xlfn.REGEXTEST(C227, "File Descriptor"), "プロセスのファイルディスクリプタ使用率", _xlfn.REGEXTEST(C227, "Unexpected Exits"), "プロセスの異常終了（予期せぬ停止）", _xlfn.REGEXTEST(C227, "Swap Memory Thresholds"), "プロセスのスワップメモリ使用量", _xlfn.REGEXTEST(C227, "Swap Memory Usage Rate"), "スワップメモリ使用量の変化率（増加速度）", _xlfn.REGEXTEST(C227, "Log Directory Free Space.*Absolute"), "ログディレクトリの空き容量（絶対値）", _xlfn.REGEXTEST(C227, "Log Directory Free Space.*Percentage"), "ログディレクトリの空き容量割合（%）", _xlfn.REGEXTEST(C227, "Heap Dump Directory Free Space.*Absolute"), "ヒープダンプディレクトリの空き容量（絶対値）", _xlfn.REGEXTEST(C227, "Heap Dump Directory Free Space.*Percentage"), "ヒープダンプディレクトリの空き容量割合（%）", _xlfn.REGEXTEST(C227, "Data Directory Free Space.*Absolute"), "データディレクトリの空き容量（絶対値）", _xlfn.REGEXTEST(C227, "Data Directory Free Space.*Percentage"), "データディレクトリの空き容量割合（%）", _xlfn.REGEXTEST(C227, "Transaction Log Directory Free Space.*Absolute"), "トランザクションログディレクトリの空き容量（絶対値）", _xlfn.REGEXTEST(C227, "Logging Threshold|Logger Threshold"), "ログ出力レベルの閾値設定", _xlfn.REGEXTEST(C227, "Enable.*Alerts"), "ヘルスアラートの有効化状態", _xlfn.REGEXTEST(C227, "Triggers"), "カスタムアラート条件（トリガー設定）", _xlfn.REGEXTEST(C227, "Healthy Kafka Broker"), "Kafka Brokerの健全ノード割合（稼働率）", _xlfn.REGEXTEST(C227, "Healthy Kafka Connect"), "Kafka Connectの健全ノード割合（稼働率）", _xlfn.REGEXTEST(C227, "Healthy KRaft Controller"), "KRaft Controllerの健全ノード割合（稼働率）", _xlfn.REGEXTEST(C227, "Healthy Knox IDBroker"), "Knox IDBrokerの健全ノード割合（稼働率）", _xlfn.REGEXTEST(C227, "Healthy Knox Gateway"), "Knox Gatewayの健全ノード割合（稼働率）", _xlfn.REGEXTEST(C227, "Healthy ZooKeeper Server"), "ZooKeeper Serverの健全ノード割合（稼働率）", _xlfn.REGEXTEST(C227, "Healthy NodeManager"), "NodeManagerの健全ノード割合（稼働率）", _xlfn.REGEXTEST(C227, "Maximum Latency"), "リクエストの最大レイテンシ（処理遅延）", _xlfn.REGEXTEST(C227, "Garbage Collection Duration"), "Javaのガベージコレクション（GC）の所要時間", _xlfn.REGEXTEST(C227, "Spool Directory Usage"), "Rangerプラグインのスプールディレクトリ使用量", _xlfn.REGEXTEST(C227, "Process Directory Free Space Monitoring Absolute"), "プロセスディレクトリの空き容量（絶対値)", _xlfn.REGEXTEST(C227, "Process Directory Free Space.*Percentage"), "プロセスディレクトリの空き容量割合（%）", _xlfn.REGEXTEST(C227, "Parcel Directory Free Space.*Absolute"), "パーセルディレクトリの空き容量（絶対値）", _xlfn.REGEXTEST(C227, "Parcel Directory Free Space.*Percentage"), "パーセルディレクトリの空き容量割合（%）", _xlfn.REGEXTEST(C227, "Host Network Frame Error Percentage"), "ホストのネットワークフレームエラー割合（%）", _xlfn.REGEXTEST(C227, "Network Interfaces Slow Link Modes"), "ホストのネットワークインターフェースの低速リンクモード検出", _xlfn.REGEXTEST(C227, "Host Memory Swapping"), "ホストのメモリのスワップ発生状態", TRUE, "要手動確認")</f>
        <v>空き容量（絶対値）</v>
      </c>
      <c r="H227" s="479" t="s">
        <v>1021</v>
      </c>
    </row>
    <row r="228" spans="1:8" ht="33.6">
      <c r="A228" s="514"/>
      <c r="B228" s="473"/>
      <c r="C228" s="471" t="s">
        <v>693</v>
      </c>
      <c r="D228" s="471" t="s">
        <v>694</v>
      </c>
      <c r="E228" s="471"/>
      <c r="F228" s="471"/>
      <c r="G228" s="471" t="str" cm="1">
        <f t="array" ref="G228">_xlfn.IFS(C228 = "", "", _xlfn.REGEXTEST(C228, "Service Metric Migrator Minimum Consecutive Successful Checks"), "サービスメトリック移行ツールの連続正常チェック最小回数", _xlfn.REGEXTEST(C228, "Rebalancing"), "リバランシング（データ再配置）状態", _xlfn.REGEXTEST(C228, "Temporary Dump Directory"), "一時ダンプディレクトリの監視", _xlfn.REGEXTEST(C228, "Safemode Extension"), "セーフモード延長状態", _xlfn.REGEXTEST(C228, "Client Idle"), "クライアントのアイドル（待機）状態", _xlfn.REGEXTEST(C228, "Available Space Policy Balanced"), "空き容量ポリシーの分散バランス状態", _xlfn.REGEXTEST(C228, "Filesystem Checkpoint Transaction"), "ファイルシステムのチェックポイントトランザクション", _xlfn.REGEXTEST(C228, "Blocks With Corrupt Replicas Monitoring"), "破損レプリカを持つブロックの監視", _xlfn.REGEXTEST(C228, "Missing Block Monitoring"), "消失（ミッシング）ブロックの監視", _xlfn.REGEXTEST(C228, "Under-replicated Block Monitoring"), "レプリカ数不足ブロックの監視", _xlfn.REGEXTEST(C228, "HDFS Free Space Monitoring"), "HDFSの空き容量監視", _xlfn.REGEXTEST(C228, "DataNode Monitoring"), "DataNodeの稼働状態監視", _xlfn.REGEXTEST(C228, "Rules to Extract Events from Log Files"), "ログファイルからのイベント抽出ルール設定", _xlfn.REGEXTEST(C228, "Free Space Monitoring$"), "空き容量監視（一般設定）", _xlfn.REGEXTEST(C228, "Transceivers Usage"), "トランシーバー使用量（データ転送スレッド数）", _xlfn.REGEXTEST(C228, "Volume Failures"), "ボリューム障害（ディスクエラー）数", _xlfn.REGEXTEST(C228, "Block Count"), "ブロック総数", _xlfn.REGEXTEST(C228, "Audit Failure"), "監査（オーディット）ログの失敗イベント", _xlfn.REGEXTEST(C228, "Web Metric Collection Duration"), "Webメトリック収集の所要時間", _xlfn.REGEXTEST(C228, "Pause Duration"), "一時停止（ポーズ）の所要時間", _xlfn.REGEXTEST(C228, "Fsync Latency"), "Fsync（ディスク同期）のレイテンシ", _xlfn.REGEXTEST(C228, "Free Space Monitoring Absolute"), "空き容量（絶対値）", _xlfn.REGEXTEST(C228, "Free Space Monitoring Percentage"), "空き容量割合（%）", _xlfn.REGEXTEST(C228, "Age Monitoring"), "経過時間の監視", _xlfn.REGEXTEST(C228, "Transactions Monitoring"), "トランザクション数の監視", _xlfn.REGEXTEST(C228, "RPC Latency"), "RPC（遠隔手続き呼出し）のレイテンシ", _xlfn.REGEXTEST(C228, "Directory Failures"), "ディレクトリ障害数", _xlfn.REGEXTEST(C228, "Out-Of-Sync JournalNodes"), "同期ズレが発生しているJournalNode数", _xlfn.REGEXTEST(C228, "Safemode Threshold Percentage"), "セーフモード解除閾値の割合（%）", _xlfn.REGEXTEST(C228, "Kerberos Ticket Renewer Monitoring"), "Kerberosチケット更新プロセスの稼働状態監視", _xlfn.REGEXTEST(C228, "Load Balancer Monitoring"), "ロードバランサーの稼働状態監視", _xlfn.REGEXTEST(C228, "Navigator Audit Failure"), "Cloudera Navigator監査ログの失敗イベント", _xlfn.REGEXTEST(C228, "Schema Registry Server Monitoring"), "Schema Registry Serverの稼働状態監視", _xlfn.REGEXTEST(C228, "SRM Service Monitoring"), "SRMサービスの稼働状態監視", _xlfn.REGEXTEST(C228, "SRM Driver Monitoring"), "SRMドライバーの稼働状態監視", _xlfn.REGEXTEST(C228, "Loggin"), "ログ出力状態・設定監視", _xlfn.REGEXTEST(C228, "Server Monitoring"), "サーバーの稼働状態監視", _xlfn.REGEXTEST(C228, "Server Connection Count"), "サーバーの接続数（コネクション数）", _xlfn.REGEXTEST(C228, "Server Outstanding Requests"), "サーバーの未処理リクエスト数（滞留要求数）", _xlfn.REGEXTEST(C228, "Repository Status"), "リポジトリのステータス状態", _xlfn.REGEXTEST(C228, "Monitor Long Running Task"), "長時間実行タスク（ジョブ）の監視", _xlfn.REGEXTEST(C228, "Token requests per second"), "1秒あたりのトークンリクエスト数（要求レート）", _xlfn.REGEXTEST(C228, "Connection Model Score"), "接続モデルスコア（コネクション品質）", _xlfn.REGEXTEST(C228, "Queue swap"), "キューのスワップ発生状態", _xlfn.REGEXTEST(C228, "NiFi Node Monitoring"), "NiFiノードの稼働状態監視", _xlfn.REGEXTEST(C228, "Host Clock Offset"), "ホストのクロックオフセット（時刻同期のズレ）", _xlfn.REGEXTEST(C228, "Memory Overcommit Validation"), "メモリオーバーコミット設定の検証", _xlfn.REGEXTEST(C228, "Gateway Logging"), "ゲートウェイのログ出力設定", _xlfn.REGEXTEST(C228, "CPU Balance"), "CPU使用率の分散バランス状態", _xlfn.REGEXTEST(C228, "Disk Balance"), "ディスク使用量の分散バランス状態", _xlfn.REGEXTEST(C228, "Network Inbound Balance"), "ネットワークインバウンド（受信）の分散バランス状態", _xlfn.REGEXTEST(C228, "Network Outbound Balance"), "ネットワークアウトバウンド（送信）の分散バランス状態", _xlfn.REGEXTEST(C228, "Replica Count Balance"), "レプリカ数の分散バランス状態", _xlfn.REGEXTEST(C228, "Disk Capacity"), "ディスク総容量の限界・使用容量", _xlfn.REGEXTEST(C228, "CPU Capacity"), "CPU総処理能力の限界・使用量", _xlfn.REGEXTEST(C228, "Network Inbound Capacity"), "ネットワークインバウンド（受信）帯域の限界・使用量", _xlfn.REGEXTEST(C228, "Network Outbound Capacity"), "ネットワークアウトバウンド（送信）帯域の限界・使用量", _xlfn.REGEXTEST(C228, "Leader Replica Count Balance"), "リーダーレプリカ数の分散バランス状態", _xlfn.REGEXTEST(C228, "Host DNS Resolution Duration"), "ホストのDNS名前解決の所要時間", _xlfn.REGEXTEST(C228, "TLS Certificate Expiry"), "TLS証明書の有効期限切れ", _xlfn.REGEXTEST(C228, "Host Entropy"), "ホストのエントロピー（乱数生成能力）の不足", _xlfn.REGEXTEST(C228, "File Descriptor"), "プロセスのファイルディスクリプタ使用率", _xlfn.REGEXTEST(C228, "Unexpected Exits"), "プロセスの異常終了（予期せぬ停止）", _xlfn.REGEXTEST(C228, "Swap Memory Thresholds"), "プロセスのスワップメモリ使用量", _xlfn.REGEXTEST(C228, "Swap Memory Usage Rate"), "スワップメモリ使用量の変化率（増加速度）", _xlfn.REGEXTEST(C228, "Log Directory Free Space.*Absolute"), "ログディレクトリの空き容量（絶対値）", _xlfn.REGEXTEST(C228, "Log Directory Free Space.*Percentage"), "ログディレクトリの空き容量割合（%）", _xlfn.REGEXTEST(C228, "Heap Dump Directory Free Space.*Absolute"), "ヒープダンプディレクトリの空き容量（絶対値）", _xlfn.REGEXTEST(C228, "Heap Dump Directory Free Space.*Percentage"), "ヒープダンプディレクトリの空き容量割合（%）", _xlfn.REGEXTEST(C228, "Data Directory Free Space.*Absolute"), "データディレクトリの空き容量（絶対値）", _xlfn.REGEXTEST(C228, "Data Directory Free Space.*Percentage"), "データディレクトリの空き容量割合（%）", _xlfn.REGEXTEST(C228, "Transaction Log Directory Free Space.*Absolute"), "トランザクションログディレクトリの空き容量（絶対値）", _xlfn.REGEXTEST(C228, "Logging Threshold|Logger Threshold"), "ログ出力レベルの閾値設定", _xlfn.REGEXTEST(C228, "Enable.*Alerts"), "ヘルスアラートの有効化状態", _xlfn.REGEXTEST(C228, "Triggers"), "カスタムアラート条件（トリガー設定）", _xlfn.REGEXTEST(C228, "Healthy Kafka Broker"), "Kafka Brokerの健全ノード割合（稼働率）", _xlfn.REGEXTEST(C228, "Healthy Kafka Connect"), "Kafka Connectの健全ノード割合（稼働率）", _xlfn.REGEXTEST(C228, "Healthy KRaft Controller"), "KRaft Controllerの健全ノード割合（稼働率）", _xlfn.REGEXTEST(C228, "Healthy Knox IDBroker"), "Knox IDBrokerの健全ノード割合（稼働率）", _xlfn.REGEXTEST(C228, "Healthy Knox Gateway"), "Knox Gatewayの健全ノード割合（稼働率）", _xlfn.REGEXTEST(C228, "Healthy ZooKeeper Server"), "ZooKeeper Serverの健全ノード割合（稼働率）", _xlfn.REGEXTEST(C228, "Healthy NodeManager"), "NodeManagerの健全ノード割合（稼働率）", _xlfn.REGEXTEST(C228, "Maximum Latency"), "リクエストの最大レイテンシ（処理遅延）", _xlfn.REGEXTEST(C228, "Garbage Collection Duration"), "Javaのガベージコレクション（GC）の所要時間", _xlfn.REGEXTEST(C228, "Spool Directory Usage"), "Rangerプラグインのスプールディレクトリ使用量", _xlfn.REGEXTEST(C228, "Process Directory Free Space Monitoring Absolute"), "プロセスディレクトリの空き容量（絶対値)", _xlfn.REGEXTEST(C228, "Process Directory Free Space.*Percentage"), "プロセスディレクトリの空き容量割合（%）", _xlfn.REGEXTEST(C228, "Parcel Directory Free Space.*Absolute"), "パーセルディレクトリの空き容量（絶対値）", _xlfn.REGEXTEST(C228, "Parcel Directory Free Space.*Percentage"), "パーセルディレクトリの空き容量割合（%）", _xlfn.REGEXTEST(C228, "Host Network Frame Error Percentage"), "ホストのネットワークフレームエラー割合（%）", _xlfn.REGEXTEST(C228, "Network Interfaces Slow Link Modes"), "ホストのネットワークインターフェースの低速リンクモード検出", _xlfn.REGEXTEST(C228, "Host Memory Swapping"), "ホストのメモリのスワップ発生状態", TRUE, "要手動確認")</f>
        <v>空き容量割合（%）</v>
      </c>
      <c r="H228" s="479" t="s">
        <v>683</v>
      </c>
    </row>
    <row r="229" spans="1:8" ht="33.6">
      <c r="A229" s="514"/>
      <c r="B229" s="473"/>
      <c r="C229" s="471" t="s">
        <v>695</v>
      </c>
      <c r="D229" s="471" t="s">
        <v>696</v>
      </c>
      <c r="E229" s="471"/>
      <c r="F229" s="471"/>
      <c r="G229" s="471" t="str" cm="1">
        <f t="array" ref="G229">_xlfn.IFS(C229 = "", "", _xlfn.REGEXTEST(C229, "Service Metric Migrator Minimum Consecutive Successful Checks"), "サービスメトリック移行ツールの連続正常チェック最小回数", _xlfn.REGEXTEST(C229, "Rebalancing"), "リバランシング（データ再配置）状態", _xlfn.REGEXTEST(C229, "Temporary Dump Directory"), "一時ダンプディレクトリの監視", _xlfn.REGEXTEST(C229, "Safemode Extension"), "セーフモード延長状態", _xlfn.REGEXTEST(C229, "Client Idle"), "クライアントのアイドル（待機）状態", _xlfn.REGEXTEST(C229, "Available Space Policy Balanced"), "空き容量ポリシーの分散バランス状態", _xlfn.REGEXTEST(C229, "Filesystem Checkpoint Transaction"), "ファイルシステムのチェックポイントトランザクション", _xlfn.REGEXTEST(C229, "Blocks With Corrupt Replicas Monitoring"), "破損レプリカを持つブロックの監視", _xlfn.REGEXTEST(C229, "Missing Block Monitoring"), "消失（ミッシング）ブロックの監視", _xlfn.REGEXTEST(C229, "Under-replicated Block Monitoring"), "レプリカ数不足ブロックの監視", _xlfn.REGEXTEST(C229, "HDFS Free Space Monitoring"), "HDFSの空き容量監視", _xlfn.REGEXTEST(C229, "DataNode Monitoring"), "DataNodeの稼働状態監視", _xlfn.REGEXTEST(C229, "Rules to Extract Events from Log Files"), "ログファイルからのイベント抽出ルール設定", _xlfn.REGEXTEST(C229, "Free Space Monitoring$"), "空き容量監視（一般設定）", _xlfn.REGEXTEST(C229, "Transceivers Usage"), "トランシーバー使用量（データ転送スレッド数）", _xlfn.REGEXTEST(C229, "Volume Failures"), "ボリューム障害（ディスクエラー）数", _xlfn.REGEXTEST(C229, "Block Count"), "ブロック総数", _xlfn.REGEXTEST(C229, "Audit Failure"), "監査（オーディット）ログの失敗イベント", _xlfn.REGEXTEST(C229, "Web Metric Collection Duration"), "Webメトリック収集の所要時間", _xlfn.REGEXTEST(C229, "Pause Duration"), "一時停止（ポーズ）の所要時間", _xlfn.REGEXTEST(C229, "Fsync Latency"), "Fsync（ディスク同期）のレイテンシ", _xlfn.REGEXTEST(C229, "Free Space Monitoring Absolute"), "空き容量（絶対値）", _xlfn.REGEXTEST(C229, "Free Space Monitoring Percentage"), "空き容量割合（%）", _xlfn.REGEXTEST(C229, "Age Monitoring"), "経過時間の監視", _xlfn.REGEXTEST(C229, "Transactions Monitoring"), "トランザクション数の監視", _xlfn.REGEXTEST(C229, "RPC Latency"), "RPC（遠隔手続き呼出し）のレイテンシ", _xlfn.REGEXTEST(C229, "Directory Failures"), "ディレクトリ障害数", _xlfn.REGEXTEST(C229, "Out-Of-Sync JournalNodes"), "同期ズレが発生しているJournalNode数", _xlfn.REGEXTEST(C229, "Safemode Threshold Percentage"), "セーフモード解除閾値の割合（%）", _xlfn.REGEXTEST(C229, "Kerberos Ticket Renewer Monitoring"), "Kerberosチケット更新プロセスの稼働状態監視", _xlfn.REGEXTEST(C229, "Load Balancer Monitoring"), "ロードバランサーの稼働状態監視", _xlfn.REGEXTEST(C229, "Navigator Audit Failure"), "Cloudera Navigator監査ログの失敗イベント", _xlfn.REGEXTEST(C229, "Schema Registry Server Monitoring"), "Schema Registry Serverの稼働状態監視", _xlfn.REGEXTEST(C229, "SRM Service Monitoring"), "SRMサービスの稼働状態監視", _xlfn.REGEXTEST(C229, "SRM Driver Monitoring"), "SRMドライバーの稼働状態監視", _xlfn.REGEXTEST(C229, "Loggin"), "ログ出力状態・設定監視", _xlfn.REGEXTEST(C229, "Server Monitoring"), "サーバーの稼働状態監視", _xlfn.REGEXTEST(C229, "Server Connection Count"), "サーバーの接続数（コネクション数）", _xlfn.REGEXTEST(C229, "Server Outstanding Requests"), "サーバーの未処理リクエスト数（滞留要求数）", _xlfn.REGEXTEST(C229, "Repository Status"), "リポジトリのステータス状態", _xlfn.REGEXTEST(C229, "Monitor Long Running Task"), "長時間実行タスク（ジョブ）の監視", _xlfn.REGEXTEST(C229, "Token requests per second"), "1秒あたりのトークンリクエスト数（要求レート）", _xlfn.REGEXTEST(C229, "Connection Model Score"), "接続モデルスコア（コネクション品質）", _xlfn.REGEXTEST(C229, "Queue swap"), "キューのスワップ発生状態", _xlfn.REGEXTEST(C229, "NiFi Node Monitoring"), "NiFiノードの稼働状態監視", _xlfn.REGEXTEST(C229, "Host Clock Offset"), "ホストのクロックオフセット（時刻同期のズレ）", _xlfn.REGEXTEST(C229, "Memory Overcommit Validation"), "メモリオーバーコミット設定の検証", _xlfn.REGEXTEST(C229, "Gateway Logging"), "ゲートウェイのログ出力設定", _xlfn.REGEXTEST(C229, "CPU Balance"), "CPU使用率の分散バランス状態", _xlfn.REGEXTEST(C229, "Disk Balance"), "ディスク使用量の分散バランス状態", _xlfn.REGEXTEST(C229, "Network Inbound Balance"), "ネットワークインバウンド（受信）の分散バランス状態", _xlfn.REGEXTEST(C229, "Network Outbound Balance"), "ネットワークアウトバウンド（送信）の分散バランス状態", _xlfn.REGEXTEST(C229, "Replica Count Balance"), "レプリカ数の分散バランス状態", _xlfn.REGEXTEST(C229, "Disk Capacity"), "ディスク総容量の限界・使用容量", _xlfn.REGEXTEST(C229, "CPU Capacity"), "CPU総処理能力の限界・使用量", _xlfn.REGEXTEST(C229, "Network Inbound Capacity"), "ネットワークインバウンド（受信）帯域の限界・使用量", _xlfn.REGEXTEST(C229, "Network Outbound Capacity"), "ネットワークアウトバウンド（送信）帯域の限界・使用量", _xlfn.REGEXTEST(C229, "Leader Replica Count Balance"), "リーダーレプリカ数の分散バランス状態", _xlfn.REGEXTEST(C229, "Host DNS Resolution Duration"), "ホストのDNS名前解決の所要時間", _xlfn.REGEXTEST(C229, "TLS Certificate Expiry"), "TLS証明書の有効期限切れ", _xlfn.REGEXTEST(C229, "Host Entropy"), "ホストのエントロピー（乱数生成能力）の不足", _xlfn.REGEXTEST(C229, "File Descriptor"), "プロセスのファイルディスクリプタ使用率", _xlfn.REGEXTEST(C229, "Unexpected Exits"), "プロセスの異常終了（予期せぬ停止）", _xlfn.REGEXTEST(C229, "Swap Memory Thresholds"), "プロセスのスワップメモリ使用量", _xlfn.REGEXTEST(C229, "Swap Memory Usage Rate"), "スワップメモリ使用量の変化率（増加速度）", _xlfn.REGEXTEST(C229, "Log Directory Free Space.*Absolute"), "ログディレクトリの空き容量（絶対値）", _xlfn.REGEXTEST(C229, "Log Directory Free Space.*Percentage"), "ログディレクトリの空き容量割合（%）", _xlfn.REGEXTEST(C229, "Heap Dump Directory Free Space.*Absolute"), "ヒープダンプディレクトリの空き容量（絶対値）", _xlfn.REGEXTEST(C229, "Heap Dump Directory Free Space.*Percentage"), "ヒープダンプディレクトリの空き容量割合（%）", _xlfn.REGEXTEST(C229, "Data Directory Free Space.*Absolute"), "データディレクトリの空き容量（絶対値）", _xlfn.REGEXTEST(C229, "Data Directory Free Space.*Percentage"), "データディレクトリの空き容量割合（%）", _xlfn.REGEXTEST(C229, "Transaction Log Directory Free Space.*Absolute"), "トランザクションログディレクトリの空き容量（絶対値）", _xlfn.REGEXTEST(C229, "Logging Threshold|Logger Threshold"), "ログ出力レベルの閾値設定", _xlfn.REGEXTEST(C229, "Enable.*Alerts"), "ヘルスアラートの有効化状態", _xlfn.REGEXTEST(C229, "Triggers"), "カスタムアラート条件（トリガー設定）", _xlfn.REGEXTEST(C229, "Healthy Kafka Broker"), "Kafka Brokerの健全ノード割合（稼働率）", _xlfn.REGEXTEST(C229, "Healthy Kafka Connect"), "Kafka Connectの健全ノード割合（稼働率）", _xlfn.REGEXTEST(C229, "Healthy KRaft Controller"), "KRaft Controllerの健全ノード割合（稼働率）", _xlfn.REGEXTEST(C229, "Healthy Knox IDBroker"), "Knox IDBrokerの健全ノード割合（稼働率）", _xlfn.REGEXTEST(C229, "Healthy Knox Gateway"), "Knox Gatewayの健全ノード割合（稼働率）", _xlfn.REGEXTEST(C229, "Healthy ZooKeeper Server"), "ZooKeeper Serverの健全ノード割合（稼働率）", _xlfn.REGEXTEST(C229, "Healthy NodeManager"), "NodeManagerの健全ノード割合（稼働率）", _xlfn.REGEXTEST(C229, "Maximum Latency"), "リクエストの最大レイテンシ（処理遅延）", _xlfn.REGEXTEST(C229, "Garbage Collection Duration"), "Javaのガベージコレクション（GC）の所要時間", _xlfn.REGEXTEST(C229, "Spool Directory Usage"), "Rangerプラグインのスプールディレクトリ使用量", _xlfn.REGEXTEST(C229, "Process Directory Free Space Monitoring Absolute"), "プロセスディレクトリの空き容量（絶対値)", _xlfn.REGEXTEST(C229, "Process Directory Free Space.*Percentage"), "プロセスディレクトリの空き容量割合（%）", _xlfn.REGEXTEST(C229, "Parcel Directory Free Space.*Absolute"), "パーセルディレクトリの空き容量（絶対値）", _xlfn.REGEXTEST(C229, "Parcel Directory Free Space.*Percentage"), "パーセルディレクトリの空き容量割合（%）", _xlfn.REGEXTEST(C229, "Host Network Frame Error Percentage"), "ホストのネットワークフレームエラー割合（%）", _xlfn.REGEXTEST(C229, "Network Interfaces Slow Link Modes"), "ホストのネットワークインターフェースの低速リンクモード検出", _xlfn.REGEXTEST(C229, "Host Memory Swapping"), "ホストのメモリのスワップ発生状態", TRUE, "要手動確認")</f>
        <v>ホストのネットワークフレームエラー割合（%）</v>
      </c>
      <c r="H229" s="479" t="s">
        <v>1023</v>
      </c>
    </row>
    <row r="230" spans="1:8" ht="33.6">
      <c r="A230" s="514"/>
      <c r="B230" s="473"/>
      <c r="C230" s="471" t="s">
        <v>698</v>
      </c>
      <c r="D230" s="471" t="s">
        <v>699</v>
      </c>
      <c r="E230" s="471"/>
      <c r="F230" s="471"/>
      <c r="G230" s="471" t="str" cm="1">
        <f t="array" ref="G230">_xlfn.IFS(C230 = "", "", _xlfn.REGEXTEST(C230, "Service Metric Migrator Minimum Consecutive Successful Checks"), "サービスメトリック移行ツールの連続正常チェック最小回数", _xlfn.REGEXTEST(C230, "Rebalancing"), "リバランシング（データ再配置）状態", _xlfn.REGEXTEST(C230, "Temporary Dump Directory"), "一時ダンプディレクトリの監視", _xlfn.REGEXTEST(C230, "Safemode Extension"), "セーフモード延長状態", _xlfn.REGEXTEST(C230, "Client Idle"), "クライアントのアイドル（待機）状態", _xlfn.REGEXTEST(C230, "Available Space Policy Balanced"), "空き容量ポリシーの分散バランス状態", _xlfn.REGEXTEST(C230, "Filesystem Checkpoint Transaction"), "ファイルシステムのチェックポイントトランザクション", _xlfn.REGEXTEST(C230, "Blocks With Corrupt Replicas Monitoring"), "破損レプリカを持つブロックの監視", _xlfn.REGEXTEST(C230, "Missing Block Monitoring"), "消失（ミッシング）ブロックの監視", _xlfn.REGEXTEST(C230, "Under-replicated Block Monitoring"), "レプリカ数不足ブロックの監視", _xlfn.REGEXTEST(C230, "HDFS Free Space Monitoring"), "HDFSの空き容量監視", _xlfn.REGEXTEST(C230, "DataNode Monitoring"), "DataNodeの稼働状態監視", _xlfn.REGEXTEST(C230, "Rules to Extract Events from Log Files"), "ログファイルからのイベント抽出ルール設定", _xlfn.REGEXTEST(C230, "Free Space Monitoring$"), "空き容量監視（一般設定）", _xlfn.REGEXTEST(C230, "Transceivers Usage"), "トランシーバー使用量（データ転送スレッド数）", _xlfn.REGEXTEST(C230, "Volume Failures"), "ボリューム障害（ディスクエラー）数", _xlfn.REGEXTEST(C230, "Block Count"), "ブロック総数", _xlfn.REGEXTEST(C230, "Audit Failure"), "監査（オーディット）ログの失敗イベント", _xlfn.REGEXTEST(C230, "Web Metric Collection Duration"), "Webメトリック収集の所要時間", _xlfn.REGEXTEST(C230, "Pause Duration"), "一時停止（ポーズ）の所要時間", _xlfn.REGEXTEST(C230, "Fsync Latency"), "Fsync（ディスク同期）のレイテンシ", _xlfn.REGEXTEST(C230, "Free Space Monitoring Absolute"), "空き容量（絶対値）", _xlfn.REGEXTEST(C230, "Free Space Monitoring Percentage"), "空き容量割合（%）", _xlfn.REGEXTEST(C230, "Age Monitoring"), "経過時間の監視", _xlfn.REGEXTEST(C230, "Transactions Monitoring"), "トランザクション数の監視", _xlfn.REGEXTEST(C230, "RPC Latency"), "RPC（遠隔手続き呼出し）のレイテンシ", _xlfn.REGEXTEST(C230, "Directory Failures"), "ディレクトリ障害数", _xlfn.REGEXTEST(C230, "Out-Of-Sync JournalNodes"), "同期ズレが発生しているJournalNode数", _xlfn.REGEXTEST(C230, "Safemode Threshold Percentage"), "セーフモード解除閾値の割合（%）", _xlfn.REGEXTEST(C230, "Kerberos Ticket Renewer Monitoring"), "Kerberosチケット更新プロセスの稼働状態監視", _xlfn.REGEXTEST(C230, "Load Balancer Monitoring"), "ロードバランサーの稼働状態監視", _xlfn.REGEXTEST(C230, "Navigator Audit Failure"), "Cloudera Navigator監査ログの失敗イベント", _xlfn.REGEXTEST(C230, "Schema Registry Server Monitoring"), "Schema Registry Serverの稼働状態監視", _xlfn.REGEXTEST(C230, "SRM Service Monitoring"), "SRMサービスの稼働状態監視", _xlfn.REGEXTEST(C230, "SRM Driver Monitoring"), "SRMドライバーの稼働状態監視", _xlfn.REGEXTEST(C230, "Loggin"), "ログ出力状態・設定監視", _xlfn.REGEXTEST(C230, "Server Monitoring"), "サーバーの稼働状態監視", _xlfn.REGEXTEST(C230, "Server Connection Count"), "サーバーの接続数（コネクション数）", _xlfn.REGEXTEST(C230, "Server Outstanding Requests"), "サーバーの未処理リクエスト数（滞留要求数）", _xlfn.REGEXTEST(C230, "Repository Status"), "リポジトリのステータス状態", _xlfn.REGEXTEST(C230, "Monitor Long Running Task"), "長時間実行タスク（ジョブ）の監視", _xlfn.REGEXTEST(C230, "Token requests per second"), "1秒あたりのトークンリクエスト数（要求レート）", _xlfn.REGEXTEST(C230, "Connection Model Score"), "接続モデルスコア（コネクション品質）", _xlfn.REGEXTEST(C230, "Queue swap"), "キューのスワップ発生状態", _xlfn.REGEXTEST(C230, "NiFi Node Monitoring"), "NiFiノードの稼働状態監視", _xlfn.REGEXTEST(C230, "Host Clock Offset"), "ホストのクロックオフセット（時刻同期のズレ）", _xlfn.REGEXTEST(C230, "Memory Overcommit Validation"), "メモリオーバーコミット設定の検証", _xlfn.REGEXTEST(C230, "Gateway Logging"), "ゲートウェイのログ出力設定", _xlfn.REGEXTEST(C230, "CPU Balance"), "CPU使用率の分散バランス状態", _xlfn.REGEXTEST(C230, "Disk Balance"), "ディスク使用量の分散バランス状態", _xlfn.REGEXTEST(C230, "Network Inbound Balance"), "ネットワークインバウンド（受信）の分散バランス状態", _xlfn.REGEXTEST(C230, "Network Outbound Balance"), "ネットワークアウトバウンド（送信）の分散バランス状態", _xlfn.REGEXTEST(C230, "Replica Count Balance"), "レプリカ数の分散バランス状態", _xlfn.REGEXTEST(C230, "Disk Capacity"), "ディスク総容量の限界・使用容量", _xlfn.REGEXTEST(C230, "CPU Capacity"), "CPU総処理能力の限界・使用量", _xlfn.REGEXTEST(C230, "Network Inbound Capacity"), "ネットワークインバウンド（受信）帯域の限界・使用量", _xlfn.REGEXTEST(C230, "Network Outbound Capacity"), "ネットワークアウトバウンド（送信）帯域の限界・使用量", _xlfn.REGEXTEST(C230, "Leader Replica Count Balance"), "リーダーレプリカ数の分散バランス状態", _xlfn.REGEXTEST(C230, "Host DNS Resolution Duration"), "ホストのDNS名前解決の所要時間", _xlfn.REGEXTEST(C230, "TLS Certificate Expiry"), "TLS証明書の有効期限切れ", _xlfn.REGEXTEST(C230, "Host Entropy"), "ホストのエントロピー（乱数生成能力）の不足", _xlfn.REGEXTEST(C230, "File Descriptor"), "プロセスのファイルディスクリプタ使用率", _xlfn.REGEXTEST(C230, "Unexpected Exits"), "プロセスの異常終了（予期せぬ停止）", _xlfn.REGEXTEST(C230, "Swap Memory Thresholds"), "プロセスのスワップメモリ使用量", _xlfn.REGEXTEST(C230, "Swap Memory Usage Rate"), "スワップメモリ使用量の変化率（増加速度）", _xlfn.REGEXTEST(C230, "Log Directory Free Space.*Absolute"), "ログディレクトリの空き容量（絶対値）", _xlfn.REGEXTEST(C230, "Log Directory Free Space.*Percentage"), "ログディレクトリの空き容量割合（%）", _xlfn.REGEXTEST(C230, "Heap Dump Directory Free Space.*Absolute"), "ヒープダンプディレクトリの空き容量（絶対値）", _xlfn.REGEXTEST(C230, "Heap Dump Directory Free Space.*Percentage"), "ヒープダンプディレクトリの空き容量割合（%）", _xlfn.REGEXTEST(C230, "Data Directory Free Space.*Absolute"), "データディレクトリの空き容量（絶対値）", _xlfn.REGEXTEST(C230, "Data Directory Free Space.*Percentage"), "データディレクトリの空き容量割合（%）", _xlfn.REGEXTEST(C230, "Transaction Log Directory Free Space.*Absolute"), "トランザクションログディレクトリの空き容量（絶対値）", _xlfn.REGEXTEST(C230, "Logging Threshold|Logger Threshold"), "ログ出力レベルの閾値設定", _xlfn.REGEXTEST(C230, "Enable.*Alerts"), "ヘルスアラートの有効化状態", _xlfn.REGEXTEST(C230, "Triggers"), "カスタムアラート条件（トリガー設定）", _xlfn.REGEXTEST(C230, "Healthy Kafka Broker"), "Kafka Brokerの健全ノード割合（稼働率）", _xlfn.REGEXTEST(C230, "Healthy Kafka Connect"), "Kafka Connectの健全ノード割合（稼働率）", _xlfn.REGEXTEST(C230, "Healthy KRaft Controller"), "KRaft Controllerの健全ノード割合（稼働率）", _xlfn.REGEXTEST(C230, "Healthy Knox IDBroker"), "Knox IDBrokerの健全ノード割合（稼働率）", _xlfn.REGEXTEST(C230, "Healthy Knox Gateway"), "Knox Gatewayの健全ノード割合（稼働率）", _xlfn.REGEXTEST(C230, "Healthy ZooKeeper Server"), "ZooKeeper Serverの健全ノード割合（稼働率）", _xlfn.REGEXTEST(C230, "Healthy NodeManager"), "NodeManagerの健全ノード割合（稼働率）", _xlfn.REGEXTEST(C230, "Maximum Latency"), "リクエストの最大レイテンシ（処理遅延）", _xlfn.REGEXTEST(C230, "Garbage Collection Duration"), "Javaのガベージコレクション（GC）の所要時間", _xlfn.REGEXTEST(C230, "Spool Directory Usage"), "Rangerプラグインのスプールディレクトリ使用量", _xlfn.REGEXTEST(C230, "Process Directory Free Space Monitoring Absolute"), "プロセスディレクトリの空き容量（絶対値)", _xlfn.REGEXTEST(C230, "Process Directory Free Space.*Percentage"), "プロセスディレクトリの空き容量割合（%）", _xlfn.REGEXTEST(C230, "Parcel Directory Free Space.*Absolute"), "パーセルディレクトリの空き容量（絶対値）", _xlfn.REGEXTEST(C230, "Parcel Directory Free Space.*Percentage"), "パーセルディレクトリの空き容量割合（%）", _xlfn.REGEXTEST(C230, "Host Network Frame Error Percentage"), "ホストのネットワークフレームエラー割合（%）", _xlfn.REGEXTEST(C230, "Network Interfaces Slow Link Modes"), "ホストのネットワークインターフェースの低速リンクモード検出", _xlfn.REGEXTEST(C230, "Host Memory Swapping"), "ホストのメモリのスワップ発生状態", TRUE, "要手動確認")</f>
        <v>ホストのネットワークインターフェースの低速リンクモード検出</v>
      </c>
      <c r="H230" s="479" t="s">
        <v>1024</v>
      </c>
    </row>
    <row r="231" spans="1:8" ht="33.6">
      <c r="A231" s="514"/>
      <c r="B231" s="473"/>
      <c r="C231" s="471" t="s">
        <v>701</v>
      </c>
      <c r="D231" s="471" t="s">
        <v>702</v>
      </c>
      <c r="E231" s="471"/>
      <c r="F231" s="471"/>
      <c r="G231" s="471" t="str" cm="1">
        <f t="array" ref="G231">_xlfn.IFS(C231 = "", "", _xlfn.REGEXTEST(C231, "Service Metric Migrator Minimum Consecutive Successful Checks"), "サービスメトリック移行ツールの連続正常チェック最小回数", _xlfn.REGEXTEST(C231, "Rebalancing"), "リバランシング（データ再配置）状態", _xlfn.REGEXTEST(C231, "Temporary Dump Directory"), "一時ダンプディレクトリの監視", _xlfn.REGEXTEST(C231, "Safemode Extension"), "セーフモード延長状態", _xlfn.REGEXTEST(C231, "Client Idle"), "クライアントのアイドル（待機）状態", _xlfn.REGEXTEST(C231, "Available Space Policy Balanced"), "空き容量ポリシーの分散バランス状態", _xlfn.REGEXTEST(C231, "Filesystem Checkpoint Transaction"), "ファイルシステムのチェックポイントトランザクション", _xlfn.REGEXTEST(C231, "Blocks With Corrupt Replicas Monitoring"), "破損レプリカを持つブロックの監視", _xlfn.REGEXTEST(C231, "Missing Block Monitoring"), "消失（ミッシング）ブロックの監視", _xlfn.REGEXTEST(C231, "Under-replicated Block Monitoring"), "レプリカ数不足ブロックの監視", _xlfn.REGEXTEST(C231, "HDFS Free Space Monitoring"), "HDFSの空き容量監視", _xlfn.REGEXTEST(C231, "DataNode Monitoring"), "DataNodeの稼働状態監視", _xlfn.REGEXTEST(C231, "Rules to Extract Events from Log Files"), "ログファイルからのイベント抽出ルール設定", _xlfn.REGEXTEST(C231, "Free Space Monitoring$"), "空き容量監視（一般設定）", _xlfn.REGEXTEST(C231, "Transceivers Usage"), "トランシーバー使用量（データ転送スレッド数）", _xlfn.REGEXTEST(C231, "Volume Failures"), "ボリューム障害（ディスクエラー）数", _xlfn.REGEXTEST(C231, "Block Count"), "ブロック総数", _xlfn.REGEXTEST(C231, "Audit Failure"), "監査（オーディット）ログの失敗イベント", _xlfn.REGEXTEST(C231, "Web Metric Collection Duration"), "Webメトリック収集の所要時間", _xlfn.REGEXTEST(C231, "Pause Duration"), "一時停止（ポーズ）の所要時間", _xlfn.REGEXTEST(C231, "Fsync Latency"), "Fsync（ディスク同期）のレイテンシ", _xlfn.REGEXTEST(C231, "Free Space Monitoring Absolute"), "空き容量（絶対値）", _xlfn.REGEXTEST(C231, "Free Space Monitoring Percentage"), "空き容量割合（%）", _xlfn.REGEXTEST(C231, "Age Monitoring"), "経過時間の監視", _xlfn.REGEXTEST(C231, "Transactions Monitoring"), "トランザクション数の監視", _xlfn.REGEXTEST(C231, "RPC Latency"), "RPC（遠隔手続き呼出し）のレイテンシ", _xlfn.REGEXTEST(C231, "Directory Failures"), "ディレクトリ障害数", _xlfn.REGEXTEST(C231, "Out-Of-Sync JournalNodes"), "同期ズレが発生しているJournalNode数", _xlfn.REGEXTEST(C231, "Safemode Threshold Percentage"), "セーフモード解除閾値の割合（%）", _xlfn.REGEXTEST(C231, "Kerberos Ticket Renewer Monitoring"), "Kerberosチケット更新プロセスの稼働状態監視", _xlfn.REGEXTEST(C231, "Load Balancer Monitoring"), "ロードバランサーの稼働状態監視", _xlfn.REGEXTEST(C231, "Navigator Audit Failure"), "Cloudera Navigator監査ログの失敗イベント", _xlfn.REGEXTEST(C231, "Schema Registry Server Monitoring"), "Schema Registry Serverの稼働状態監視", _xlfn.REGEXTEST(C231, "SRM Service Monitoring"), "SRMサービスの稼働状態監視", _xlfn.REGEXTEST(C231, "SRM Driver Monitoring"), "SRMドライバーの稼働状態監視", _xlfn.REGEXTEST(C231, "Loggin"), "ログ出力状態・設定監視", _xlfn.REGEXTEST(C231, "Server Monitoring"), "サーバーの稼働状態監視", _xlfn.REGEXTEST(C231, "Server Connection Count"), "サーバーの接続数（コネクション数）", _xlfn.REGEXTEST(C231, "Server Outstanding Requests"), "サーバーの未処理リクエスト数（滞留要求数）", _xlfn.REGEXTEST(C231, "Repository Status"), "リポジトリのステータス状態", _xlfn.REGEXTEST(C231, "Monitor Long Running Task"), "長時間実行タスク（ジョブ）の監視", _xlfn.REGEXTEST(C231, "Token requests per second"), "1秒あたりのトークンリクエスト数（要求レート）", _xlfn.REGEXTEST(C231, "Connection Model Score"), "接続モデルスコア（コネクション品質）", _xlfn.REGEXTEST(C231, "Queue swap"), "キューのスワップ発生状態", _xlfn.REGEXTEST(C231, "NiFi Node Monitoring"), "NiFiノードの稼働状態監視", _xlfn.REGEXTEST(C231, "Host Clock Offset"), "ホストのクロックオフセット（時刻同期のズレ）", _xlfn.REGEXTEST(C231, "Memory Overcommit Validation"), "メモリオーバーコミット設定の検証", _xlfn.REGEXTEST(C231, "Gateway Logging"), "ゲートウェイのログ出力設定", _xlfn.REGEXTEST(C231, "CPU Balance"), "CPU使用率の分散バランス状態", _xlfn.REGEXTEST(C231, "Disk Balance"), "ディスク使用量の分散バランス状態", _xlfn.REGEXTEST(C231, "Network Inbound Balance"), "ネットワークインバウンド（受信）の分散バランス状態", _xlfn.REGEXTEST(C231, "Network Outbound Balance"), "ネットワークアウトバウンド（送信）の分散バランス状態", _xlfn.REGEXTEST(C231, "Replica Count Balance"), "レプリカ数の分散バランス状態", _xlfn.REGEXTEST(C231, "Disk Capacity"), "ディスク総容量の限界・使用容量", _xlfn.REGEXTEST(C231, "CPU Capacity"), "CPU総処理能力の限界・使用量", _xlfn.REGEXTEST(C231, "Network Inbound Capacity"), "ネットワークインバウンド（受信）帯域の限界・使用量", _xlfn.REGEXTEST(C231, "Network Outbound Capacity"), "ネットワークアウトバウンド（送信）帯域の限界・使用量", _xlfn.REGEXTEST(C231, "Leader Replica Count Balance"), "リーダーレプリカ数の分散バランス状態", _xlfn.REGEXTEST(C231, "Host DNS Resolution Duration"), "ホストのDNS名前解決の所要時間", _xlfn.REGEXTEST(C231, "TLS Certificate Expiry"), "TLS証明書の有効期限切れ", _xlfn.REGEXTEST(C231, "Host Entropy"), "ホストのエントロピー（乱数生成能力）の不足", _xlfn.REGEXTEST(C231, "File Descriptor"), "プロセスのファイルディスクリプタ使用率", _xlfn.REGEXTEST(C231, "Unexpected Exits"), "プロセスの異常終了（予期せぬ停止）", _xlfn.REGEXTEST(C231, "Swap Memory Thresholds"), "プロセスのスワップメモリ使用量", _xlfn.REGEXTEST(C231, "Swap Memory Usage Rate"), "スワップメモリ使用量の変化率（増加速度）", _xlfn.REGEXTEST(C231, "Log Directory Free Space.*Absolute"), "ログディレクトリの空き容量（絶対値）", _xlfn.REGEXTEST(C231, "Log Directory Free Space.*Percentage"), "ログディレクトリの空き容量割合（%）", _xlfn.REGEXTEST(C231, "Heap Dump Directory Free Space.*Absolute"), "ヒープダンプディレクトリの空き容量（絶対値）", _xlfn.REGEXTEST(C231, "Heap Dump Directory Free Space.*Percentage"), "ヒープダンプディレクトリの空き容量割合（%）", _xlfn.REGEXTEST(C231, "Data Directory Free Space.*Absolute"), "データディレクトリの空き容量（絶対値）", _xlfn.REGEXTEST(C231, "Data Directory Free Space.*Percentage"), "データディレクトリの空き容量割合（%）", _xlfn.REGEXTEST(C231, "Transaction Log Directory Free Space.*Absolute"), "トランザクションログディレクトリの空き容量（絶対値）", _xlfn.REGEXTEST(C231, "Logging Threshold|Logger Threshold"), "ログ出力レベルの閾値設定", _xlfn.REGEXTEST(C231, "Enable.*Alerts"), "ヘルスアラートの有効化状態", _xlfn.REGEXTEST(C231, "Triggers"), "カスタムアラート条件（トリガー設定）", _xlfn.REGEXTEST(C231, "Healthy Kafka Broker"), "Kafka Brokerの健全ノード割合（稼働率）", _xlfn.REGEXTEST(C231, "Healthy Kafka Connect"), "Kafka Connectの健全ノード割合（稼働率）", _xlfn.REGEXTEST(C231, "Healthy KRaft Controller"), "KRaft Controllerの健全ノード割合（稼働率）", _xlfn.REGEXTEST(C231, "Healthy Knox IDBroker"), "Knox IDBrokerの健全ノード割合（稼働率）", _xlfn.REGEXTEST(C231, "Healthy Knox Gateway"), "Knox Gatewayの健全ノード割合（稼働率）", _xlfn.REGEXTEST(C231, "Healthy ZooKeeper Server"), "ZooKeeper Serverの健全ノード割合（稼働率）", _xlfn.REGEXTEST(C231, "Healthy NodeManager"), "NodeManagerの健全ノード割合（稼働率）", _xlfn.REGEXTEST(C231, "Maximum Latency"), "リクエストの最大レイテンシ（処理遅延）", _xlfn.REGEXTEST(C231, "Garbage Collection Duration"), "Javaのガベージコレクション（GC）の所要時間", _xlfn.REGEXTEST(C231, "Spool Directory Usage"), "Rangerプラグインのスプールディレクトリ使用量", _xlfn.REGEXTEST(C231, "Process Directory Free Space Monitoring Absolute"), "プロセスディレクトリの空き容量（絶対値)", _xlfn.REGEXTEST(C231, "Process Directory Free Space.*Percentage"), "プロセスディレクトリの空き容量割合（%）", _xlfn.REGEXTEST(C231, "Parcel Directory Free Space.*Absolute"), "パーセルディレクトリの空き容量（絶対値）", _xlfn.REGEXTEST(C231, "Parcel Directory Free Space.*Percentage"), "パーセルディレクトリの空き容量割合（%）", _xlfn.REGEXTEST(C231, "Host Network Frame Error Percentage"), "ホストのネットワークフレームエラー割合（%）", _xlfn.REGEXTEST(C231, "Network Interfaces Slow Link Modes"), "ホストのネットワークインターフェースの低速リンクモード検出", _xlfn.REGEXTEST(C231, "Host Memory Swapping"), "ホストのメモリのスワップ発生状態", TRUE, "要手動確認")</f>
        <v>ホストのメモリのスワップ発生状態</v>
      </c>
      <c r="H231" s="479" t="s">
        <v>1025</v>
      </c>
    </row>
    <row r="232" spans="1:8" ht="33.6">
      <c r="A232" s="514"/>
      <c r="B232" s="473"/>
      <c r="C232" s="471" t="s">
        <v>704</v>
      </c>
      <c r="D232" s="471" t="s">
        <v>705</v>
      </c>
      <c r="E232" s="471"/>
      <c r="F232" s="471"/>
      <c r="G232" s="471" t="str" cm="1">
        <f t="array" ref="G232">_xlfn.IFS(C232 = "", "", _xlfn.REGEXTEST(C232, "Service Metric Migrator Minimum Consecutive Successful Checks"), "サービスメトリック移行ツールの連続正常チェック最小回数", _xlfn.REGEXTEST(C232, "Rebalancing"), "リバランシング（データ再配置）状態", _xlfn.REGEXTEST(C232, "Temporary Dump Directory"), "一時ダンプディレクトリの監視", _xlfn.REGEXTEST(C232, "Safemode Extension"), "セーフモード延長状態", _xlfn.REGEXTEST(C232, "Client Idle"), "クライアントのアイドル（待機）状態", _xlfn.REGEXTEST(C232, "Available Space Policy Balanced"), "空き容量ポリシーの分散バランス状態", _xlfn.REGEXTEST(C232, "Filesystem Checkpoint Transaction"), "ファイルシステムのチェックポイントトランザクション", _xlfn.REGEXTEST(C232, "Blocks With Corrupt Replicas Monitoring"), "破損レプリカを持つブロックの監視", _xlfn.REGEXTEST(C232, "Missing Block Monitoring"), "消失（ミッシング）ブロックの監視", _xlfn.REGEXTEST(C232, "Under-replicated Block Monitoring"), "レプリカ数不足ブロックの監視", _xlfn.REGEXTEST(C232, "HDFS Free Space Monitoring"), "HDFSの空き容量監視", _xlfn.REGEXTEST(C232, "DataNode Monitoring"), "DataNodeの稼働状態監視", _xlfn.REGEXTEST(C232, "Rules to Extract Events from Log Files"), "ログファイルからのイベント抽出ルール設定", _xlfn.REGEXTEST(C232, "Free Space Monitoring$"), "空き容量監視（一般設定）", _xlfn.REGEXTEST(C232, "Transceivers Usage"), "トランシーバー使用量（データ転送スレッド数）", _xlfn.REGEXTEST(C232, "Volume Failures"), "ボリューム障害（ディスクエラー）数", _xlfn.REGEXTEST(C232, "Block Count"), "ブロック総数", _xlfn.REGEXTEST(C232, "Audit Failure"), "監査（オーディット）ログの失敗イベント", _xlfn.REGEXTEST(C232, "Web Metric Collection Duration"), "Webメトリック収集の所要時間", _xlfn.REGEXTEST(C232, "Pause Duration"), "一時停止（ポーズ）の所要時間", _xlfn.REGEXTEST(C232, "Fsync Latency"), "Fsync（ディスク同期）のレイテンシ", _xlfn.REGEXTEST(C232, "Free Space Monitoring Absolute"), "空き容量（絶対値）", _xlfn.REGEXTEST(C232, "Free Space Monitoring Percentage"), "空き容量割合（%）", _xlfn.REGEXTEST(C232, "Age Monitoring"), "経過時間の監視", _xlfn.REGEXTEST(C232, "Transactions Monitoring"), "トランザクション数の監視", _xlfn.REGEXTEST(C232, "RPC Latency"), "RPC（遠隔手続き呼出し）のレイテンシ", _xlfn.REGEXTEST(C232, "Directory Failures"), "ディレクトリ障害数", _xlfn.REGEXTEST(C232, "Out-Of-Sync JournalNodes"), "同期ズレが発生しているJournalNode数", _xlfn.REGEXTEST(C232, "Safemode Threshold Percentage"), "セーフモード解除閾値の割合（%）", _xlfn.REGEXTEST(C232, "Kerberos Ticket Renewer Monitoring"), "Kerberosチケット更新プロセスの稼働状態監視", _xlfn.REGEXTEST(C232, "Load Balancer Monitoring"), "ロードバランサーの稼働状態監視", _xlfn.REGEXTEST(C232, "Navigator Audit Failure"), "Cloudera Navigator監査ログの失敗イベント", _xlfn.REGEXTEST(C232, "Schema Registry Server Monitoring"), "Schema Registry Serverの稼働状態監視", _xlfn.REGEXTEST(C232, "SRM Service Monitoring"), "SRMサービスの稼働状態監視", _xlfn.REGEXTEST(C232, "SRM Driver Monitoring"), "SRMドライバーの稼働状態監視", _xlfn.REGEXTEST(C232, "Loggin"), "ログ出力状態・設定監視", _xlfn.REGEXTEST(C232, "Server Monitoring"), "サーバーの稼働状態監視", _xlfn.REGEXTEST(C232, "Server Connection Count"), "サーバーの接続数（コネクション数）", _xlfn.REGEXTEST(C232, "Server Outstanding Requests"), "サーバーの未処理リクエスト数（滞留要求数）", _xlfn.REGEXTEST(C232, "Repository Status"), "リポジトリのステータス状態", _xlfn.REGEXTEST(C232, "Monitor Long Running Task"), "長時間実行タスク（ジョブ）の監視", _xlfn.REGEXTEST(C232, "Token requests per second"), "1秒あたりのトークンリクエスト数（要求レート）", _xlfn.REGEXTEST(C232, "Connection Model Score"), "接続モデルスコア（コネクション品質）", _xlfn.REGEXTEST(C232, "Queue swap"), "キューのスワップ発生状態", _xlfn.REGEXTEST(C232, "NiFi Node Monitoring"), "NiFiノードの稼働状態監視", _xlfn.REGEXTEST(C232, "Host Clock Offset"), "ホストのクロックオフセット（時刻同期のズレ）", _xlfn.REGEXTEST(C232, "Memory Overcommit Validation"), "メモリオーバーコミット設定の検証", _xlfn.REGEXTEST(C232, "Gateway Logging"), "ゲートウェイのログ出力設定", _xlfn.REGEXTEST(C232, "CPU Balance"), "CPU使用率の分散バランス状態", _xlfn.REGEXTEST(C232, "Disk Balance"), "ディスク使用量の分散バランス状態", _xlfn.REGEXTEST(C232, "Network Inbound Balance"), "ネットワークインバウンド（受信）の分散バランス状態", _xlfn.REGEXTEST(C232, "Network Outbound Balance"), "ネットワークアウトバウンド（送信）の分散バランス状態", _xlfn.REGEXTEST(C232, "Replica Count Balance"), "レプリカ数の分散バランス状態", _xlfn.REGEXTEST(C232, "Disk Capacity"), "ディスク総容量の限界・使用容量", _xlfn.REGEXTEST(C232, "CPU Capacity"), "CPU総処理能力の限界・使用量", _xlfn.REGEXTEST(C232, "Network Inbound Capacity"), "ネットワークインバウンド（受信）帯域の限界・使用量", _xlfn.REGEXTEST(C232, "Network Outbound Capacity"), "ネットワークアウトバウンド（送信）帯域の限界・使用量", _xlfn.REGEXTEST(C232, "Leader Replica Count Balance"), "リーダーレプリカ数の分散バランス状態", _xlfn.REGEXTEST(C232, "Host DNS Resolution Duration"), "ホストのDNS名前解決の所要時間", _xlfn.REGEXTEST(C232, "TLS Certificate Expiry"), "TLS証明書の有効期限切れ", _xlfn.REGEXTEST(C232, "Host Entropy"), "ホストのエントロピー（乱数生成能力）の不足", _xlfn.REGEXTEST(C232, "File Descriptor"), "プロセスのファイルディスクリプタ使用率", _xlfn.REGEXTEST(C232, "Unexpected Exits"), "プロセスの異常終了（予期せぬ停止）", _xlfn.REGEXTEST(C232, "Swap Memory Thresholds"), "プロセスのスワップメモリ使用量", _xlfn.REGEXTEST(C232, "Swap Memory Usage Rate"), "スワップメモリ使用量の変化率（増加速度）", _xlfn.REGEXTEST(C232, "Log Directory Free Space.*Absolute"), "ログディレクトリの空き容量（絶対値）", _xlfn.REGEXTEST(C232, "Log Directory Free Space.*Percentage"), "ログディレクトリの空き容量割合（%）", _xlfn.REGEXTEST(C232, "Heap Dump Directory Free Space.*Absolute"), "ヒープダンプディレクトリの空き容量（絶対値）", _xlfn.REGEXTEST(C232, "Heap Dump Directory Free Space.*Percentage"), "ヒープダンプディレクトリの空き容量割合（%）", _xlfn.REGEXTEST(C232, "Data Directory Free Space.*Absolute"), "データディレクトリの空き容量（絶対値）", _xlfn.REGEXTEST(C232, "Data Directory Free Space.*Percentage"), "データディレクトリの空き容量割合（%）", _xlfn.REGEXTEST(C232, "Transaction Log Directory Free Space.*Absolute"), "トランザクションログディレクトリの空き容量（絶対値）", _xlfn.REGEXTEST(C232, "Logging Threshold|Logger Threshold"), "ログ出力レベルの閾値設定", _xlfn.REGEXTEST(C232, "Enable.*Alerts"), "ヘルスアラートの有効化状態", _xlfn.REGEXTEST(C232, "Triggers"), "カスタムアラート条件（トリガー設定）", _xlfn.REGEXTEST(C232, "Healthy Kafka Broker"), "Kafka Brokerの健全ノード割合（稼働率）", _xlfn.REGEXTEST(C232, "Healthy Kafka Connect"), "Kafka Connectの健全ノード割合（稼働率）", _xlfn.REGEXTEST(C232, "Healthy KRaft Controller"), "KRaft Controllerの健全ノード割合（稼働率）", _xlfn.REGEXTEST(C232, "Healthy Knox IDBroker"), "Knox IDBrokerの健全ノード割合（稼働率）", _xlfn.REGEXTEST(C232, "Healthy Knox Gateway"), "Knox Gatewayの健全ノード割合（稼働率）", _xlfn.REGEXTEST(C232, "Healthy ZooKeeper Server"), "ZooKeeper Serverの健全ノード割合（稼働率）", _xlfn.REGEXTEST(C232, "Healthy NodeManager"), "NodeManagerの健全ノード割合（稼働率）", _xlfn.REGEXTEST(C232, "Maximum Latency"), "リクエストの最大レイテンシ（処理遅延）", _xlfn.REGEXTEST(C232, "Garbage Collection Duration"), "Javaのガベージコレクション（GC）の所要時間", _xlfn.REGEXTEST(C232, "Spool Directory Usage"), "Rangerプラグインのスプールディレクトリ使用量", _xlfn.REGEXTEST(C232, "Process Directory Free Space Monitoring Absolute"), "プロセスディレクトリの空き容量（絶対値)", _xlfn.REGEXTEST(C232, "Process Directory Free Space.*Percentage"), "プロセスディレクトリの空き容量割合（%）", _xlfn.REGEXTEST(C232, "Parcel Directory Free Space.*Absolute"), "パーセルディレクトリの空き容量（絶対値）", _xlfn.REGEXTEST(C232, "Parcel Directory Free Space.*Percentage"), "パーセルディレクトリの空き容量割合（%）", _xlfn.REGEXTEST(C232, "Host Network Frame Error Percentage"), "ホストのネットワークフレームエラー割合（%）", _xlfn.REGEXTEST(C232, "Network Interfaces Slow Link Modes"), "ホストのネットワークインターフェースの低速リンクモード検出", _xlfn.REGEXTEST(C232, "Host Memory Swapping"), "ホストのメモリのスワップ発生状態", TRUE, "要手動確認")</f>
        <v>プロセスのスワップメモリ使用量</v>
      </c>
      <c r="H232" s="479" t="s">
        <v>1025</v>
      </c>
    </row>
    <row r="233" spans="1:8" ht="33.6">
      <c r="A233" s="514"/>
      <c r="B233" s="473"/>
      <c r="C233" s="471" t="s">
        <v>706</v>
      </c>
      <c r="D233" s="471" t="s">
        <v>707</v>
      </c>
      <c r="E233" s="471"/>
      <c r="F233" s="471"/>
      <c r="G233" s="471" t="str" cm="1">
        <f t="array" ref="G233">_xlfn.IFS(C233 = "", "", _xlfn.REGEXTEST(C233, "Service Metric Migrator Minimum Consecutive Successful Checks"), "サービスメトリック移行ツールの連続正常チェック最小回数", _xlfn.REGEXTEST(C233, "Rebalancing"), "リバランシング（データ再配置）状態", _xlfn.REGEXTEST(C233, "Temporary Dump Directory"), "一時ダンプディレクトリの監視", _xlfn.REGEXTEST(C233, "Safemode Extension"), "セーフモード延長状態", _xlfn.REGEXTEST(C233, "Client Idle"), "クライアントのアイドル（待機）状態", _xlfn.REGEXTEST(C233, "Available Space Policy Balanced"), "空き容量ポリシーの分散バランス状態", _xlfn.REGEXTEST(C233, "Filesystem Checkpoint Transaction"), "ファイルシステムのチェックポイントトランザクション", _xlfn.REGEXTEST(C233, "Blocks With Corrupt Replicas Monitoring"), "破損レプリカを持つブロックの監視", _xlfn.REGEXTEST(C233, "Missing Block Monitoring"), "消失（ミッシング）ブロックの監視", _xlfn.REGEXTEST(C233, "Under-replicated Block Monitoring"), "レプリカ数不足ブロックの監視", _xlfn.REGEXTEST(C233, "HDFS Free Space Monitoring"), "HDFSの空き容量監視", _xlfn.REGEXTEST(C233, "DataNode Monitoring"), "DataNodeの稼働状態監視", _xlfn.REGEXTEST(C233, "Rules to Extract Events from Log Files"), "ログファイルからのイベント抽出ルール設定", _xlfn.REGEXTEST(C233, "Free Space Monitoring$"), "空き容量監視（一般設定）", _xlfn.REGEXTEST(C233, "Transceivers Usage"), "トランシーバー使用量（データ転送スレッド数）", _xlfn.REGEXTEST(C233, "Volume Failures"), "ボリューム障害（ディスクエラー）数", _xlfn.REGEXTEST(C233, "Block Count"), "ブロック総数", _xlfn.REGEXTEST(C233, "Audit Failure"), "監査（オーディット）ログの失敗イベント", _xlfn.REGEXTEST(C233, "Web Metric Collection Duration"), "Webメトリック収集の所要時間", _xlfn.REGEXTEST(C233, "Pause Duration"), "一時停止（ポーズ）の所要時間", _xlfn.REGEXTEST(C233, "Fsync Latency"), "Fsync（ディスク同期）のレイテンシ", _xlfn.REGEXTEST(C233, "Free Space Monitoring Absolute"), "空き容量（絶対値）", _xlfn.REGEXTEST(C233, "Free Space Monitoring Percentage"), "空き容量割合（%）", _xlfn.REGEXTEST(C233, "Age Monitoring"), "経過時間の監視", _xlfn.REGEXTEST(C233, "Transactions Monitoring"), "トランザクション数の監視", _xlfn.REGEXTEST(C233, "RPC Latency"), "RPC（遠隔手続き呼出し）のレイテンシ", _xlfn.REGEXTEST(C233, "Directory Failures"), "ディレクトリ障害数", _xlfn.REGEXTEST(C233, "Out-Of-Sync JournalNodes"), "同期ズレが発生しているJournalNode数", _xlfn.REGEXTEST(C233, "Safemode Threshold Percentage"), "セーフモード解除閾値の割合（%）", _xlfn.REGEXTEST(C233, "Kerberos Ticket Renewer Monitoring"), "Kerberosチケット更新プロセスの稼働状態監視", _xlfn.REGEXTEST(C233, "Load Balancer Monitoring"), "ロードバランサーの稼働状態監視", _xlfn.REGEXTEST(C233, "Navigator Audit Failure"), "Cloudera Navigator監査ログの失敗イベント", _xlfn.REGEXTEST(C233, "Schema Registry Server Monitoring"), "Schema Registry Serverの稼働状態監視", _xlfn.REGEXTEST(C233, "SRM Service Monitoring"), "SRMサービスの稼働状態監視", _xlfn.REGEXTEST(C233, "SRM Driver Monitoring"), "SRMドライバーの稼働状態監視", _xlfn.REGEXTEST(C233, "Loggin"), "ログ出力状態・設定監視", _xlfn.REGEXTEST(C233, "Server Monitoring"), "サーバーの稼働状態監視", _xlfn.REGEXTEST(C233, "Server Connection Count"), "サーバーの接続数（コネクション数）", _xlfn.REGEXTEST(C233, "Server Outstanding Requests"), "サーバーの未処理リクエスト数（滞留要求数）", _xlfn.REGEXTEST(C233, "Repository Status"), "リポジトリのステータス状態", _xlfn.REGEXTEST(C233, "Monitor Long Running Task"), "長時間実行タスク（ジョブ）の監視", _xlfn.REGEXTEST(C233, "Token requests per second"), "1秒あたりのトークンリクエスト数（要求レート）", _xlfn.REGEXTEST(C233, "Connection Model Score"), "接続モデルスコア（コネクション品質）", _xlfn.REGEXTEST(C233, "Queue swap"), "キューのスワップ発生状態", _xlfn.REGEXTEST(C233, "NiFi Node Monitoring"), "NiFiノードの稼働状態監視", _xlfn.REGEXTEST(C233, "Host Clock Offset"), "ホストのクロックオフセット（時刻同期のズレ）", _xlfn.REGEXTEST(C233, "Memory Overcommit Validation"), "メモリオーバーコミット設定の検証", _xlfn.REGEXTEST(C233, "Gateway Logging"), "ゲートウェイのログ出力設定", _xlfn.REGEXTEST(C233, "CPU Balance"), "CPU使用率の分散バランス状態", _xlfn.REGEXTEST(C233, "Disk Balance"), "ディスク使用量の分散バランス状態", _xlfn.REGEXTEST(C233, "Network Inbound Balance"), "ネットワークインバウンド（受信）の分散バランス状態", _xlfn.REGEXTEST(C233, "Network Outbound Balance"), "ネットワークアウトバウンド（送信）の分散バランス状態", _xlfn.REGEXTEST(C233, "Replica Count Balance"), "レプリカ数の分散バランス状態", _xlfn.REGEXTEST(C233, "Disk Capacity"), "ディスク総容量の限界・使用容量", _xlfn.REGEXTEST(C233, "CPU Capacity"), "CPU総処理能力の限界・使用量", _xlfn.REGEXTEST(C233, "Network Inbound Capacity"), "ネットワークインバウンド（受信）帯域の限界・使用量", _xlfn.REGEXTEST(C233, "Network Outbound Capacity"), "ネットワークアウトバウンド（送信）帯域の限界・使用量", _xlfn.REGEXTEST(C233, "Leader Replica Count Balance"), "リーダーレプリカ数の分散バランス状態", _xlfn.REGEXTEST(C233, "Host DNS Resolution Duration"), "ホストのDNS名前解決の所要時間", _xlfn.REGEXTEST(C233, "TLS Certificate Expiry"), "TLS証明書の有効期限切れ", _xlfn.REGEXTEST(C233, "Host Entropy"), "ホストのエントロピー（乱数生成能力）の不足", _xlfn.REGEXTEST(C233, "File Descriptor"), "プロセスのファイルディスクリプタ使用率", _xlfn.REGEXTEST(C233, "Unexpected Exits"), "プロセスの異常終了（予期せぬ停止）", _xlfn.REGEXTEST(C233, "Swap Memory Thresholds"), "プロセスのスワップメモリ使用量", _xlfn.REGEXTEST(C233, "Swap Memory Usage Rate"), "スワップメモリ使用量の変化率（増加速度）", _xlfn.REGEXTEST(C233, "Log Directory Free Space.*Absolute"), "ログディレクトリの空き容量（絶対値）", _xlfn.REGEXTEST(C233, "Log Directory Free Space.*Percentage"), "ログディレクトリの空き容量割合（%）", _xlfn.REGEXTEST(C233, "Heap Dump Directory Free Space.*Absolute"), "ヒープダンプディレクトリの空き容量（絶対値）", _xlfn.REGEXTEST(C233, "Heap Dump Directory Free Space.*Percentage"), "ヒープダンプディレクトリの空き容量割合（%）", _xlfn.REGEXTEST(C233, "Data Directory Free Space.*Absolute"), "データディレクトリの空き容量（絶対値）", _xlfn.REGEXTEST(C233, "Data Directory Free Space.*Percentage"), "データディレクトリの空き容量割合（%）", _xlfn.REGEXTEST(C233, "Transaction Log Directory Free Space.*Absolute"), "トランザクションログディレクトリの空き容量（絶対値）", _xlfn.REGEXTEST(C233, "Logging Threshold|Logger Threshold"), "ログ出力レベルの閾値設定", _xlfn.REGEXTEST(C233, "Enable.*Alerts"), "ヘルスアラートの有効化状態", _xlfn.REGEXTEST(C233, "Triggers"), "カスタムアラート条件（トリガー設定）", _xlfn.REGEXTEST(C233, "Healthy Kafka Broker"), "Kafka Brokerの健全ノード割合（稼働率）", _xlfn.REGEXTEST(C233, "Healthy Kafka Connect"), "Kafka Connectの健全ノード割合（稼働率）", _xlfn.REGEXTEST(C233, "Healthy KRaft Controller"), "KRaft Controllerの健全ノード割合（稼働率）", _xlfn.REGEXTEST(C233, "Healthy Knox IDBroker"), "Knox IDBrokerの健全ノード割合（稼働率）", _xlfn.REGEXTEST(C233, "Healthy Knox Gateway"), "Knox Gatewayの健全ノード割合（稼働率）", _xlfn.REGEXTEST(C233, "Healthy ZooKeeper Server"), "ZooKeeper Serverの健全ノード割合（稼働率）", _xlfn.REGEXTEST(C233, "Healthy NodeManager"), "NodeManagerの健全ノード割合（稼働率）", _xlfn.REGEXTEST(C233, "Maximum Latency"), "リクエストの最大レイテンシ（処理遅延）", _xlfn.REGEXTEST(C233, "Garbage Collection Duration"), "Javaのガベージコレクション（GC）の所要時間", _xlfn.REGEXTEST(C233, "Spool Directory Usage"), "Rangerプラグインのスプールディレクトリ使用量", _xlfn.REGEXTEST(C233, "Process Directory Free Space Monitoring Absolute"), "プロセスディレクトリの空き容量（絶対値)", _xlfn.REGEXTEST(C233, "Process Directory Free Space.*Percentage"), "プロセスディレクトリの空き容量割合（%）", _xlfn.REGEXTEST(C233, "Parcel Directory Free Space.*Absolute"), "パーセルディレクトリの空き容量（絶対値）", _xlfn.REGEXTEST(C233, "Parcel Directory Free Space.*Percentage"), "パーセルディレクトリの空き容量割合（%）", _xlfn.REGEXTEST(C233, "Host Network Frame Error Percentage"), "ホストのネットワークフレームエラー割合（%）", _xlfn.REGEXTEST(C233, "Network Interfaces Slow Link Modes"), "ホストのネットワークインターフェースの低速リンクモード検出", _xlfn.REGEXTEST(C233, "Host Memory Swapping"), "ホストのメモリのスワップ発生状態", TRUE, "要手動確認")</f>
        <v>ホストのエントロピー（乱数生成能力）の不足</v>
      </c>
      <c r="H233" s="479" t="s">
        <v>1026</v>
      </c>
    </row>
    <row r="234" spans="1:8" ht="16.899999999999999">
      <c r="A234" s="514"/>
      <c r="B234" s="473"/>
      <c r="C234" s="471" t="s">
        <v>709</v>
      </c>
      <c r="D234" s="471" t="s">
        <v>710</v>
      </c>
      <c r="E234" s="471"/>
      <c r="F234" s="471"/>
      <c r="G234" s="471" t="str" cm="1">
        <f t="array" ref="G234">_xlfn.IFS(C234 = "", "", _xlfn.REGEXTEST(C234, "Service Metric Migrator Minimum Consecutive Successful Checks"), "サービスメトリック移行ツールの連続正常チェック最小回数", _xlfn.REGEXTEST(C234, "Rebalancing"), "リバランシング（データ再配置）状態", _xlfn.REGEXTEST(C234, "Temporary Dump Directory"), "一時ダンプディレクトリの監視", _xlfn.REGEXTEST(C234, "Safemode Extension"), "セーフモード延長状態", _xlfn.REGEXTEST(C234, "Client Idle"), "クライアントのアイドル（待機）状態", _xlfn.REGEXTEST(C234, "Available Space Policy Balanced"), "空き容量ポリシーの分散バランス状態", _xlfn.REGEXTEST(C234, "Filesystem Checkpoint Transaction"), "ファイルシステムのチェックポイントトランザクション", _xlfn.REGEXTEST(C234, "Blocks With Corrupt Replicas Monitoring"), "破損レプリカを持つブロックの監視", _xlfn.REGEXTEST(C234, "Missing Block Monitoring"), "消失（ミッシング）ブロックの監視", _xlfn.REGEXTEST(C234, "Under-replicated Block Monitoring"), "レプリカ数不足ブロックの監視", _xlfn.REGEXTEST(C234, "HDFS Free Space Monitoring"), "HDFSの空き容量監視", _xlfn.REGEXTEST(C234, "DataNode Monitoring"), "DataNodeの稼働状態監視", _xlfn.REGEXTEST(C234, "Rules to Extract Events from Log Files"), "ログファイルからのイベント抽出ルール設定", _xlfn.REGEXTEST(C234, "Free Space Monitoring$"), "空き容量監視（一般設定）", _xlfn.REGEXTEST(C234, "Transceivers Usage"), "トランシーバー使用量（データ転送スレッド数）", _xlfn.REGEXTEST(C234, "Volume Failures"), "ボリューム障害（ディスクエラー）数", _xlfn.REGEXTEST(C234, "Block Count"), "ブロック総数", _xlfn.REGEXTEST(C234, "Audit Failure"), "監査（オーディット）ログの失敗イベント", _xlfn.REGEXTEST(C234, "Web Metric Collection Duration"), "Webメトリック収集の所要時間", _xlfn.REGEXTEST(C234, "Pause Duration"), "一時停止（ポーズ）の所要時間", _xlfn.REGEXTEST(C234, "Fsync Latency"), "Fsync（ディスク同期）のレイテンシ", _xlfn.REGEXTEST(C234, "Free Space Monitoring Absolute"), "空き容量（絶対値）", _xlfn.REGEXTEST(C234, "Free Space Monitoring Percentage"), "空き容量割合（%）", _xlfn.REGEXTEST(C234, "Age Monitoring"), "経過時間の監視", _xlfn.REGEXTEST(C234, "Transactions Monitoring"), "トランザクション数の監視", _xlfn.REGEXTEST(C234, "RPC Latency"), "RPC（遠隔手続き呼出し）のレイテンシ", _xlfn.REGEXTEST(C234, "Directory Failures"), "ディレクトリ障害数", _xlfn.REGEXTEST(C234, "Out-Of-Sync JournalNodes"), "同期ズレが発生しているJournalNode数", _xlfn.REGEXTEST(C234, "Safemode Threshold Percentage"), "セーフモード解除閾値の割合（%）", _xlfn.REGEXTEST(C234, "Kerberos Ticket Renewer Monitoring"), "Kerberosチケット更新プロセスの稼働状態監視", _xlfn.REGEXTEST(C234, "Load Balancer Monitoring"), "ロードバランサーの稼働状態監視", _xlfn.REGEXTEST(C234, "Navigator Audit Failure"), "Cloudera Navigator監査ログの失敗イベント", _xlfn.REGEXTEST(C234, "Schema Registry Server Monitoring"), "Schema Registry Serverの稼働状態監視", _xlfn.REGEXTEST(C234, "SRM Service Monitoring"), "SRMサービスの稼働状態監視", _xlfn.REGEXTEST(C234, "SRM Driver Monitoring"), "SRMドライバーの稼働状態監視", _xlfn.REGEXTEST(C234, "Loggin"), "ログ出力状態・設定監視", _xlfn.REGEXTEST(C234, "Server Monitoring"), "サーバーの稼働状態監視", _xlfn.REGEXTEST(C234, "Server Connection Count"), "サーバーの接続数（コネクション数）", _xlfn.REGEXTEST(C234, "Server Outstanding Requests"), "サーバーの未処理リクエスト数（滞留要求数）", _xlfn.REGEXTEST(C234, "Repository Status"), "リポジトリのステータス状態", _xlfn.REGEXTEST(C234, "Monitor Long Running Task"), "長時間実行タスク（ジョブ）の監視", _xlfn.REGEXTEST(C234, "Token requests per second"), "1秒あたりのトークンリクエスト数（要求レート）", _xlfn.REGEXTEST(C234, "Connection Model Score"), "接続モデルスコア（コネクション品質）", _xlfn.REGEXTEST(C234, "Queue swap"), "キューのスワップ発生状態", _xlfn.REGEXTEST(C234, "NiFi Node Monitoring"), "NiFiノードの稼働状態監視", _xlfn.REGEXTEST(C234, "Host Clock Offset"), "ホストのクロックオフセット（時刻同期のズレ）", _xlfn.REGEXTEST(C234, "Memory Overcommit Validation"), "メモリオーバーコミット設定の検証", _xlfn.REGEXTEST(C234, "Gateway Logging"), "ゲートウェイのログ出力設定", _xlfn.REGEXTEST(C234, "CPU Balance"), "CPU使用率の分散バランス状態", _xlfn.REGEXTEST(C234, "Disk Balance"), "ディスク使用量の分散バランス状態", _xlfn.REGEXTEST(C234, "Network Inbound Balance"), "ネットワークインバウンド（受信）の分散バランス状態", _xlfn.REGEXTEST(C234, "Network Outbound Balance"), "ネットワークアウトバウンド（送信）の分散バランス状態", _xlfn.REGEXTEST(C234, "Replica Count Balance"), "レプリカ数の分散バランス状態", _xlfn.REGEXTEST(C234, "Disk Capacity"), "ディスク総容量の限界・使用容量", _xlfn.REGEXTEST(C234, "CPU Capacity"), "CPU総処理能力の限界・使用量", _xlfn.REGEXTEST(C234, "Network Inbound Capacity"), "ネットワークインバウンド（受信）帯域の限界・使用量", _xlfn.REGEXTEST(C234, "Network Outbound Capacity"), "ネットワークアウトバウンド（送信）帯域の限界・使用量", _xlfn.REGEXTEST(C234, "Leader Replica Count Balance"), "リーダーレプリカ数の分散バランス状態", _xlfn.REGEXTEST(C234, "Host DNS Resolution Duration"), "ホストのDNS名前解決の所要時間", _xlfn.REGEXTEST(C234, "TLS Certificate Expiry"), "TLS証明書の有効期限切れ", _xlfn.REGEXTEST(C234, "Host Entropy"), "ホストのエントロピー（乱数生成能力）の不足", _xlfn.REGEXTEST(C234, "File Descriptor"), "プロセスのファイルディスクリプタ使用率", _xlfn.REGEXTEST(C234, "Unexpected Exits"), "プロセスの異常終了（予期せぬ停止）", _xlfn.REGEXTEST(C234, "Swap Memory Thresholds"), "プロセスのスワップメモリ使用量", _xlfn.REGEXTEST(C234, "Swap Memory Usage Rate"), "スワップメモリ使用量の変化率（増加速度）", _xlfn.REGEXTEST(C234, "Log Directory Free Space.*Absolute"), "ログディレクトリの空き容量（絶対値）", _xlfn.REGEXTEST(C234, "Log Directory Free Space.*Percentage"), "ログディレクトリの空き容量割合（%）", _xlfn.REGEXTEST(C234, "Heap Dump Directory Free Space.*Absolute"), "ヒープダンプディレクトリの空き容量（絶対値）", _xlfn.REGEXTEST(C234, "Heap Dump Directory Free Space.*Percentage"), "ヒープダンプディレクトリの空き容量割合（%）", _xlfn.REGEXTEST(C234, "Data Directory Free Space.*Absolute"), "データディレクトリの空き容量（絶対値）", _xlfn.REGEXTEST(C234, "Data Directory Free Space.*Percentage"), "データディレクトリの空き容量割合（%）", _xlfn.REGEXTEST(C234, "Transaction Log Directory Free Space.*Absolute"), "トランザクションログディレクトリの空き容量（絶対値）", _xlfn.REGEXTEST(C234, "Logging Threshold|Logger Threshold"), "ログ出力レベルの閾値設定", _xlfn.REGEXTEST(C234, "Enable.*Alerts"), "ヘルスアラートの有効化状態", _xlfn.REGEXTEST(C234, "Triggers"), "カスタムアラート条件（トリガー設定）", _xlfn.REGEXTEST(C234, "Healthy Kafka Broker"), "Kafka Brokerの健全ノード割合（稼働率）", _xlfn.REGEXTEST(C234, "Healthy Kafka Connect"), "Kafka Connectの健全ノード割合（稼働率）", _xlfn.REGEXTEST(C234, "Healthy KRaft Controller"), "KRaft Controllerの健全ノード割合（稼働率）", _xlfn.REGEXTEST(C234, "Healthy Knox IDBroker"), "Knox IDBrokerの健全ノード割合（稼働率）", _xlfn.REGEXTEST(C234, "Healthy Knox Gateway"), "Knox Gatewayの健全ノード割合（稼働率）", _xlfn.REGEXTEST(C234, "Healthy ZooKeeper Server"), "ZooKeeper Serverの健全ノード割合（稼働率）", _xlfn.REGEXTEST(C234, "Healthy NodeManager"), "NodeManagerの健全ノード割合（稼働率）", _xlfn.REGEXTEST(C234, "Maximum Latency"), "リクエストの最大レイテンシ（処理遅延）", _xlfn.REGEXTEST(C234, "Garbage Collection Duration"), "Javaのガベージコレクション（GC）の所要時間", _xlfn.REGEXTEST(C234, "Spool Directory Usage"), "Rangerプラグインのスプールディレクトリ使用量", _xlfn.REGEXTEST(C234, "Process Directory Free Space Monitoring Absolute"), "プロセスディレクトリの空き容量（絶対値)", _xlfn.REGEXTEST(C234, "Process Directory Free Space.*Percentage"), "プロセスディレクトリの空き容量割合（%）", _xlfn.REGEXTEST(C234, "Parcel Directory Free Space.*Absolute"), "パーセルディレクトリの空き容量（絶対値）", _xlfn.REGEXTEST(C234, "Parcel Directory Free Space.*Percentage"), "パーセルディレクトリの空き容量割合（%）", _xlfn.REGEXTEST(C234, "Host Network Frame Error Percentage"), "ホストのネットワークフレームエラー割合（%）", _xlfn.REGEXTEST(C234, "Network Interfaces Slow Link Modes"), "ホストのネットワークインターフェースの低速リンクモード検出", _xlfn.REGEXTEST(C234, "Host Memory Swapping"), "ホストのメモリのスワップ発生状態", TRUE, "要手動確認")</f>
        <v>ヘルスアラートの有効化状態</v>
      </c>
      <c r="H234" s="479" t="s">
        <v>711</v>
      </c>
    </row>
    <row r="235" spans="1:8" ht="16.899999999999999">
      <c r="A235" s="514"/>
      <c r="B235" s="473"/>
      <c r="C235" s="471" t="s">
        <v>712</v>
      </c>
      <c r="D235" s="471" t="s">
        <v>713</v>
      </c>
      <c r="E235" s="471"/>
      <c r="F235" s="471"/>
      <c r="G235" s="471" t="str" cm="1">
        <f t="array" ref="G235">_xlfn.IFS(C235 = "", "", _xlfn.REGEXTEST(C235, "Service Metric Migrator Minimum Consecutive Successful Checks"), "サービスメトリック移行ツールの連続正常チェック最小回数", _xlfn.REGEXTEST(C235, "Rebalancing"), "リバランシング（データ再配置）状態", _xlfn.REGEXTEST(C235, "Temporary Dump Directory"), "一時ダンプディレクトリの監視", _xlfn.REGEXTEST(C235, "Safemode Extension"), "セーフモード延長状態", _xlfn.REGEXTEST(C235, "Client Idle"), "クライアントのアイドル（待機）状態", _xlfn.REGEXTEST(C235, "Available Space Policy Balanced"), "空き容量ポリシーの分散バランス状態", _xlfn.REGEXTEST(C235, "Filesystem Checkpoint Transaction"), "ファイルシステムのチェックポイントトランザクション", _xlfn.REGEXTEST(C235, "Blocks With Corrupt Replicas Monitoring"), "破損レプリカを持つブロックの監視", _xlfn.REGEXTEST(C235, "Missing Block Monitoring"), "消失（ミッシング）ブロックの監視", _xlfn.REGEXTEST(C235, "Under-replicated Block Monitoring"), "レプリカ数不足ブロックの監視", _xlfn.REGEXTEST(C235, "HDFS Free Space Monitoring"), "HDFSの空き容量監視", _xlfn.REGEXTEST(C235, "DataNode Monitoring"), "DataNodeの稼働状態監視", _xlfn.REGEXTEST(C235, "Rules to Extract Events from Log Files"), "ログファイルからのイベント抽出ルール設定", _xlfn.REGEXTEST(C235, "Free Space Monitoring$"), "空き容量監視（一般設定）", _xlfn.REGEXTEST(C235, "Transceivers Usage"), "トランシーバー使用量（データ転送スレッド数）", _xlfn.REGEXTEST(C235, "Volume Failures"), "ボリューム障害（ディスクエラー）数", _xlfn.REGEXTEST(C235, "Block Count"), "ブロック総数", _xlfn.REGEXTEST(C235, "Audit Failure"), "監査（オーディット）ログの失敗イベント", _xlfn.REGEXTEST(C235, "Web Metric Collection Duration"), "Webメトリック収集の所要時間", _xlfn.REGEXTEST(C235, "Pause Duration"), "一時停止（ポーズ）の所要時間", _xlfn.REGEXTEST(C235, "Fsync Latency"), "Fsync（ディスク同期）のレイテンシ", _xlfn.REGEXTEST(C235, "Free Space Monitoring Absolute"), "空き容量（絶対値）", _xlfn.REGEXTEST(C235, "Free Space Monitoring Percentage"), "空き容量割合（%）", _xlfn.REGEXTEST(C235, "Age Monitoring"), "経過時間の監視", _xlfn.REGEXTEST(C235, "Transactions Monitoring"), "トランザクション数の監視", _xlfn.REGEXTEST(C235, "RPC Latency"), "RPC（遠隔手続き呼出し）のレイテンシ", _xlfn.REGEXTEST(C235, "Directory Failures"), "ディレクトリ障害数", _xlfn.REGEXTEST(C235, "Out-Of-Sync JournalNodes"), "同期ズレが発生しているJournalNode数", _xlfn.REGEXTEST(C235, "Safemode Threshold Percentage"), "セーフモード解除閾値の割合（%）", _xlfn.REGEXTEST(C235, "Kerberos Ticket Renewer Monitoring"), "Kerberosチケット更新プロセスの稼働状態監視", _xlfn.REGEXTEST(C235, "Load Balancer Monitoring"), "ロードバランサーの稼働状態監視", _xlfn.REGEXTEST(C235, "Navigator Audit Failure"), "Cloudera Navigator監査ログの失敗イベント", _xlfn.REGEXTEST(C235, "Schema Registry Server Monitoring"), "Schema Registry Serverの稼働状態監視", _xlfn.REGEXTEST(C235, "SRM Service Monitoring"), "SRMサービスの稼働状態監視", _xlfn.REGEXTEST(C235, "SRM Driver Monitoring"), "SRMドライバーの稼働状態監視", _xlfn.REGEXTEST(C235, "Loggin"), "ログ出力状態・設定監視", _xlfn.REGEXTEST(C235, "Server Monitoring"), "サーバーの稼働状態監視", _xlfn.REGEXTEST(C235, "Server Connection Count"), "サーバーの接続数（コネクション数）", _xlfn.REGEXTEST(C235, "Server Outstanding Requests"), "サーバーの未処理リクエスト数（滞留要求数）", _xlfn.REGEXTEST(C235, "Repository Status"), "リポジトリのステータス状態", _xlfn.REGEXTEST(C235, "Monitor Long Running Task"), "長時間実行タスク（ジョブ）の監視", _xlfn.REGEXTEST(C235, "Token requests per second"), "1秒あたりのトークンリクエスト数（要求レート）", _xlfn.REGEXTEST(C235, "Connection Model Score"), "接続モデルスコア（コネクション品質）", _xlfn.REGEXTEST(C235, "Queue swap"), "キューのスワップ発生状態", _xlfn.REGEXTEST(C235, "NiFi Node Monitoring"), "NiFiノードの稼働状態監視", _xlfn.REGEXTEST(C235, "Host Clock Offset"), "ホストのクロックオフセット（時刻同期のズレ）", _xlfn.REGEXTEST(C235, "Memory Overcommit Validation"), "メモリオーバーコミット設定の検証", _xlfn.REGEXTEST(C235, "Gateway Logging"), "ゲートウェイのログ出力設定", _xlfn.REGEXTEST(C235, "CPU Balance"), "CPU使用率の分散バランス状態", _xlfn.REGEXTEST(C235, "Disk Balance"), "ディスク使用量の分散バランス状態", _xlfn.REGEXTEST(C235, "Network Inbound Balance"), "ネットワークインバウンド（受信）の分散バランス状態", _xlfn.REGEXTEST(C235, "Network Outbound Balance"), "ネットワークアウトバウンド（送信）の分散バランス状態", _xlfn.REGEXTEST(C235, "Replica Count Balance"), "レプリカ数の分散バランス状態", _xlfn.REGEXTEST(C235, "Disk Capacity"), "ディスク総容量の限界・使用容量", _xlfn.REGEXTEST(C235, "CPU Capacity"), "CPU総処理能力の限界・使用量", _xlfn.REGEXTEST(C235, "Network Inbound Capacity"), "ネットワークインバウンド（受信）帯域の限界・使用量", _xlfn.REGEXTEST(C235, "Network Outbound Capacity"), "ネットワークアウトバウンド（送信）帯域の限界・使用量", _xlfn.REGEXTEST(C235, "Leader Replica Count Balance"), "リーダーレプリカ数の分散バランス状態", _xlfn.REGEXTEST(C235, "Host DNS Resolution Duration"), "ホストのDNS名前解決の所要時間", _xlfn.REGEXTEST(C235, "TLS Certificate Expiry"), "TLS証明書の有効期限切れ", _xlfn.REGEXTEST(C235, "Host Entropy"), "ホストのエントロピー（乱数生成能力）の不足", _xlfn.REGEXTEST(C235, "File Descriptor"), "プロセスのファイルディスクリプタ使用率", _xlfn.REGEXTEST(C235, "Unexpected Exits"), "プロセスの異常終了（予期せぬ停止）", _xlfn.REGEXTEST(C235, "Swap Memory Thresholds"), "プロセスのスワップメモリ使用量", _xlfn.REGEXTEST(C235, "Swap Memory Usage Rate"), "スワップメモリ使用量の変化率（増加速度）", _xlfn.REGEXTEST(C235, "Log Directory Free Space.*Absolute"), "ログディレクトリの空き容量（絶対値）", _xlfn.REGEXTEST(C235, "Log Directory Free Space.*Percentage"), "ログディレクトリの空き容量割合（%）", _xlfn.REGEXTEST(C235, "Heap Dump Directory Free Space.*Absolute"), "ヒープダンプディレクトリの空き容量（絶対値）", _xlfn.REGEXTEST(C235, "Heap Dump Directory Free Space.*Percentage"), "ヒープダンプディレクトリの空き容量割合（%）", _xlfn.REGEXTEST(C235, "Data Directory Free Space.*Absolute"), "データディレクトリの空き容量（絶対値）", _xlfn.REGEXTEST(C235, "Data Directory Free Space.*Percentage"), "データディレクトリの空き容量割合（%）", _xlfn.REGEXTEST(C235, "Transaction Log Directory Free Space.*Absolute"), "トランザクションログディレクトリの空き容量（絶対値）", _xlfn.REGEXTEST(C235, "Logging Threshold|Logger Threshold"), "ログ出力レベルの閾値設定", _xlfn.REGEXTEST(C235, "Enable.*Alerts"), "ヘルスアラートの有効化状態", _xlfn.REGEXTEST(C235, "Triggers"), "カスタムアラート条件（トリガー設定）", _xlfn.REGEXTEST(C235, "Healthy Kafka Broker"), "Kafka Brokerの健全ノード割合（稼働率）", _xlfn.REGEXTEST(C235, "Healthy Kafka Connect"), "Kafka Connectの健全ノード割合（稼働率）", _xlfn.REGEXTEST(C235, "Healthy KRaft Controller"), "KRaft Controllerの健全ノード割合（稼働率）", _xlfn.REGEXTEST(C235, "Healthy Knox IDBroker"), "Knox IDBrokerの健全ノード割合（稼働率）", _xlfn.REGEXTEST(C235, "Healthy Knox Gateway"), "Knox Gatewayの健全ノード割合（稼働率）", _xlfn.REGEXTEST(C235, "Healthy ZooKeeper Server"), "ZooKeeper Serverの健全ノード割合（稼働率）", _xlfn.REGEXTEST(C235, "Healthy NodeManager"), "NodeManagerの健全ノード割合（稼働率）", _xlfn.REGEXTEST(C235, "Maximum Latency"), "リクエストの最大レイテンシ（処理遅延）", _xlfn.REGEXTEST(C235, "Garbage Collection Duration"), "Javaのガベージコレクション（GC）の所要時間", _xlfn.REGEXTEST(C235, "Spool Directory Usage"), "Rangerプラグインのスプールディレクトリ使用量", _xlfn.REGEXTEST(C235, "Process Directory Free Space Monitoring Absolute"), "プロセスディレクトリの空き容量（絶対値)", _xlfn.REGEXTEST(C235, "Process Directory Free Space.*Percentage"), "プロセスディレクトリの空き容量割合（%）", _xlfn.REGEXTEST(C235, "Parcel Directory Free Space.*Absolute"), "パーセルディレクトリの空き容量（絶対値）", _xlfn.REGEXTEST(C235, "Parcel Directory Free Space.*Percentage"), "パーセルディレクトリの空き容量割合（%）", _xlfn.REGEXTEST(C235, "Host Network Frame Error Percentage"), "ホストのネットワークフレームエラー割合（%）", _xlfn.REGEXTEST(C235, "Network Interfaces Slow Link Modes"), "ホストのネットワークインターフェースの低速リンクモード検出", _xlfn.REGEXTEST(C235, "Host Memory Swapping"), "ホストのメモリのスワップ発生状態", TRUE, "要手動確認")</f>
        <v>カスタムアラート条件（トリガー設定）</v>
      </c>
      <c r="H235" s="479" t="s">
        <v>754</v>
      </c>
    </row>
    <row r="236" spans="1:8" ht="33.6">
      <c r="A236" s="514"/>
      <c r="B236" s="473"/>
      <c r="C236" s="471" t="s">
        <v>715</v>
      </c>
      <c r="D236" s="471" t="s">
        <v>716</v>
      </c>
      <c r="E236" s="471"/>
      <c r="F236" s="471"/>
      <c r="G236" s="471" t="str" cm="1">
        <f t="array" ref="G236">_xlfn.IFS(C236 = "", "", _xlfn.REGEXTEST(C236, "Service Metric Migrator Minimum Consecutive Successful Checks"), "サービスメトリック移行ツールの連続正常チェック最小回数", _xlfn.REGEXTEST(C236, "Rebalancing"), "リバランシング（データ再配置）状態", _xlfn.REGEXTEST(C236, "Temporary Dump Directory"), "一時ダンプディレクトリの監視", _xlfn.REGEXTEST(C236, "Safemode Extension"), "セーフモード延長状態", _xlfn.REGEXTEST(C236, "Client Idle"), "クライアントのアイドル（待機）状態", _xlfn.REGEXTEST(C236, "Available Space Policy Balanced"), "空き容量ポリシーの分散バランス状態", _xlfn.REGEXTEST(C236, "Filesystem Checkpoint Transaction"), "ファイルシステムのチェックポイントトランザクション", _xlfn.REGEXTEST(C236, "Blocks With Corrupt Replicas Monitoring"), "破損レプリカを持つブロックの監視", _xlfn.REGEXTEST(C236, "Missing Block Monitoring"), "消失（ミッシング）ブロックの監視", _xlfn.REGEXTEST(C236, "Under-replicated Block Monitoring"), "レプリカ数不足ブロックの監視", _xlfn.REGEXTEST(C236, "HDFS Free Space Monitoring"), "HDFSの空き容量監視", _xlfn.REGEXTEST(C236, "DataNode Monitoring"), "DataNodeの稼働状態監視", _xlfn.REGEXTEST(C236, "Rules to Extract Events from Log Files"), "ログファイルからのイベント抽出ルール設定", _xlfn.REGEXTEST(C236, "Free Space Monitoring$"), "空き容量監視（一般設定）", _xlfn.REGEXTEST(C236, "Transceivers Usage"), "トランシーバー使用量（データ転送スレッド数）", _xlfn.REGEXTEST(C236, "Volume Failures"), "ボリューム障害（ディスクエラー）数", _xlfn.REGEXTEST(C236, "Block Count"), "ブロック総数", _xlfn.REGEXTEST(C236, "Audit Failure"), "監査（オーディット）ログの失敗イベント", _xlfn.REGEXTEST(C236, "Web Metric Collection Duration"), "Webメトリック収集の所要時間", _xlfn.REGEXTEST(C236, "Pause Duration"), "一時停止（ポーズ）の所要時間", _xlfn.REGEXTEST(C236, "Fsync Latency"), "Fsync（ディスク同期）のレイテンシ", _xlfn.REGEXTEST(C236, "Free Space Monitoring Absolute"), "空き容量（絶対値）", _xlfn.REGEXTEST(C236, "Free Space Monitoring Percentage"), "空き容量割合（%）", _xlfn.REGEXTEST(C236, "Age Monitoring"), "経過時間の監視", _xlfn.REGEXTEST(C236, "Transactions Monitoring"), "トランザクション数の監視", _xlfn.REGEXTEST(C236, "RPC Latency"), "RPC（遠隔手続き呼出し）のレイテンシ", _xlfn.REGEXTEST(C236, "Directory Failures"), "ディレクトリ障害数", _xlfn.REGEXTEST(C236, "Out-Of-Sync JournalNodes"), "同期ズレが発生しているJournalNode数", _xlfn.REGEXTEST(C236, "Safemode Threshold Percentage"), "セーフモード解除閾値の割合（%）", _xlfn.REGEXTEST(C236, "Kerberos Ticket Renewer Monitoring"), "Kerberosチケット更新プロセスの稼働状態監視", _xlfn.REGEXTEST(C236, "Load Balancer Monitoring"), "ロードバランサーの稼働状態監視", _xlfn.REGEXTEST(C236, "Navigator Audit Failure"), "Cloudera Navigator監査ログの失敗イベント", _xlfn.REGEXTEST(C236, "Schema Registry Server Monitoring"), "Schema Registry Serverの稼働状態監視", _xlfn.REGEXTEST(C236, "SRM Service Monitoring"), "SRMサービスの稼働状態監視", _xlfn.REGEXTEST(C236, "SRM Driver Monitoring"), "SRMドライバーの稼働状態監視", _xlfn.REGEXTEST(C236, "Loggin"), "ログ出力状態・設定監視", _xlfn.REGEXTEST(C236, "Server Monitoring"), "サーバーの稼働状態監視", _xlfn.REGEXTEST(C236, "Server Connection Count"), "サーバーの接続数（コネクション数）", _xlfn.REGEXTEST(C236, "Server Outstanding Requests"), "サーバーの未処理リクエスト数（滞留要求数）", _xlfn.REGEXTEST(C236, "Repository Status"), "リポジトリのステータス状態", _xlfn.REGEXTEST(C236, "Monitor Long Running Task"), "長時間実行タスク（ジョブ）の監視", _xlfn.REGEXTEST(C236, "Token requests per second"), "1秒あたりのトークンリクエスト数（要求レート）", _xlfn.REGEXTEST(C236, "Connection Model Score"), "接続モデルスコア（コネクション品質）", _xlfn.REGEXTEST(C236, "Queue swap"), "キューのスワップ発生状態", _xlfn.REGEXTEST(C236, "NiFi Node Monitoring"), "NiFiノードの稼働状態監視", _xlfn.REGEXTEST(C236, "Host Clock Offset"), "ホストのクロックオフセット（時刻同期のズレ）", _xlfn.REGEXTEST(C236, "Memory Overcommit Validation"), "メモリオーバーコミット設定の検証", _xlfn.REGEXTEST(C236, "Gateway Logging"), "ゲートウェイのログ出力設定", _xlfn.REGEXTEST(C236, "CPU Balance"), "CPU使用率の分散バランス状態", _xlfn.REGEXTEST(C236, "Disk Balance"), "ディスク使用量の分散バランス状態", _xlfn.REGEXTEST(C236, "Network Inbound Balance"), "ネットワークインバウンド（受信）の分散バランス状態", _xlfn.REGEXTEST(C236, "Network Outbound Balance"), "ネットワークアウトバウンド（送信）の分散バランス状態", _xlfn.REGEXTEST(C236, "Replica Count Balance"), "レプリカ数の分散バランス状態", _xlfn.REGEXTEST(C236, "Disk Capacity"), "ディスク総容量の限界・使用容量", _xlfn.REGEXTEST(C236, "CPU Capacity"), "CPU総処理能力の限界・使用量", _xlfn.REGEXTEST(C236, "Network Inbound Capacity"), "ネットワークインバウンド（受信）帯域の限界・使用量", _xlfn.REGEXTEST(C236, "Network Outbound Capacity"), "ネットワークアウトバウンド（送信）帯域の限界・使用量", _xlfn.REGEXTEST(C236, "Leader Replica Count Balance"), "リーダーレプリカ数の分散バランス状態", _xlfn.REGEXTEST(C236, "Host DNS Resolution Duration"), "ホストのDNS名前解決の所要時間", _xlfn.REGEXTEST(C236, "TLS Certificate Expiry"), "TLS証明書の有効期限切れ", _xlfn.REGEXTEST(C236, "Host Entropy"), "ホストのエントロピー（乱数生成能力）の不足", _xlfn.REGEXTEST(C236, "File Descriptor"), "プロセスのファイルディスクリプタ使用率", _xlfn.REGEXTEST(C236, "Unexpected Exits"), "プロセスの異常終了（予期せぬ停止）", _xlfn.REGEXTEST(C236, "Swap Memory Thresholds"), "プロセスのスワップメモリ使用量", _xlfn.REGEXTEST(C236, "Swap Memory Usage Rate"), "スワップメモリ使用量の変化率（増加速度）", _xlfn.REGEXTEST(C236, "Log Directory Free Space.*Absolute"), "ログディレクトリの空き容量（絶対値）", _xlfn.REGEXTEST(C236, "Log Directory Free Space.*Percentage"), "ログディレクトリの空き容量割合（%）", _xlfn.REGEXTEST(C236, "Heap Dump Directory Free Space.*Absolute"), "ヒープダンプディレクトリの空き容量（絶対値）", _xlfn.REGEXTEST(C236, "Heap Dump Directory Free Space.*Percentage"), "ヒープダンプディレクトリの空き容量割合（%）", _xlfn.REGEXTEST(C236, "Data Directory Free Space.*Absolute"), "データディレクトリの空き容量（絶対値）", _xlfn.REGEXTEST(C236, "Data Directory Free Space.*Percentage"), "データディレクトリの空き容量割合（%）", _xlfn.REGEXTEST(C236, "Transaction Log Directory Free Space.*Absolute"), "トランザクションログディレクトリの空き容量（絶対値）", _xlfn.REGEXTEST(C236, "Logging Threshold|Logger Threshold"), "ログ出力レベルの閾値設定", _xlfn.REGEXTEST(C236, "Enable.*Alerts"), "ヘルスアラートの有効化状態", _xlfn.REGEXTEST(C236, "Triggers"), "カスタムアラート条件（トリガー設定）", _xlfn.REGEXTEST(C236, "Healthy Kafka Broker"), "Kafka Brokerの健全ノード割合（稼働率）", _xlfn.REGEXTEST(C236, "Healthy Kafka Connect"), "Kafka Connectの健全ノード割合（稼働率）", _xlfn.REGEXTEST(C236, "Healthy KRaft Controller"), "KRaft Controllerの健全ノード割合（稼働率）", _xlfn.REGEXTEST(C236, "Healthy Knox IDBroker"), "Knox IDBrokerの健全ノード割合（稼働率）", _xlfn.REGEXTEST(C236, "Healthy Knox Gateway"), "Knox Gatewayの健全ノード割合（稼働率）", _xlfn.REGEXTEST(C236, "Healthy ZooKeeper Server"), "ZooKeeper Serverの健全ノード割合（稼働率）", _xlfn.REGEXTEST(C236, "Healthy NodeManager"), "NodeManagerの健全ノード割合（稼働率）", _xlfn.REGEXTEST(C236, "Maximum Latency"), "リクエストの最大レイテンシ（処理遅延）", _xlfn.REGEXTEST(C236, "Garbage Collection Duration"), "Javaのガベージコレクション（GC）の所要時間", _xlfn.REGEXTEST(C236, "Spool Directory Usage"), "Rangerプラグインのスプールディレクトリ使用量", _xlfn.REGEXTEST(C236, "Process Directory Free Space Monitoring Absolute"), "プロセスディレクトリの空き容量（絶対値)", _xlfn.REGEXTEST(C236, "Process Directory Free Space.*Percentage"), "プロセスディレクトリの空き容量割合（%）", _xlfn.REGEXTEST(C236, "Parcel Directory Free Space.*Absolute"), "パーセルディレクトリの空き容量（絶対値）", _xlfn.REGEXTEST(C236, "Parcel Directory Free Space.*Percentage"), "パーセルディレクトリの空き容量割合（%）", _xlfn.REGEXTEST(C236, "Host Network Frame Error Percentage"), "ホストのネットワークフレームエラー割合（%）", _xlfn.REGEXTEST(C236, "Network Interfaces Slow Link Modes"), "ホストのネットワークインターフェースの低速リンクモード検出", _xlfn.REGEXTEST(C236, "Host Memory Swapping"), "ホストのメモリのスワップ発生状態", TRUE, "要手動確認")</f>
        <v>TLS証明書の有効期限切れ</v>
      </c>
      <c r="H236" s="479" t="s">
        <v>1027</v>
      </c>
    </row>
    <row r="237" spans="1:8" ht="33.6">
      <c r="A237" s="514"/>
      <c r="B237" s="473"/>
      <c r="C237" s="471" t="s">
        <v>718</v>
      </c>
      <c r="D237" s="471" t="s">
        <v>719</v>
      </c>
      <c r="E237" s="471"/>
      <c r="F237" s="471"/>
      <c r="G237" s="471" t="str" cm="1">
        <f t="array" ref="G237">_xlfn.IFS(C237 = "", "", _xlfn.REGEXTEST(C237, "Service Metric Migrator Minimum Consecutive Successful Checks"), "サービスメトリック移行ツールの連続正常チェック最小回数", _xlfn.REGEXTEST(C237, "Rebalancing"), "リバランシング（データ再配置）状態", _xlfn.REGEXTEST(C237, "Temporary Dump Directory"), "一時ダンプディレクトリの監視", _xlfn.REGEXTEST(C237, "Safemode Extension"), "セーフモード延長状態", _xlfn.REGEXTEST(C237, "Client Idle"), "クライアントのアイドル（待機）状態", _xlfn.REGEXTEST(C237, "Available Space Policy Balanced"), "空き容量ポリシーの分散バランス状態", _xlfn.REGEXTEST(C237, "Filesystem Checkpoint Transaction"), "ファイルシステムのチェックポイントトランザクション", _xlfn.REGEXTEST(C237, "Blocks With Corrupt Replicas Monitoring"), "破損レプリカを持つブロックの監視", _xlfn.REGEXTEST(C237, "Missing Block Monitoring"), "消失（ミッシング）ブロックの監視", _xlfn.REGEXTEST(C237, "Under-replicated Block Monitoring"), "レプリカ数不足ブロックの監視", _xlfn.REGEXTEST(C237, "HDFS Free Space Monitoring"), "HDFSの空き容量監視", _xlfn.REGEXTEST(C237, "DataNode Monitoring"), "DataNodeの稼働状態監視", _xlfn.REGEXTEST(C237, "Rules to Extract Events from Log Files"), "ログファイルからのイベント抽出ルール設定", _xlfn.REGEXTEST(C237, "Free Space Monitoring$"), "空き容量監視（一般設定）", _xlfn.REGEXTEST(C237, "Transceivers Usage"), "トランシーバー使用量（データ転送スレッド数）", _xlfn.REGEXTEST(C237, "Volume Failures"), "ボリューム障害（ディスクエラー）数", _xlfn.REGEXTEST(C237, "Block Count"), "ブロック総数", _xlfn.REGEXTEST(C237, "Audit Failure"), "監査（オーディット）ログの失敗イベント", _xlfn.REGEXTEST(C237, "Web Metric Collection Duration"), "Webメトリック収集の所要時間", _xlfn.REGEXTEST(C237, "Pause Duration"), "一時停止（ポーズ）の所要時間", _xlfn.REGEXTEST(C237, "Fsync Latency"), "Fsync（ディスク同期）のレイテンシ", _xlfn.REGEXTEST(C237, "Free Space Monitoring Absolute"), "空き容量（絶対値）", _xlfn.REGEXTEST(C237, "Free Space Monitoring Percentage"), "空き容量割合（%）", _xlfn.REGEXTEST(C237, "Age Monitoring"), "経過時間の監視", _xlfn.REGEXTEST(C237, "Transactions Monitoring"), "トランザクション数の監視", _xlfn.REGEXTEST(C237, "RPC Latency"), "RPC（遠隔手続き呼出し）のレイテンシ", _xlfn.REGEXTEST(C237, "Directory Failures"), "ディレクトリ障害数", _xlfn.REGEXTEST(C237, "Out-Of-Sync JournalNodes"), "同期ズレが発生しているJournalNode数", _xlfn.REGEXTEST(C237, "Safemode Threshold Percentage"), "セーフモード解除閾値の割合（%）", _xlfn.REGEXTEST(C237, "Kerberos Ticket Renewer Monitoring"), "Kerberosチケット更新プロセスの稼働状態監視", _xlfn.REGEXTEST(C237, "Load Balancer Monitoring"), "ロードバランサーの稼働状態監視", _xlfn.REGEXTEST(C237, "Navigator Audit Failure"), "Cloudera Navigator監査ログの失敗イベント", _xlfn.REGEXTEST(C237, "Schema Registry Server Monitoring"), "Schema Registry Serverの稼働状態監視", _xlfn.REGEXTEST(C237, "SRM Service Monitoring"), "SRMサービスの稼働状態監視", _xlfn.REGEXTEST(C237, "SRM Driver Monitoring"), "SRMドライバーの稼働状態監視", _xlfn.REGEXTEST(C237, "Loggin"), "ログ出力状態・設定監視", _xlfn.REGEXTEST(C237, "Server Monitoring"), "サーバーの稼働状態監視", _xlfn.REGEXTEST(C237, "Server Connection Count"), "サーバーの接続数（コネクション数）", _xlfn.REGEXTEST(C237, "Server Outstanding Requests"), "サーバーの未処理リクエスト数（滞留要求数）", _xlfn.REGEXTEST(C237, "Repository Status"), "リポジトリのステータス状態", _xlfn.REGEXTEST(C237, "Monitor Long Running Task"), "長時間実行タスク（ジョブ）の監視", _xlfn.REGEXTEST(C237, "Token requests per second"), "1秒あたりのトークンリクエスト数（要求レート）", _xlfn.REGEXTEST(C237, "Connection Model Score"), "接続モデルスコア（コネクション品質）", _xlfn.REGEXTEST(C237, "Queue swap"), "キューのスワップ発生状態", _xlfn.REGEXTEST(C237, "NiFi Node Monitoring"), "NiFiノードの稼働状態監視", _xlfn.REGEXTEST(C237, "Host Clock Offset"), "ホストのクロックオフセット（時刻同期のズレ）", _xlfn.REGEXTEST(C237, "Memory Overcommit Validation"), "メモリオーバーコミット設定の検証", _xlfn.REGEXTEST(C237, "Gateway Logging"), "ゲートウェイのログ出力設定", _xlfn.REGEXTEST(C237, "CPU Balance"), "CPU使用率の分散バランス状態", _xlfn.REGEXTEST(C237, "Disk Balance"), "ディスク使用量の分散バランス状態", _xlfn.REGEXTEST(C237, "Network Inbound Balance"), "ネットワークインバウンド（受信）の分散バランス状態", _xlfn.REGEXTEST(C237, "Network Outbound Balance"), "ネットワークアウトバウンド（送信）の分散バランス状態", _xlfn.REGEXTEST(C237, "Replica Count Balance"), "レプリカ数の分散バランス状態", _xlfn.REGEXTEST(C237, "Disk Capacity"), "ディスク総容量の限界・使用容量", _xlfn.REGEXTEST(C237, "CPU Capacity"), "CPU総処理能力の限界・使用量", _xlfn.REGEXTEST(C237, "Network Inbound Capacity"), "ネットワークインバウンド（受信）帯域の限界・使用量", _xlfn.REGEXTEST(C237, "Network Outbound Capacity"), "ネットワークアウトバウンド（送信）帯域の限界・使用量", _xlfn.REGEXTEST(C237, "Leader Replica Count Balance"), "リーダーレプリカ数の分散バランス状態", _xlfn.REGEXTEST(C237, "Host DNS Resolution Duration"), "ホストのDNS名前解決の所要時間", _xlfn.REGEXTEST(C237, "TLS Certificate Expiry"), "TLS証明書の有効期限切れ", _xlfn.REGEXTEST(C237, "Host Entropy"), "ホストのエントロピー（乱数生成能力）の不足", _xlfn.REGEXTEST(C237, "File Descriptor"), "プロセスのファイルディスクリプタ使用率", _xlfn.REGEXTEST(C237, "Unexpected Exits"), "プロセスの異常終了（予期せぬ停止）", _xlfn.REGEXTEST(C237, "Swap Memory Thresholds"), "プロセスのスワップメモリ使用量", _xlfn.REGEXTEST(C237, "Swap Memory Usage Rate"), "スワップメモリ使用量の変化率（増加速度）", _xlfn.REGEXTEST(C237, "Log Directory Free Space.*Absolute"), "ログディレクトリの空き容量（絶対値）", _xlfn.REGEXTEST(C237, "Log Directory Free Space.*Percentage"), "ログディレクトリの空き容量割合（%）", _xlfn.REGEXTEST(C237, "Heap Dump Directory Free Space.*Absolute"), "ヒープダンプディレクトリの空き容量（絶対値）", _xlfn.REGEXTEST(C237, "Heap Dump Directory Free Space.*Percentage"), "ヒープダンプディレクトリの空き容量割合（%）", _xlfn.REGEXTEST(C237, "Data Directory Free Space.*Absolute"), "データディレクトリの空き容量（絶対値）", _xlfn.REGEXTEST(C237, "Data Directory Free Space.*Percentage"), "データディレクトリの空き容量割合（%）", _xlfn.REGEXTEST(C237, "Transaction Log Directory Free Space.*Absolute"), "トランザクションログディレクトリの空き容量（絶対値）", _xlfn.REGEXTEST(C237, "Logging Threshold|Logger Threshold"), "ログ出力レベルの閾値設定", _xlfn.REGEXTEST(C237, "Enable.*Alerts"), "ヘルスアラートの有効化状態", _xlfn.REGEXTEST(C237, "Triggers"), "カスタムアラート条件（トリガー設定）", _xlfn.REGEXTEST(C237, "Healthy Kafka Broker"), "Kafka Brokerの健全ノード割合（稼働率）", _xlfn.REGEXTEST(C237, "Healthy Kafka Connect"), "Kafka Connectの健全ノード割合（稼働率）", _xlfn.REGEXTEST(C237, "Healthy KRaft Controller"), "KRaft Controllerの健全ノード割合（稼働率）", _xlfn.REGEXTEST(C237, "Healthy Knox IDBroker"), "Knox IDBrokerの健全ノード割合（稼働率）", _xlfn.REGEXTEST(C237, "Healthy Knox Gateway"), "Knox Gatewayの健全ノード割合（稼働率）", _xlfn.REGEXTEST(C237, "Healthy ZooKeeper Server"), "ZooKeeper Serverの健全ノード割合（稼働率）", _xlfn.REGEXTEST(C237, "Healthy NodeManager"), "NodeManagerの健全ノード割合（稼働率）", _xlfn.REGEXTEST(C237, "Maximum Latency"), "リクエストの最大レイテンシ（処理遅延）", _xlfn.REGEXTEST(C237, "Garbage Collection Duration"), "Javaのガベージコレクション（GC）の所要時間", _xlfn.REGEXTEST(C237, "Spool Directory Usage"), "Rangerプラグインのスプールディレクトリ使用量", _xlfn.REGEXTEST(C237, "Process Directory Free Space Monitoring Absolute"), "プロセスディレクトリの空き容量（絶対値)", _xlfn.REGEXTEST(C237, "Process Directory Free Space.*Percentage"), "プロセスディレクトリの空き容量割合（%）", _xlfn.REGEXTEST(C237, "Parcel Directory Free Space.*Absolute"), "パーセルディレクトリの空き容量（絶対値）", _xlfn.REGEXTEST(C237, "Parcel Directory Free Space.*Percentage"), "パーセルディレクトリの空き容量割合（%）", _xlfn.REGEXTEST(C237, "Host Network Frame Error Percentage"), "ホストのネットワークフレームエラー割合（%）", _xlfn.REGEXTEST(C237, "Network Interfaces Slow Link Modes"), "ホストのネットワークインターフェースの低速リンクモード検出", _xlfn.REGEXTEST(C237, "Host Memory Swapping"), "ホストのメモリのスワップ発生状態", TRUE, "要手動確認")</f>
        <v>ホストのDNS名前解決の所要時間</v>
      </c>
      <c r="H237" s="479" t="s">
        <v>1028</v>
      </c>
    </row>
    <row r="238" spans="1:8" ht="33.6">
      <c r="A238" s="514"/>
      <c r="B238" s="473"/>
      <c r="C238" s="471" t="s">
        <v>721</v>
      </c>
      <c r="D238" s="471" t="s">
        <v>722</v>
      </c>
      <c r="E238" s="471"/>
      <c r="F238" s="471"/>
      <c r="G238" s="471" t="str" cm="1">
        <f t="array" ref="G238">_xlfn.IFS(C238 = "", "", _xlfn.REGEXTEST(C238, "Service Metric Migrator Minimum Consecutive Successful Checks"), "サービスメトリック移行ツールの連続正常チェック最小回数", _xlfn.REGEXTEST(C238, "Rebalancing"), "リバランシング（データ再配置）状態", _xlfn.REGEXTEST(C238, "Temporary Dump Directory"), "一時ダンプディレクトリの監視", _xlfn.REGEXTEST(C238, "Safemode Extension"), "セーフモード延長状態", _xlfn.REGEXTEST(C238, "Client Idle"), "クライアントのアイドル（待機）状態", _xlfn.REGEXTEST(C238, "Available Space Policy Balanced"), "空き容量ポリシーの分散バランス状態", _xlfn.REGEXTEST(C238, "Filesystem Checkpoint Transaction"), "ファイルシステムのチェックポイントトランザクション", _xlfn.REGEXTEST(C238, "Blocks With Corrupt Replicas Monitoring"), "破損レプリカを持つブロックの監視", _xlfn.REGEXTEST(C238, "Missing Block Monitoring"), "消失（ミッシング）ブロックの監視", _xlfn.REGEXTEST(C238, "Under-replicated Block Monitoring"), "レプリカ数不足ブロックの監視", _xlfn.REGEXTEST(C238, "HDFS Free Space Monitoring"), "HDFSの空き容量監視", _xlfn.REGEXTEST(C238, "DataNode Monitoring"), "DataNodeの稼働状態監視", _xlfn.REGEXTEST(C238, "Rules to Extract Events from Log Files"), "ログファイルからのイベント抽出ルール設定", _xlfn.REGEXTEST(C238, "Free Space Monitoring$"), "空き容量監視（一般設定）", _xlfn.REGEXTEST(C238, "Transceivers Usage"), "トランシーバー使用量（データ転送スレッド数）", _xlfn.REGEXTEST(C238, "Volume Failures"), "ボリューム障害（ディスクエラー）数", _xlfn.REGEXTEST(C238, "Block Count"), "ブロック総数", _xlfn.REGEXTEST(C238, "Audit Failure"), "監査（オーディット）ログの失敗イベント", _xlfn.REGEXTEST(C238, "Web Metric Collection Duration"), "Webメトリック収集の所要時間", _xlfn.REGEXTEST(C238, "Pause Duration"), "一時停止（ポーズ）の所要時間", _xlfn.REGEXTEST(C238, "Fsync Latency"), "Fsync（ディスク同期）のレイテンシ", _xlfn.REGEXTEST(C238, "Free Space Monitoring Absolute"), "空き容量（絶対値）", _xlfn.REGEXTEST(C238, "Free Space Monitoring Percentage"), "空き容量割合（%）", _xlfn.REGEXTEST(C238, "Age Monitoring"), "経過時間の監視", _xlfn.REGEXTEST(C238, "Transactions Monitoring"), "トランザクション数の監視", _xlfn.REGEXTEST(C238, "RPC Latency"), "RPC（遠隔手続き呼出し）のレイテンシ", _xlfn.REGEXTEST(C238, "Directory Failures"), "ディレクトリ障害数", _xlfn.REGEXTEST(C238, "Out-Of-Sync JournalNodes"), "同期ズレが発生しているJournalNode数", _xlfn.REGEXTEST(C238, "Safemode Threshold Percentage"), "セーフモード解除閾値の割合（%）", _xlfn.REGEXTEST(C238, "Kerberos Ticket Renewer Monitoring"), "Kerberosチケット更新プロセスの稼働状態監視", _xlfn.REGEXTEST(C238, "Load Balancer Monitoring"), "ロードバランサーの稼働状態監視", _xlfn.REGEXTEST(C238, "Navigator Audit Failure"), "Cloudera Navigator監査ログの失敗イベント", _xlfn.REGEXTEST(C238, "Schema Registry Server Monitoring"), "Schema Registry Serverの稼働状態監視", _xlfn.REGEXTEST(C238, "SRM Service Monitoring"), "SRMサービスの稼働状態監視", _xlfn.REGEXTEST(C238, "SRM Driver Monitoring"), "SRMドライバーの稼働状態監視", _xlfn.REGEXTEST(C238, "Loggin"), "ログ出力状態・設定監視", _xlfn.REGEXTEST(C238, "Server Monitoring"), "サーバーの稼働状態監視", _xlfn.REGEXTEST(C238, "Server Connection Count"), "サーバーの接続数（コネクション数）", _xlfn.REGEXTEST(C238, "Server Outstanding Requests"), "サーバーの未処理リクエスト数（滞留要求数）", _xlfn.REGEXTEST(C238, "Repository Status"), "リポジトリのステータス状態", _xlfn.REGEXTEST(C238, "Monitor Long Running Task"), "長時間実行タスク（ジョブ）の監視", _xlfn.REGEXTEST(C238, "Token requests per second"), "1秒あたりのトークンリクエスト数（要求レート）", _xlfn.REGEXTEST(C238, "Connection Model Score"), "接続モデルスコア（コネクション品質）", _xlfn.REGEXTEST(C238, "Queue swap"), "キューのスワップ発生状態", _xlfn.REGEXTEST(C238, "NiFi Node Monitoring"), "NiFiノードの稼働状態監視", _xlfn.REGEXTEST(C238, "Host Clock Offset"), "ホストのクロックオフセット（時刻同期のズレ）", _xlfn.REGEXTEST(C238, "Memory Overcommit Validation"), "メモリオーバーコミット設定の検証", _xlfn.REGEXTEST(C238, "Gateway Logging"), "ゲートウェイのログ出力設定", _xlfn.REGEXTEST(C238, "CPU Balance"), "CPU使用率の分散バランス状態", _xlfn.REGEXTEST(C238, "Disk Balance"), "ディスク使用量の分散バランス状態", _xlfn.REGEXTEST(C238, "Network Inbound Balance"), "ネットワークインバウンド（受信）の分散バランス状態", _xlfn.REGEXTEST(C238, "Network Outbound Balance"), "ネットワークアウトバウンド（送信）の分散バランス状態", _xlfn.REGEXTEST(C238, "Replica Count Balance"), "レプリカ数の分散バランス状態", _xlfn.REGEXTEST(C238, "Disk Capacity"), "ディスク総容量の限界・使用容量", _xlfn.REGEXTEST(C238, "CPU Capacity"), "CPU総処理能力の限界・使用量", _xlfn.REGEXTEST(C238, "Network Inbound Capacity"), "ネットワークインバウンド（受信）帯域の限界・使用量", _xlfn.REGEXTEST(C238, "Network Outbound Capacity"), "ネットワークアウトバウンド（送信）帯域の限界・使用量", _xlfn.REGEXTEST(C238, "Leader Replica Count Balance"), "リーダーレプリカ数の分散バランス状態", _xlfn.REGEXTEST(C238, "Host DNS Resolution Duration"), "ホストのDNS名前解決の所要時間", _xlfn.REGEXTEST(C238, "TLS Certificate Expiry"), "TLS証明書の有効期限切れ", _xlfn.REGEXTEST(C238, "Host Entropy"), "ホストのエントロピー（乱数生成能力）の不足", _xlfn.REGEXTEST(C238, "File Descriptor"), "プロセスのファイルディスクリプタ使用率", _xlfn.REGEXTEST(C238, "Unexpected Exits"), "プロセスの異常終了（予期せぬ停止）", _xlfn.REGEXTEST(C238, "Swap Memory Thresholds"), "プロセスのスワップメモリ使用量", _xlfn.REGEXTEST(C238, "Swap Memory Usage Rate"), "スワップメモリ使用量の変化率（増加速度）", _xlfn.REGEXTEST(C238, "Log Directory Free Space.*Absolute"), "ログディレクトリの空き容量（絶対値）", _xlfn.REGEXTEST(C238, "Log Directory Free Space.*Percentage"), "ログディレクトリの空き容量割合（%）", _xlfn.REGEXTEST(C238, "Heap Dump Directory Free Space.*Absolute"), "ヒープダンプディレクトリの空き容量（絶対値）", _xlfn.REGEXTEST(C238, "Heap Dump Directory Free Space.*Percentage"), "ヒープダンプディレクトリの空き容量割合（%）", _xlfn.REGEXTEST(C238, "Data Directory Free Space.*Absolute"), "データディレクトリの空き容量（絶対値）", _xlfn.REGEXTEST(C238, "Data Directory Free Space.*Percentage"), "データディレクトリの空き容量割合（%）", _xlfn.REGEXTEST(C238, "Transaction Log Directory Free Space.*Absolute"), "トランザクションログディレクトリの空き容量（絶対値）", _xlfn.REGEXTEST(C238, "Logging Threshold|Logger Threshold"), "ログ出力レベルの閾値設定", _xlfn.REGEXTEST(C238, "Enable.*Alerts"), "ヘルスアラートの有効化状態", _xlfn.REGEXTEST(C238, "Triggers"), "カスタムアラート条件（トリガー設定）", _xlfn.REGEXTEST(C238, "Healthy Kafka Broker"), "Kafka Brokerの健全ノード割合（稼働率）", _xlfn.REGEXTEST(C238, "Healthy Kafka Connect"), "Kafka Connectの健全ノード割合（稼働率）", _xlfn.REGEXTEST(C238, "Healthy KRaft Controller"), "KRaft Controllerの健全ノード割合（稼働率）", _xlfn.REGEXTEST(C238, "Healthy Knox IDBroker"), "Knox IDBrokerの健全ノード割合（稼働率）", _xlfn.REGEXTEST(C238, "Healthy Knox Gateway"), "Knox Gatewayの健全ノード割合（稼働率）", _xlfn.REGEXTEST(C238, "Healthy ZooKeeper Server"), "ZooKeeper Serverの健全ノード割合（稼働率）", _xlfn.REGEXTEST(C238, "Healthy NodeManager"), "NodeManagerの健全ノード割合（稼働率）", _xlfn.REGEXTEST(C238, "Maximum Latency"), "リクエストの最大レイテンシ（処理遅延）", _xlfn.REGEXTEST(C238, "Garbage Collection Duration"), "Javaのガベージコレクション（GC）の所要時間", _xlfn.REGEXTEST(C238, "Spool Directory Usage"), "Rangerプラグインのスプールディレクトリ使用量", _xlfn.REGEXTEST(C238, "Process Directory Free Space Monitoring Absolute"), "プロセスディレクトリの空き容量（絶対値)", _xlfn.REGEXTEST(C238, "Process Directory Free Space.*Percentage"), "プロセスディレクトリの空き容量割合（%）", _xlfn.REGEXTEST(C238, "Parcel Directory Free Space.*Absolute"), "パーセルディレクトリの空き容量（絶対値）", _xlfn.REGEXTEST(C238, "Parcel Directory Free Space.*Percentage"), "パーセルディレクトリの空き容量割合（%）", _xlfn.REGEXTEST(C238, "Host Network Frame Error Percentage"), "ホストのネットワークフレームエラー割合（%）", _xlfn.REGEXTEST(C238, "Network Interfaces Slow Link Modes"), "ホストのネットワークインターフェースの低速リンクモード検出", _xlfn.REGEXTEST(C238, "Host Memory Swapping"), "ホストのメモリのスワップ発生状態", TRUE, "要手動確認")</f>
        <v>ホストのクロックオフセット（時刻同期のズレ）</v>
      </c>
      <c r="H238" s="479" t="s">
        <v>1029</v>
      </c>
    </row>
    <row r="239" spans="1:8" ht="16.899999999999999">
      <c r="A239" s="514"/>
      <c r="B239" s="470"/>
      <c r="C239" s="471" t="s">
        <v>724</v>
      </c>
      <c r="D239" s="471" t="s">
        <v>725</v>
      </c>
      <c r="E239" s="471"/>
      <c r="F239" s="471"/>
      <c r="G239" s="471" t="str" cm="1">
        <f t="array" ref="G239">_xlfn.IFS(C239 = "", "", _xlfn.REGEXTEST(C239, "Service Metric Migrator Minimum Consecutive Successful Checks"), "サービスメトリック移行ツールの連続正常チェック最小回数", _xlfn.REGEXTEST(C239, "Rebalancing"), "リバランシング（データ再配置）状態", _xlfn.REGEXTEST(C239, "Temporary Dump Directory"), "一時ダンプディレクトリの監視", _xlfn.REGEXTEST(C239, "Safemode Extension"), "セーフモード延長状態", _xlfn.REGEXTEST(C239, "Client Idle"), "クライアントのアイドル（待機）状態", _xlfn.REGEXTEST(C239, "Available Space Policy Balanced"), "空き容量ポリシーの分散バランス状態", _xlfn.REGEXTEST(C239, "Filesystem Checkpoint Transaction"), "ファイルシステムのチェックポイントトランザクション", _xlfn.REGEXTEST(C239, "Blocks With Corrupt Replicas Monitoring"), "破損レプリカを持つブロックの監視", _xlfn.REGEXTEST(C239, "Missing Block Monitoring"), "消失（ミッシング）ブロックの監視", _xlfn.REGEXTEST(C239, "Under-replicated Block Monitoring"), "レプリカ数不足ブロックの監視", _xlfn.REGEXTEST(C239, "HDFS Free Space Monitoring"), "HDFSの空き容量監視", _xlfn.REGEXTEST(C239, "DataNode Monitoring"), "DataNodeの稼働状態監視", _xlfn.REGEXTEST(C239, "Rules to Extract Events from Log Files"), "ログファイルからのイベント抽出ルール設定", _xlfn.REGEXTEST(C239, "Free Space Monitoring$"), "空き容量監視（一般設定）", _xlfn.REGEXTEST(C239, "Transceivers Usage"), "トランシーバー使用量（データ転送スレッド数）", _xlfn.REGEXTEST(C239, "Volume Failures"), "ボリューム障害（ディスクエラー）数", _xlfn.REGEXTEST(C239, "Block Count"), "ブロック総数", _xlfn.REGEXTEST(C239, "Audit Failure"), "監査（オーディット）ログの失敗イベント", _xlfn.REGEXTEST(C239, "Web Metric Collection Duration"), "Webメトリック収集の所要時間", _xlfn.REGEXTEST(C239, "Pause Duration"), "一時停止（ポーズ）の所要時間", _xlfn.REGEXTEST(C239, "Fsync Latency"), "Fsync（ディスク同期）のレイテンシ", _xlfn.REGEXTEST(C239, "Free Space Monitoring Absolute"), "空き容量（絶対値）", _xlfn.REGEXTEST(C239, "Free Space Monitoring Percentage"), "空き容量割合（%）", _xlfn.REGEXTEST(C239, "Age Monitoring"), "経過時間の監視", _xlfn.REGEXTEST(C239, "Transactions Monitoring"), "トランザクション数の監視", _xlfn.REGEXTEST(C239, "RPC Latency"), "RPC（遠隔手続き呼出し）のレイテンシ", _xlfn.REGEXTEST(C239, "Directory Failures"), "ディレクトリ障害数", _xlfn.REGEXTEST(C239, "Out-Of-Sync JournalNodes"), "同期ズレが発生しているJournalNode数", _xlfn.REGEXTEST(C239, "Safemode Threshold Percentage"), "セーフモード解除閾値の割合（%）", _xlfn.REGEXTEST(C239, "Kerberos Ticket Renewer Monitoring"), "Kerberosチケット更新プロセスの稼働状態監視", _xlfn.REGEXTEST(C239, "Load Balancer Monitoring"), "ロードバランサーの稼働状態監視", _xlfn.REGEXTEST(C239, "Navigator Audit Failure"), "Cloudera Navigator監査ログの失敗イベント", _xlfn.REGEXTEST(C239, "Schema Registry Server Monitoring"), "Schema Registry Serverの稼働状態監視", _xlfn.REGEXTEST(C239, "SRM Service Monitoring"), "SRMサービスの稼働状態監視", _xlfn.REGEXTEST(C239, "SRM Driver Monitoring"), "SRMドライバーの稼働状態監視", _xlfn.REGEXTEST(C239, "Loggin"), "ログ出力状態・設定監視", _xlfn.REGEXTEST(C239, "Server Monitoring"), "サーバーの稼働状態監視", _xlfn.REGEXTEST(C239, "Server Connection Count"), "サーバーの接続数（コネクション数）", _xlfn.REGEXTEST(C239, "Server Outstanding Requests"), "サーバーの未処理リクエスト数（滞留要求数）", _xlfn.REGEXTEST(C239, "Repository Status"), "リポジトリのステータス状態", _xlfn.REGEXTEST(C239, "Monitor Long Running Task"), "長時間実行タスク（ジョブ）の監視", _xlfn.REGEXTEST(C239, "Token requests per second"), "1秒あたりのトークンリクエスト数（要求レート）", _xlfn.REGEXTEST(C239, "Connection Model Score"), "接続モデルスコア（コネクション品質）", _xlfn.REGEXTEST(C239, "Queue swap"), "キューのスワップ発生状態", _xlfn.REGEXTEST(C239, "NiFi Node Monitoring"), "NiFiノードの稼働状態監視", _xlfn.REGEXTEST(C239, "Host Clock Offset"), "ホストのクロックオフセット（時刻同期のズレ）", _xlfn.REGEXTEST(C239, "Memory Overcommit Validation"), "メモリオーバーコミット設定の検証", _xlfn.REGEXTEST(C239, "Gateway Logging"), "ゲートウェイのログ出力設定", _xlfn.REGEXTEST(C239, "CPU Balance"), "CPU使用率の分散バランス状態", _xlfn.REGEXTEST(C239, "Disk Balance"), "ディスク使用量の分散バランス状態", _xlfn.REGEXTEST(C239, "Network Inbound Balance"), "ネットワークインバウンド（受信）の分散バランス状態", _xlfn.REGEXTEST(C239, "Network Outbound Balance"), "ネットワークアウトバウンド（送信）の分散バランス状態", _xlfn.REGEXTEST(C239, "Replica Count Balance"), "レプリカ数の分散バランス状態", _xlfn.REGEXTEST(C239, "Disk Capacity"), "ディスク総容量の限界・使用容量", _xlfn.REGEXTEST(C239, "CPU Capacity"), "CPU総処理能力の限界・使用量", _xlfn.REGEXTEST(C239, "Network Inbound Capacity"), "ネットワークインバウンド（受信）帯域の限界・使用量", _xlfn.REGEXTEST(C239, "Network Outbound Capacity"), "ネットワークアウトバウンド（送信）帯域の限界・使用量", _xlfn.REGEXTEST(C239, "Leader Replica Count Balance"), "リーダーレプリカ数の分散バランス状態", _xlfn.REGEXTEST(C239, "Host DNS Resolution Duration"), "ホストのDNS名前解決の所要時間", _xlfn.REGEXTEST(C239, "TLS Certificate Expiry"), "TLS証明書の有効期限切れ", _xlfn.REGEXTEST(C239, "Host Entropy"), "ホストのエントロピー（乱数生成能力）の不足", _xlfn.REGEXTEST(C239, "File Descriptor"), "プロセスのファイルディスクリプタ使用率", _xlfn.REGEXTEST(C239, "Unexpected Exits"), "プロセスの異常終了（予期せぬ停止）", _xlfn.REGEXTEST(C239, "Swap Memory Thresholds"), "プロセスのスワップメモリ使用量", _xlfn.REGEXTEST(C239, "Swap Memory Usage Rate"), "スワップメモリ使用量の変化率（増加速度）", _xlfn.REGEXTEST(C239, "Log Directory Free Space.*Absolute"), "ログディレクトリの空き容量（絶対値）", _xlfn.REGEXTEST(C239, "Log Directory Free Space.*Percentage"), "ログディレクトリの空き容量割合（%）", _xlfn.REGEXTEST(C239, "Heap Dump Directory Free Space.*Absolute"), "ヒープダンプディレクトリの空き容量（絶対値）", _xlfn.REGEXTEST(C239, "Heap Dump Directory Free Space.*Percentage"), "ヒープダンプディレクトリの空き容量割合（%）", _xlfn.REGEXTEST(C239, "Data Directory Free Space.*Absolute"), "データディレクトリの空き容量（絶対値）", _xlfn.REGEXTEST(C239, "Data Directory Free Space.*Percentage"), "データディレクトリの空き容量割合（%）", _xlfn.REGEXTEST(C239, "Transaction Log Directory Free Space.*Absolute"), "トランザクションログディレクトリの空き容量（絶対値）", _xlfn.REGEXTEST(C239, "Logging Threshold|Logger Threshold"), "ログ出力レベルの閾値設定", _xlfn.REGEXTEST(C239, "Enable.*Alerts"), "ヘルスアラートの有効化状態", _xlfn.REGEXTEST(C239, "Triggers"), "カスタムアラート条件（トリガー設定）", _xlfn.REGEXTEST(C239, "Healthy Kafka Broker"), "Kafka Brokerの健全ノード割合（稼働率）", _xlfn.REGEXTEST(C239, "Healthy Kafka Connect"), "Kafka Connectの健全ノード割合（稼働率）", _xlfn.REGEXTEST(C239, "Healthy KRaft Controller"), "KRaft Controllerの健全ノード割合（稼働率）", _xlfn.REGEXTEST(C239, "Healthy Knox IDBroker"), "Knox IDBrokerの健全ノード割合（稼働率）", _xlfn.REGEXTEST(C239, "Healthy Knox Gateway"), "Knox Gatewayの健全ノード割合（稼働率）", _xlfn.REGEXTEST(C239, "Healthy ZooKeeper Server"), "ZooKeeper Serverの健全ノード割合（稼働率）", _xlfn.REGEXTEST(C239, "Healthy NodeManager"), "NodeManagerの健全ノード割合（稼働率）", _xlfn.REGEXTEST(C239, "Maximum Latency"), "リクエストの最大レイテンシ（処理遅延）", _xlfn.REGEXTEST(C239, "Garbage Collection Duration"), "Javaのガベージコレクション（GC）の所要時間", _xlfn.REGEXTEST(C239, "Spool Directory Usage"), "Rangerプラグインのスプールディレクトリ使用量", _xlfn.REGEXTEST(C239, "Process Directory Free Space Monitoring Absolute"), "プロセスディレクトリの空き容量（絶対値)", _xlfn.REGEXTEST(C239, "Process Directory Free Space.*Percentage"), "プロセスディレクトリの空き容量割合（%）", _xlfn.REGEXTEST(C239, "Parcel Directory Free Space.*Absolute"), "パーセルディレクトリの空き容量（絶対値）", _xlfn.REGEXTEST(C239, "Parcel Directory Free Space.*Percentage"), "パーセルディレクトリの空き容量割合（%）", _xlfn.REGEXTEST(C239, "Host Network Frame Error Percentage"), "ホストのネットワークフレームエラー割合（%）", _xlfn.REGEXTEST(C239, "Network Interfaces Slow Link Modes"), "ホストのネットワークインターフェースの低速リンクモード検出", _xlfn.REGEXTEST(C239, "Host Memory Swapping"), "ホストのメモリのスワップ発生状態", TRUE, "要手動確認")</f>
        <v>メモリオーバーコミット設定の検証</v>
      </c>
      <c r="H239" s="479">
        <v>0.8</v>
      </c>
    </row>
    <row r="240" spans="1:8" ht="16.899999999999999">
      <c r="A240" s="514"/>
      <c r="B240" s="472" t="s">
        <v>783</v>
      </c>
      <c r="C240" s="471" t="s">
        <v>784</v>
      </c>
      <c r="D240" s="471" t="s">
        <v>772</v>
      </c>
      <c r="E240" s="471" t="s">
        <v>785</v>
      </c>
      <c r="F240" s="471"/>
      <c r="G240" s="471" t="str" cm="1">
        <f t="array" ref="G240">_xlfn.IFS(C240 = "", "", _xlfn.REGEXTEST(C240, "Service Metric Migrator Minimum Consecutive Successful Checks"), "サービスメトリック移行ツールの連続正常チェック最小回数", _xlfn.REGEXTEST(C240, "Rebalancing"), "リバランシング（データ再配置）状態", _xlfn.REGEXTEST(C240, "Temporary Dump Directory"), "一時ダンプディレクトリの監視", _xlfn.REGEXTEST(C240, "Safemode Extension"), "セーフモード延長状態", _xlfn.REGEXTEST(C240, "Client Idle"), "クライアントのアイドル（待機）状態", _xlfn.REGEXTEST(C240, "Available Space Policy Balanced"), "空き容量ポリシーの分散バランス状態", _xlfn.REGEXTEST(C240, "Filesystem Checkpoint Transaction"), "ファイルシステムのチェックポイントトランザクション", _xlfn.REGEXTEST(C240, "Blocks With Corrupt Replicas Monitoring"), "破損レプリカを持つブロックの監視", _xlfn.REGEXTEST(C240, "Missing Block Monitoring"), "消失（ミッシング）ブロックの監視", _xlfn.REGEXTEST(C240, "Under-replicated Block Monitoring"), "レプリカ数不足ブロックの監視", _xlfn.REGEXTEST(C240, "HDFS Free Space Monitoring"), "HDFSの空き容量監視", _xlfn.REGEXTEST(C240, "DataNode Monitoring"), "DataNodeの稼働状態監視", _xlfn.REGEXTEST(C240, "Rules to Extract Events from Log Files"), "ログファイルからのイベント抽出ルール設定", _xlfn.REGEXTEST(C240, "Free Space Monitoring$"), "空き容量監視（一般設定）", _xlfn.REGEXTEST(C240, "Transceivers Usage"), "トランシーバー使用量（データ転送スレッド数）", _xlfn.REGEXTEST(C240, "Volume Failures"), "ボリューム障害（ディスクエラー）数", _xlfn.REGEXTEST(C240, "Block Count"), "ブロック総数", _xlfn.REGEXTEST(C240, "Audit Failure"), "監査（オーディット）ログの失敗イベント", _xlfn.REGEXTEST(C240, "Web Metric Collection Duration"), "Webメトリック収集の所要時間", _xlfn.REGEXTEST(C240, "Pause Duration"), "一時停止（ポーズ）の所要時間", _xlfn.REGEXTEST(C240, "Fsync Latency"), "Fsync（ディスク同期）のレイテンシ", _xlfn.REGEXTEST(C240, "Free Space Monitoring Absolute"), "空き容量（絶対値）", _xlfn.REGEXTEST(C240, "Free Space Monitoring Percentage"), "空き容量割合（%）", _xlfn.REGEXTEST(C240, "Age Monitoring"), "経過時間の監視", _xlfn.REGEXTEST(C240, "Transactions Monitoring"), "トランザクション数の監視", _xlfn.REGEXTEST(C240, "RPC Latency"), "RPC（遠隔手続き呼出し）のレイテンシ", _xlfn.REGEXTEST(C240, "Directory Failures"), "ディレクトリ障害数", _xlfn.REGEXTEST(C240, "Out-Of-Sync JournalNodes"), "同期ズレが発生しているJournalNode数", _xlfn.REGEXTEST(C240, "Safemode Threshold Percentage"), "セーフモード解除閾値の割合（%）", _xlfn.REGEXTEST(C240, "Kerberos Ticket Renewer Monitoring"), "Kerberosチケット更新プロセスの稼働状態監視", _xlfn.REGEXTEST(C240, "Load Balancer Monitoring"), "ロードバランサーの稼働状態監視", _xlfn.REGEXTEST(C240, "Navigator Audit Failure"), "Cloudera Navigator監査ログの失敗イベント", _xlfn.REGEXTEST(C240, "Schema Registry Server Monitoring"), "Schema Registry Serverの稼働状態監視", _xlfn.REGEXTEST(C240, "SRM Service Monitoring"), "SRMサービスの稼働状態監視", _xlfn.REGEXTEST(C240, "SRM Driver Monitoring"), "SRMドライバーの稼働状態監視", _xlfn.REGEXTEST(C240, "Loggin"), "ログ出力状態・設定監視", _xlfn.REGEXTEST(C240, "Server Monitoring"), "サーバーの稼働状態監視", _xlfn.REGEXTEST(C240, "Server Connection Count"), "サーバーの接続数（コネクション数）", _xlfn.REGEXTEST(C240, "Server Outstanding Requests"), "サーバーの未処理リクエスト数（滞留要求数）", _xlfn.REGEXTEST(C240, "Repository Status"), "リポジトリのステータス状態", _xlfn.REGEXTEST(C240, "Monitor Long Running Task"), "長時間実行タスク（ジョブ）の監視", _xlfn.REGEXTEST(C240, "Token requests per second"), "1秒あたりのトークンリクエスト数（要求レート）", _xlfn.REGEXTEST(C240, "Connection Model Score"), "接続モデルスコア（コネクション品質）", _xlfn.REGEXTEST(C240, "Queue swap"), "キューのスワップ発生状態", _xlfn.REGEXTEST(C240, "NiFi Node Monitoring"), "NiFiノードの稼働状態監視", _xlfn.REGEXTEST(C240, "Host Clock Offset"), "ホストのクロックオフセット（時刻同期のズレ）", _xlfn.REGEXTEST(C240, "Memory Overcommit Validation"), "メモリオーバーコミット設定の検証", _xlfn.REGEXTEST(C240, "Gateway Logging"), "ゲートウェイのログ出力設定", _xlfn.REGEXTEST(C240, "CPU Balance"), "CPU使用率の分散バランス状態", _xlfn.REGEXTEST(C240, "Disk Balance"), "ディスク使用量の分散バランス状態", _xlfn.REGEXTEST(C240, "Network Inbound Balance"), "ネットワークインバウンド（受信）の分散バランス状態", _xlfn.REGEXTEST(C240, "Network Outbound Balance"), "ネットワークアウトバウンド（送信）の分散バランス状態", _xlfn.REGEXTEST(C240, "Replica Count Balance"), "レプリカ数の分散バランス状態", _xlfn.REGEXTEST(C240, "Disk Capacity"), "ディスク総容量の限界・使用容量", _xlfn.REGEXTEST(C240, "CPU Capacity"), "CPU総処理能力の限界・使用量", _xlfn.REGEXTEST(C240, "Network Inbound Capacity"), "ネットワークインバウンド（受信）帯域の限界・使用量", _xlfn.REGEXTEST(C240, "Network Outbound Capacity"), "ネットワークアウトバウンド（送信）帯域の限界・使用量", _xlfn.REGEXTEST(C240, "Leader Replica Count Balance"), "リーダーレプリカ数の分散バランス状態", _xlfn.REGEXTEST(C240, "Host DNS Resolution Duration"), "ホストのDNS名前解決の所要時間", _xlfn.REGEXTEST(C240, "TLS Certificate Expiry"), "TLS証明書の有効期限切れ", _xlfn.REGEXTEST(C240, "Host Entropy"), "ホストのエントロピー（乱数生成能力）の不足", _xlfn.REGEXTEST(C240, "File Descriptor"), "プロセスのファイルディスクリプタ使用率", _xlfn.REGEXTEST(C240, "Unexpected Exits"), "プロセスの異常終了（予期せぬ停止）", _xlfn.REGEXTEST(C240, "Swap Memory Thresholds"), "プロセスのスワップメモリ使用量", _xlfn.REGEXTEST(C240, "Swap Memory Usage Rate"), "スワップメモリ使用量の変化率（増加速度）", _xlfn.REGEXTEST(C240, "Log Directory Free Space.*Absolute"), "ログディレクトリの空き容量（絶対値）", _xlfn.REGEXTEST(C240, "Log Directory Free Space.*Percentage"), "ログディレクトリの空き容量割合（%）", _xlfn.REGEXTEST(C240, "Heap Dump Directory Free Space.*Absolute"), "ヒープダンプディレクトリの空き容量（絶対値）", _xlfn.REGEXTEST(C240, "Heap Dump Directory Free Space.*Percentage"), "ヒープダンプディレクトリの空き容量割合（%）", _xlfn.REGEXTEST(C240, "Data Directory Free Space.*Absolute"), "データディレクトリの空き容量（絶対値）", _xlfn.REGEXTEST(C240, "Data Directory Free Space.*Percentage"), "データディレクトリの空き容量割合（%）", _xlfn.REGEXTEST(C240, "Transaction Log Directory Free Space.*Absolute"), "トランザクションログディレクトリの空き容量（絶対値）", _xlfn.REGEXTEST(C240, "Logging Threshold|Logger Threshold"), "ログ出力レベルの閾値設定", _xlfn.REGEXTEST(C240, "Enable.*Alerts"), "ヘルスアラートの有効化状態", _xlfn.REGEXTEST(C240, "Triggers"), "カスタムアラート条件（トリガー設定）", _xlfn.REGEXTEST(C240, "Healthy Kafka Broker"), "Kafka Brokerの健全ノード割合（稼働率）", _xlfn.REGEXTEST(C240, "Healthy Kafka Connect"), "Kafka Connectの健全ノード割合（稼働率）", _xlfn.REGEXTEST(C240, "Healthy KRaft Controller"), "KRaft Controllerの健全ノード割合（稼働率）", _xlfn.REGEXTEST(C240, "Healthy Knox IDBroker"), "Knox IDBrokerの健全ノード割合（稼働率）", _xlfn.REGEXTEST(C240, "Healthy Knox Gateway"), "Knox Gatewayの健全ノード割合（稼働率）", _xlfn.REGEXTEST(C240, "Healthy ZooKeeper Server"), "ZooKeeper Serverの健全ノード割合（稼働率）", _xlfn.REGEXTEST(C240, "Healthy NodeManager"), "NodeManagerの健全ノード割合（稼働率）", _xlfn.REGEXTEST(C240, "Maximum Latency"), "リクエストの最大レイテンシ（処理遅延）", _xlfn.REGEXTEST(C240, "Garbage Collection Duration"), "Javaのガベージコレクション（GC）の所要時間", _xlfn.REGEXTEST(C240, "Spool Directory Usage"), "Rangerプラグインのスプールディレクトリ使用量", _xlfn.REGEXTEST(C240, "Process Directory Free Space Monitoring Absolute"), "プロセスディレクトリの空き容量（絶対値)", _xlfn.REGEXTEST(C240, "Process Directory Free Space.*Percentage"), "プロセスディレクトリの空き容量割合（%）", _xlfn.REGEXTEST(C240, "Parcel Directory Free Space.*Absolute"), "パーセルディレクトリの空き容量（絶対値）", _xlfn.REGEXTEST(C240, "Parcel Directory Free Space.*Percentage"), "パーセルディレクトリの空き容量割合（%）", _xlfn.REGEXTEST(C240, "Host Network Frame Error Percentage"), "ホストのネットワークフレームエラー割合（%）", _xlfn.REGEXTEST(C240, "Network Interfaces Slow Link Modes"), "ホストのネットワークインターフェースの低速リンクモード検出", _xlfn.REGEXTEST(C240, "Host Memory Swapping"), "ホストのメモリのスワップ発生状態", TRUE, "要手動確認")</f>
        <v>ログ出力レベルの閾値設定</v>
      </c>
      <c r="H240" s="479" t="s">
        <v>775</v>
      </c>
    </row>
    <row r="241" spans="1:8" ht="16.899999999999999">
      <c r="A241" s="514"/>
      <c r="B241" s="473"/>
      <c r="C241" s="471" t="s">
        <v>786</v>
      </c>
      <c r="D241" s="471" t="s">
        <v>772</v>
      </c>
      <c r="E241" s="471" t="s">
        <v>787</v>
      </c>
      <c r="F241" s="471"/>
      <c r="G241" s="471" t="str" cm="1">
        <f t="array" ref="G241">_xlfn.IFS(C241 = "", "", _xlfn.REGEXTEST(C241, "Service Metric Migrator Minimum Consecutive Successful Checks"), "サービスメトリック移行ツールの連続正常チェック最小回数", _xlfn.REGEXTEST(C241, "Rebalancing"), "リバランシング（データ再配置）状態", _xlfn.REGEXTEST(C241, "Temporary Dump Directory"), "一時ダンプディレクトリの監視", _xlfn.REGEXTEST(C241, "Safemode Extension"), "セーフモード延長状態", _xlfn.REGEXTEST(C241, "Client Idle"), "クライアントのアイドル（待機）状態", _xlfn.REGEXTEST(C241, "Available Space Policy Balanced"), "空き容量ポリシーの分散バランス状態", _xlfn.REGEXTEST(C241, "Filesystem Checkpoint Transaction"), "ファイルシステムのチェックポイントトランザクション", _xlfn.REGEXTEST(C241, "Blocks With Corrupt Replicas Monitoring"), "破損レプリカを持つブロックの監視", _xlfn.REGEXTEST(C241, "Missing Block Monitoring"), "消失（ミッシング）ブロックの監視", _xlfn.REGEXTEST(C241, "Under-replicated Block Monitoring"), "レプリカ数不足ブロックの監視", _xlfn.REGEXTEST(C241, "HDFS Free Space Monitoring"), "HDFSの空き容量監視", _xlfn.REGEXTEST(C241, "DataNode Monitoring"), "DataNodeの稼働状態監視", _xlfn.REGEXTEST(C241, "Rules to Extract Events from Log Files"), "ログファイルからのイベント抽出ルール設定", _xlfn.REGEXTEST(C241, "Free Space Monitoring$"), "空き容量監視（一般設定）", _xlfn.REGEXTEST(C241, "Transceivers Usage"), "トランシーバー使用量（データ転送スレッド数）", _xlfn.REGEXTEST(C241, "Volume Failures"), "ボリューム障害（ディスクエラー）数", _xlfn.REGEXTEST(C241, "Block Count"), "ブロック総数", _xlfn.REGEXTEST(C241, "Audit Failure"), "監査（オーディット）ログの失敗イベント", _xlfn.REGEXTEST(C241, "Web Metric Collection Duration"), "Webメトリック収集の所要時間", _xlfn.REGEXTEST(C241, "Pause Duration"), "一時停止（ポーズ）の所要時間", _xlfn.REGEXTEST(C241, "Fsync Latency"), "Fsync（ディスク同期）のレイテンシ", _xlfn.REGEXTEST(C241, "Free Space Monitoring Absolute"), "空き容量（絶対値）", _xlfn.REGEXTEST(C241, "Free Space Monitoring Percentage"), "空き容量割合（%）", _xlfn.REGEXTEST(C241, "Age Monitoring"), "経過時間の監視", _xlfn.REGEXTEST(C241, "Transactions Monitoring"), "トランザクション数の監視", _xlfn.REGEXTEST(C241, "RPC Latency"), "RPC（遠隔手続き呼出し）のレイテンシ", _xlfn.REGEXTEST(C241, "Directory Failures"), "ディレクトリ障害数", _xlfn.REGEXTEST(C241, "Out-Of-Sync JournalNodes"), "同期ズレが発生しているJournalNode数", _xlfn.REGEXTEST(C241, "Safemode Threshold Percentage"), "セーフモード解除閾値の割合（%）", _xlfn.REGEXTEST(C241, "Kerberos Ticket Renewer Monitoring"), "Kerberosチケット更新プロセスの稼働状態監視", _xlfn.REGEXTEST(C241, "Load Balancer Monitoring"), "ロードバランサーの稼働状態監視", _xlfn.REGEXTEST(C241, "Navigator Audit Failure"), "Cloudera Navigator監査ログの失敗イベント", _xlfn.REGEXTEST(C241, "Schema Registry Server Monitoring"), "Schema Registry Serverの稼働状態監視", _xlfn.REGEXTEST(C241, "SRM Service Monitoring"), "SRMサービスの稼働状態監視", _xlfn.REGEXTEST(C241, "SRM Driver Monitoring"), "SRMドライバーの稼働状態監視", _xlfn.REGEXTEST(C241, "Loggin"), "ログ出力状態・設定監視", _xlfn.REGEXTEST(C241, "Server Monitoring"), "サーバーの稼働状態監視", _xlfn.REGEXTEST(C241, "Server Connection Count"), "サーバーの接続数（コネクション数）", _xlfn.REGEXTEST(C241, "Server Outstanding Requests"), "サーバーの未処理リクエスト数（滞留要求数）", _xlfn.REGEXTEST(C241, "Repository Status"), "リポジトリのステータス状態", _xlfn.REGEXTEST(C241, "Monitor Long Running Task"), "長時間実行タスク（ジョブ）の監視", _xlfn.REGEXTEST(C241, "Token requests per second"), "1秒あたりのトークンリクエスト数（要求レート）", _xlfn.REGEXTEST(C241, "Connection Model Score"), "接続モデルスコア（コネクション品質）", _xlfn.REGEXTEST(C241, "Queue swap"), "キューのスワップ発生状態", _xlfn.REGEXTEST(C241, "NiFi Node Monitoring"), "NiFiノードの稼働状態監視", _xlfn.REGEXTEST(C241, "Host Clock Offset"), "ホストのクロックオフセット（時刻同期のズレ）", _xlfn.REGEXTEST(C241, "Memory Overcommit Validation"), "メモリオーバーコミット設定の検証", _xlfn.REGEXTEST(C241, "Gateway Logging"), "ゲートウェイのログ出力設定", _xlfn.REGEXTEST(C241, "CPU Balance"), "CPU使用率の分散バランス状態", _xlfn.REGEXTEST(C241, "Disk Balance"), "ディスク使用量の分散バランス状態", _xlfn.REGEXTEST(C241, "Network Inbound Balance"), "ネットワークインバウンド（受信）の分散バランス状態", _xlfn.REGEXTEST(C241, "Network Outbound Balance"), "ネットワークアウトバウンド（送信）の分散バランス状態", _xlfn.REGEXTEST(C241, "Replica Count Balance"), "レプリカ数の分散バランス状態", _xlfn.REGEXTEST(C241, "Disk Capacity"), "ディスク総容量の限界・使用容量", _xlfn.REGEXTEST(C241, "CPU Capacity"), "CPU総処理能力の限界・使用量", _xlfn.REGEXTEST(C241, "Network Inbound Capacity"), "ネットワークインバウンド（受信）帯域の限界・使用量", _xlfn.REGEXTEST(C241, "Network Outbound Capacity"), "ネットワークアウトバウンド（送信）帯域の限界・使用量", _xlfn.REGEXTEST(C241, "Leader Replica Count Balance"), "リーダーレプリカ数の分散バランス状態", _xlfn.REGEXTEST(C241, "Host DNS Resolution Duration"), "ホストのDNS名前解決の所要時間", _xlfn.REGEXTEST(C241, "TLS Certificate Expiry"), "TLS証明書の有効期限切れ", _xlfn.REGEXTEST(C241, "Host Entropy"), "ホストのエントロピー（乱数生成能力）の不足", _xlfn.REGEXTEST(C241, "File Descriptor"), "プロセスのファイルディスクリプタ使用率", _xlfn.REGEXTEST(C241, "Unexpected Exits"), "プロセスの異常終了（予期せぬ停止）", _xlfn.REGEXTEST(C241, "Swap Memory Thresholds"), "プロセスのスワップメモリ使用量", _xlfn.REGEXTEST(C241, "Swap Memory Usage Rate"), "スワップメモリ使用量の変化率（増加速度）", _xlfn.REGEXTEST(C241, "Log Directory Free Space.*Absolute"), "ログディレクトリの空き容量（絶対値）", _xlfn.REGEXTEST(C241, "Log Directory Free Space.*Percentage"), "ログディレクトリの空き容量割合（%）", _xlfn.REGEXTEST(C241, "Heap Dump Directory Free Space.*Absolute"), "ヒープダンプディレクトリの空き容量（絶対値）", _xlfn.REGEXTEST(C241, "Heap Dump Directory Free Space.*Percentage"), "ヒープダンプディレクトリの空き容量割合（%）", _xlfn.REGEXTEST(C241, "Data Directory Free Space.*Absolute"), "データディレクトリの空き容量（絶対値）", _xlfn.REGEXTEST(C241, "Data Directory Free Space.*Percentage"), "データディレクトリの空き容量割合（%）", _xlfn.REGEXTEST(C241, "Transaction Log Directory Free Space.*Absolute"), "トランザクションログディレクトリの空き容量（絶対値）", _xlfn.REGEXTEST(C241, "Logging Threshold|Logger Threshold"), "ログ出力レベルの閾値設定", _xlfn.REGEXTEST(C241, "Enable.*Alerts"), "ヘルスアラートの有効化状態", _xlfn.REGEXTEST(C241, "Triggers"), "カスタムアラート条件（トリガー設定）", _xlfn.REGEXTEST(C241, "Healthy Kafka Broker"), "Kafka Brokerの健全ノード割合（稼働率）", _xlfn.REGEXTEST(C241, "Healthy Kafka Connect"), "Kafka Connectの健全ノード割合（稼働率）", _xlfn.REGEXTEST(C241, "Healthy KRaft Controller"), "KRaft Controllerの健全ノード割合（稼働率）", _xlfn.REGEXTEST(C241, "Healthy Knox IDBroker"), "Knox IDBrokerの健全ノード割合（稼働率）", _xlfn.REGEXTEST(C241, "Healthy Knox Gateway"), "Knox Gatewayの健全ノード割合（稼働率）", _xlfn.REGEXTEST(C241, "Healthy ZooKeeper Server"), "ZooKeeper Serverの健全ノード割合（稼働率）", _xlfn.REGEXTEST(C241, "Healthy NodeManager"), "NodeManagerの健全ノード割合（稼働率）", _xlfn.REGEXTEST(C241, "Maximum Latency"), "リクエストの最大レイテンシ（処理遅延）", _xlfn.REGEXTEST(C241, "Garbage Collection Duration"), "Javaのガベージコレクション（GC）の所要時間", _xlfn.REGEXTEST(C241, "Spool Directory Usage"), "Rangerプラグインのスプールディレクトリ使用量", _xlfn.REGEXTEST(C241, "Process Directory Free Space Monitoring Absolute"), "プロセスディレクトリの空き容量（絶対値)", _xlfn.REGEXTEST(C241, "Process Directory Free Space.*Percentage"), "プロセスディレクトリの空き容量割合（%）", _xlfn.REGEXTEST(C241, "Parcel Directory Free Space.*Absolute"), "パーセルディレクトリの空き容量（絶対値）", _xlfn.REGEXTEST(C241, "Parcel Directory Free Space.*Percentage"), "パーセルディレクトリの空き容量割合（%）", _xlfn.REGEXTEST(C241, "Host Network Frame Error Percentage"), "ホストのネットワークフレームエラー割合（%）", _xlfn.REGEXTEST(C241, "Network Interfaces Slow Link Modes"), "ホストのネットワークインターフェースの低速リンクモード検出", _xlfn.REGEXTEST(C241, "Host Memory Swapping"), "ホストのメモリのスワップ発生状態", TRUE, "要手動確認")</f>
        <v>ログ出力状態・設定監視</v>
      </c>
      <c r="H241" s="479" t="s">
        <v>775</v>
      </c>
    </row>
    <row r="242" spans="1:8" ht="16.899999999999999">
      <c r="A242" s="514"/>
      <c r="B242" s="473"/>
      <c r="C242" s="471" t="s">
        <v>788</v>
      </c>
      <c r="D242" s="471" t="s">
        <v>710</v>
      </c>
      <c r="E242" s="471" t="s">
        <v>789</v>
      </c>
      <c r="F242" s="471"/>
      <c r="G242" s="471" t="str" cm="1">
        <f t="array" ref="G242">_xlfn.IFS(C242 = "", "", _xlfn.REGEXTEST(C242, "Service Metric Migrator Minimum Consecutive Successful Checks"), "サービスメトリック移行ツールの連続正常チェック最小回数", _xlfn.REGEXTEST(C242, "Rebalancing"), "リバランシング（データ再配置）状態", _xlfn.REGEXTEST(C242, "Temporary Dump Directory"), "一時ダンプディレクトリの監視", _xlfn.REGEXTEST(C242, "Safemode Extension"), "セーフモード延長状態", _xlfn.REGEXTEST(C242, "Client Idle"), "クライアントのアイドル（待機）状態", _xlfn.REGEXTEST(C242, "Available Space Policy Balanced"), "空き容量ポリシーの分散バランス状態", _xlfn.REGEXTEST(C242, "Filesystem Checkpoint Transaction"), "ファイルシステムのチェックポイントトランザクション", _xlfn.REGEXTEST(C242, "Blocks With Corrupt Replicas Monitoring"), "破損レプリカを持つブロックの監視", _xlfn.REGEXTEST(C242, "Missing Block Monitoring"), "消失（ミッシング）ブロックの監視", _xlfn.REGEXTEST(C242, "Under-replicated Block Monitoring"), "レプリカ数不足ブロックの監視", _xlfn.REGEXTEST(C242, "HDFS Free Space Monitoring"), "HDFSの空き容量監視", _xlfn.REGEXTEST(C242, "DataNode Monitoring"), "DataNodeの稼働状態監視", _xlfn.REGEXTEST(C242, "Rules to Extract Events from Log Files"), "ログファイルからのイベント抽出ルール設定", _xlfn.REGEXTEST(C242, "Free Space Monitoring$"), "空き容量監視（一般設定）", _xlfn.REGEXTEST(C242, "Transceivers Usage"), "トランシーバー使用量（データ転送スレッド数）", _xlfn.REGEXTEST(C242, "Volume Failures"), "ボリューム障害（ディスクエラー）数", _xlfn.REGEXTEST(C242, "Block Count"), "ブロック総数", _xlfn.REGEXTEST(C242, "Audit Failure"), "監査（オーディット）ログの失敗イベント", _xlfn.REGEXTEST(C242, "Web Metric Collection Duration"), "Webメトリック収集の所要時間", _xlfn.REGEXTEST(C242, "Pause Duration"), "一時停止（ポーズ）の所要時間", _xlfn.REGEXTEST(C242, "Fsync Latency"), "Fsync（ディスク同期）のレイテンシ", _xlfn.REGEXTEST(C242, "Free Space Monitoring Absolute"), "空き容量（絶対値）", _xlfn.REGEXTEST(C242, "Free Space Monitoring Percentage"), "空き容量割合（%）", _xlfn.REGEXTEST(C242, "Age Monitoring"), "経過時間の監視", _xlfn.REGEXTEST(C242, "Transactions Monitoring"), "トランザクション数の監視", _xlfn.REGEXTEST(C242, "RPC Latency"), "RPC（遠隔手続き呼出し）のレイテンシ", _xlfn.REGEXTEST(C242, "Directory Failures"), "ディレクトリ障害数", _xlfn.REGEXTEST(C242, "Out-Of-Sync JournalNodes"), "同期ズレが発生しているJournalNode数", _xlfn.REGEXTEST(C242, "Safemode Threshold Percentage"), "セーフモード解除閾値の割合（%）", _xlfn.REGEXTEST(C242, "Kerberos Ticket Renewer Monitoring"), "Kerberosチケット更新プロセスの稼働状態監視", _xlfn.REGEXTEST(C242, "Load Balancer Monitoring"), "ロードバランサーの稼働状態監視", _xlfn.REGEXTEST(C242, "Navigator Audit Failure"), "Cloudera Navigator監査ログの失敗イベント", _xlfn.REGEXTEST(C242, "Schema Registry Server Monitoring"), "Schema Registry Serverの稼働状態監視", _xlfn.REGEXTEST(C242, "SRM Service Monitoring"), "SRMサービスの稼働状態監視", _xlfn.REGEXTEST(C242, "SRM Driver Monitoring"), "SRMドライバーの稼働状態監視", _xlfn.REGEXTEST(C242, "Loggin"), "ログ出力状態・設定監視", _xlfn.REGEXTEST(C242, "Server Monitoring"), "サーバーの稼働状態監視", _xlfn.REGEXTEST(C242, "Server Connection Count"), "サーバーの接続数（コネクション数）", _xlfn.REGEXTEST(C242, "Server Outstanding Requests"), "サーバーの未処理リクエスト数（滞留要求数）", _xlfn.REGEXTEST(C242, "Repository Status"), "リポジトリのステータス状態", _xlfn.REGEXTEST(C242, "Monitor Long Running Task"), "長時間実行タスク（ジョブ）の監視", _xlfn.REGEXTEST(C242, "Token requests per second"), "1秒あたりのトークンリクエスト数（要求レート）", _xlfn.REGEXTEST(C242, "Connection Model Score"), "接続モデルスコア（コネクション品質）", _xlfn.REGEXTEST(C242, "Queue swap"), "キューのスワップ発生状態", _xlfn.REGEXTEST(C242, "NiFi Node Monitoring"), "NiFiノードの稼働状態監視", _xlfn.REGEXTEST(C242, "Host Clock Offset"), "ホストのクロックオフセット（時刻同期のズレ）", _xlfn.REGEXTEST(C242, "Memory Overcommit Validation"), "メモリオーバーコミット設定の検証", _xlfn.REGEXTEST(C242, "Gateway Logging"), "ゲートウェイのログ出力設定", _xlfn.REGEXTEST(C242, "CPU Balance"), "CPU使用率の分散バランス状態", _xlfn.REGEXTEST(C242, "Disk Balance"), "ディスク使用量の分散バランス状態", _xlfn.REGEXTEST(C242, "Network Inbound Balance"), "ネットワークインバウンド（受信）の分散バランス状態", _xlfn.REGEXTEST(C242, "Network Outbound Balance"), "ネットワークアウトバウンド（送信）の分散バランス状態", _xlfn.REGEXTEST(C242, "Replica Count Balance"), "レプリカ数の分散バランス状態", _xlfn.REGEXTEST(C242, "Disk Capacity"), "ディスク総容量の限界・使用容量", _xlfn.REGEXTEST(C242, "CPU Capacity"), "CPU総処理能力の限界・使用量", _xlfn.REGEXTEST(C242, "Network Inbound Capacity"), "ネットワークインバウンド（受信）帯域の限界・使用量", _xlfn.REGEXTEST(C242, "Network Outbound Capacity"), "ネットワークアウトバウンド（送信）帯域の限界・使用量", _xlfn.REGEXTEST(C242, "Leader Replica Count Balance"), "リーダーレプリカ数の分散バランス状態", _xlfn.REGEXTEST(C242, "Host DNS Resolution Duration"), "ホストのDNS名前解決の所要時間", _xlfn.REGEXTEST(C242, "TLS Certificate Expiry"), "TLS証明書の有効期限切れ", _xlfn.REGEXTEST(C242, "Host Entropy"), "ホストのエントロピー（乱数生成能力）の不足", _xlfn.REGEXTEST(C242, "File Descriptor"), "プロセスのファイルディスクリプタ使用率", _xlfn.REGEXTEST(C242, "Unexpected Exits"), "プロセスの異常終了（予期せぬ停止）", _xlfn.REGEXTEST(C242, "Swap Memory Thresholds"), "プロセスのスワップメモリ使用量", _xlfn.REGEXTEST(C242, "Swap Memory Usage Rate"), "スワップメモリ使用量の変化率（増加速度）", _xlfn.REGEXTEST(C242, "Log Directory Free Space.*Absolute"), "ログディレクトリの空き容量（絶対値）", _xlfn.REGEXTEST(C242, "Log Directory Free Space.*Percentage"), "ログディレクトリの空き容量割合（%）", _xlfn.REGEXTEST(C242, "Heap Dump Directory Free Space.*Absolute"), "ヒープダンプディレクトリの空き容量（絶対値）", _xlfn.REGEXTEST(C242, "Heap Dump Directory Free Space.*Percentage"), "ヒープダンプディレクトリの空き容量割合（%）", _xlfn.REGEXTEST(C242, "Data Directory Free Space.*Absolute"), "データディレクトリの空き容量（絶対値）", _xlfn.REGEXTEST(C242, "Data Directory Free Space.*Percentage"), "データディレクトリの空き容量割合（%）", _xlfn.REGEXTEST(C242, "Transaction Log Directory Free Space.*Absolute"), "トランザクションログディレクトリの空き容量（絶対値）", _xlfn.REGEXTEST(C242, "Logging Threshold|Logger Threshold"), "ログ出力レベルの閾値設定", _xlfn.REGEXTEST(C242, "Enable.*Alerts"), "ヘルスアラートの有効化状態", _xlfn.REGEXTEST(C242, "Triggers"), "カスタムアラート条件（トリガー設定）", _xlfn.REGEXTEST(C242, "Healthy Kafka Broker"), "Kafka Brokerの健全ノード割合（稼働率）", _xlfn.REGEXTEST(C242, "Healthy Kafka Connect"), "Kafka Connectの健全ノード割合（稼働率）", _xlfn.REGEXTEST(C242, "Healthy KRaft Controller"), "KRaft Controllerの健全ノード割合（稼働率）", _xlfn.REGEXTEST(C242, "Healthy Knox IDBroker"), "Knox IDBrokerの健全ノード割合（稼働率）", _xlfn.REGEXTEST(C242, "Healthy Knox Gateway"), "Knox Gatewayの健全ノード割合（稼働率）", _xlfn.REGEXTEST(C242, "Healthy ZooKeeper Server"), "ZooKeeper Serverの健全ノード割合（稼働率）", _xlfn.REGEXTEST(C242, "Healthy NodeManager"), "NodeManagerの健全ノード割合（稼働率）", _xlfn.REGEXTEST(C242, "Maximum Latency"), "リクエストの最大レイテンシ（処理遅延）", _xlfn.REGEXTEST(C242, "Garbage Collection Duration"), "Javaのガベージコレクション（GC）の所要時間", _xlfn.REGEXTEST(C242, "Spool Directory Usage"), "Rangerプラグインのスプールディレクトリ使用量", _xlfn.REGEXTEST(C242, "Process Directory Free Space Monitoring Absolute"), "プロセスディレクトリの空き容量（絶対値)", _xlfn.REGEXTEST(C242, "Process Directory Free Space.*Percentage"), "プロセスディレクトリの空き容量割合（%）", _xlfn.REGEXTEST(C242, "Parcel Directory Free Space.*Absolute"), "パーセルディレクトリの空き容量（絶対値）", _xlfn.REGEXTEST(C242, "Parcel Directory Free Space.*Percentage"), "パーセルディレクトリの空き容量割合（%）", _xlfn.REGEXTEST(C242, "Host Network Frame Error Percentage"), "ホストのネットワークフレームエラー割合（%）", _xlfn.REGEXTEST(C242, "Network Interfaces Slow Link Modes"), "ホストのネットワークインターフェースの低速リンクモード検出", _xlfn.REGEXTEST(C242, "Host Memory Swapping"), "ホストのメモリのスワップ発生状態", TRUE, "要手動確認")</f>
        <v>ヘルスアラートの有効化状態</v>
      </c>
      <c r="H242" s="479" t="s">
        <v>790</v>
      </c>
    </row>
    <row r="243" spans="1:8" ht="16.899999999999999">
      <c r="A243" s="514"/>
      <c r="B243" s="473"/>
      <c r="C243" s="471" t="s">
        <v>791</v>
      </c>
      <c r="D243" s="471" t="s">
        <v>792</v>
      </c>
      <c r="E243" s="471" t="s">
        <v>789</v>
      </c>
      <c r="F243" s="471"/>
      <c r="G243" s="471" t="str" cm="1">
        <f t="array" ref="G243">_xlfn.IFS(C243 = "", "", _xlfn.REGEXTEST(C243, "Service Metric Migrator Minimum Consecutive Successful Checks"), "サービスメトリック移行ツールの連続正常チェック最小回数", _xlfn.REGEXTEST(C243, "Rebalancing"), "リバランシング（データ再配置）状態", _xlfn.REGEXTEST(C243, "Temporary Dump Directory"), "一時ダンプディレクトリの監視", _xlfn.REGEXTEST(C243, "Safemode Extension"), "セーフモード延長状態", _xlfn.REGEXTEST(C243, "Client Idle"), "クライアントのアイドル（待機）状態", _xlfn.REGEXTEST(C243, "Available Space Policy Balanced"), "空き容量ポリシーの分散バランス状態", _xlfn.REGEXTEST(C243, "Filesystem Checkpoint Transaction"), "ファイルシステムのチェックポイントトランザクション", _xlfn.REGEXTEST(C243, "Blocks With Corrupt Replicas Monitoring"), "破損レプリカを持つブロックの監視", _xlfn.REGEXTEST(C243, "Missing Block Monitoring"), "消失（ミッシング）ブロックの監視", _xlfn.REGEXTEST(C243, "Under-replicated Block Monitoring"), "レプリカ数不足ブロックの監視", _xlfn.REGEXTEST(C243, "HDFS Free Space Monitoring"), "HDFSの空き容量監視", _xlfn.REGEXTEST(C243, "DataNode Monitoring"), "DataNodeの稼働状態監視", _xlfn.REGEXTEST(C243, "Rules to Extract Events from Log Files"), "ログファイルからのイベント抽出ルール設定", _xlfn.REGEXTEST(C243, "Free Space Monitoring$"), "空き容量監視（一般設定）", _xlfn.REGEXTEST(C243, "Transceivers Usage"), "トランシーバー使用量（データ転送スレッド数）", _xlfn.REGEXTEST(C243, "Volume Failures"), "ボリューム障害（ディスクエラー）数", _xlfn.REGEXTEST(C243, "Block Count"), "ブロック総数", _xlfn.REGEXTEST(C243, "Audit Failure"), "監査（オーディット）ログの失敗イベント", _xlfn.REGEXTEST(C243, "Web Metric Collection Duration"), "Webメトリック収集の所要時間", _xlfn.REGEXTEST(C243, "Pause Duration"), "一時停止（ポーズ）の所要時間", _xlfn.REGEXTEST(C243, "Fsync Latency"), "Fsync（ディスク同期）のレイテンシ", _xlfn.REGEXTEST(C243, "Free Space Monitoring Absolute"), "空き容量（絶対値）", _xlfn.REGEXTEST(C243, "Free Space Monitoring Percentage"), "空き容量割合（%）", _xlfn.REGEXTEST(C243, "Age Monitoring"), "経過時間の監視", _xlfn.REGEXTEST(C243, "Transactions Monitoring"), "トランザクション数の監視", _xlfn.REGEXTEST(C243, "RPC Latency"), "RPC（遠隔手続き呼出し）のレイテンシ", _xlfn.REGEXTEST(C243, "Directory Failures"), "ディレクトリ障害数", _xlfn.REGEXTEST(C243, "Out-Of-Sync JournalNodes"), "同期ズレが発生しているJournalNode数", _xlfn.REGEXTEST(C243, "Safemode Threshold Percentage"), "セーフモード解除閾値の割合（%）", _xlfn.REGEXTEST(C243, "Kerberos Ticket Renewer Monitoring"), "Kerberosチケット更新プロセスの稼働状態監視", _xlfn.REGEXTEST(C243, "Load Balancer Monitoring"), "ロードバランサーの稼働状態監視", _xlfn.REGEXTEST(C243, "Navigator Audit Failure"), "Cloudera Navigator監査ログの失敗イベント", _xlfn.REGEXTEST(C243, "Schema Registry Server Monitoring"), "Schema Registry Serverの稼働状態監視", _xlfn.REGEXTEST(C243, "SRM Service Monitoring"), "SRMサービスの稼働状態監視", _xlfn.REGEXTEST(C243, "SRM Driver Monitoring"), "SRMドライバーの稼働状態監視", _xlfn.REGEXTEST(C243, "Loggin"), "ログ出力状態・設定監視", _xlfn.REGEXTEST(C243, "Server Monitoring"), "サーバーの稼働状態監視", _xlfn.REGEXTEST(C243, "Server Connection Count"), "サーバーの接続数（コネクション数）", _xlfn.REGEXTEST(C243, "Server Outstanding Requests"), "サーバーの未処理リクエスト数（滞留要求数）", _xlfn.REGEXTEST(C243, "Repository Status"), "リポジトリのステータス状態", _xlfn.REGEXTEST(C243, "Monitor Long Running Task"), "長時間実行タスク（ジョブ）の監視", _xlfn.REGEXTEST(C243, "Token requests per second"), "1秒あたりのトークンリクエスト数（要求レート）", _xlfn.REGEXTEST(C243, "Connection Model Score"), "接続モデルスコア（コネクション品質）", _xlfn.REGEXTEST(C243, "Queue swap"), "キューのスワップ発生状態", _xlfn.REGEXTEST(C243, "NiFi Node Monitoring"), "NiFiノードの稼働状態監視", _xlfn.REGEXTEST(C243, "Host Clock Offset"), "ホストのクロックオフセット（時刻同期のズレ）", _xlfn.REGEXTEST(C243, "Memory Overcommit Validation"), "メモリオーバーコミット設定の検証", _xlfn.REGEXTEST(C243, "Gateway Logging"), "ゲートウェイのログ出力設定", _xlfn.REGEXTEST(C243, "CPU Balance"), "CPU使用率の分散バランス状態", _xlfn.REGEXTEST(C243, "Disk Balance"), "ディスク使用量の分散バランス状態", _xlfn.REGEXTEST(C243, "Network Inbound Balance"), "ネットワークインバウンド（受信）の分散バランス状態", _xlfn.REGEXTEST(C243, "Network Outbound Balance"), "ネットワークアウトバウンド（送信）の分散バランス状態", _xlfn.REGEXTEST(C243, "Replica Count Balance"), "レプリカ数の分散バランス状態", _xlfn.REGEXTEST(C243, "Disk Capacity"), "ディスク総容量の限界・使用容量", _xlfn.REGEXTEST(C243, "CPU Capacity"), "CPU総処理能力の限界・使用量", _xlfn.REGEXTEST(C243, "Network Inbound Capacity"), "ネットワークインバウンド（受信）帯域の限界・使用量", _xlfn.REGEXTEST(C243, "Network Outbound Capacity"), "ネットワークアウトバウンド（送信）帯域の限界・使用量", _xlfn.REGEXTEST(C243, "Leader Replica Count Balance"), "リーダーレプリカ数の分散バランス状態", _xlfn.REGEXTEST(C243, "Host DNS Resolution Duration"), "ホストのDNS名前解決の所要時間", _xlfn.REGEXTEST(C243, "TLS Certificate Expiry"), "TLS証明書の有効期限切れ", _xlfn.REGEXTEST(C243, "Host Entropy"), "ホストのエントロピー（乱数生成能力）の不足", _xlfn.REGEXTEST(C243, "File Descriptor"), "プロセスのファイルディスクリプタ使用率", _xlfn.REGEXTEST(C243, "Unexpected Exits"), "プロセスの異常終了（予期せぬ停止）", _xlfn.REGEXTEST(C243, "Swap Memory Thresholds"), "プロセスのスワップメモリ使用量", _xlfn.REGEXTEST(C243, "Swap Memory Usage Rate"), "スワップメモリ使用量の変化率（増加速度）", _xlfn.REGEXTEST(C243, "Log Directory Free Space.*Absolute"), "ログディレクトリの空き容量（絶対値）", _xlfn.REGEXTEST(C243, "Log Directory Free Space.*Percentage"), "ログディレクトリの空き容量割合（%）", _xlfn.REGEXTEST(C243, "Heap Dump Directory Free Space.*Absolute"), "ヒープダンプディレクトリの空き容量（絶対値）", _xlfn.REGEXTEST(C243, "Heap Dump Directory Free Space.*Percentage"), "ヒープダンプディレクトリの空き容量割合（%）", _xlfn.REGEXTEST(C243, "Data Directory Free Space.*Absolute"), "データディレクトリの空き容量（絶対値）", _xlfn.REGEXTEST(C243, "Data Directory Free Space.*Percentage"), "データディレクトリの空き容量割合（%）", _xlfn.REGEXTEST(C243, "Transaction Log Directory Free Space.*Absolute"), "トランザクションログディレクトリの空き容量（絶対値）", _xlfn.REGEXTEST(C243, "Logging Threshold|Logger Threshold"), "ログ出力レベルの閾値設定", _xlfn.REGEXTEST(C243, "Enable.*Alerts"), "ヘルスアラートの有効化状態", _xlfn.REGEXTEST(C243, "Triggers"), "カスタムアラート条件（トリガー設定）", _xlfn.REGEXTEST(C243, "Healthy Kafka Broker"), "Kafka Brokerの健全ノード割合（稼働率）", _xlfn.REGEXTEST(C243, "Healthy Kafka Connect"), "Kafka Connectの健全ノード割合（稼働率）", _xlfn.REGEXTEST(C243, "Healthy KRaft Controller"), "KRaft Controllerの健全ノード割合（稼働率）", _xlfn.REGEXTEST(C243, "Healthy Knox IDBroker"), "Knox IDBrokerの健全ノード割合（稼働率）", _xlfn.REGEXTEST(C243, "Healthy Knox Gateway"), "Knox Gatewayの健全ノード割合（稼働率）", _xlfn.REGEXTEST(C243, "Healthy ZooKeeper Server"), "ZooKeeper Serverの健全ノード割合（稼働率）", _xlfn.REGEXTEST(C243, "Healthy NodeManager"), "NodeManagerの健全ノード割合（稼働率）", _xlfn.REGEXTEST(C243, "Maximum Latency"), "リクエストの最大レイテンシ（処理遅延）", _xlfn.REGEXTEST(C243, "Garbage Collection Duration"), "Javaのガベージコレクション（GC）の所要時間", _xlfn.REGEXTEST(C243, "Spool Directory Usage"), "Rangerプラグインのスプールディレクトリ使用量", _xlfn.REGEXTEST(C243, "Process Directory Free Space Monitoring Absolute"), "プロセスディレクトリの空き容量（絶対値)", _xlfn.REGEXTEST(C243, "Process Directory Free Space.*Percentage"), "プロセスディレクトリの空き容量割合（%）", _xlfn.REGEXTEST(C243, "Parcel Directory Free Space.*Absolute"), "パーセルディレクトリの空き容量（絶対値）", _xlfn.REGEXTEST(C243, "Parcel Directory Free Space.*Percentage"), "パーセルディレクトリの空き容量割合（%）", _xlfn.REGEXTEST(C243, "Host Network Frame Error Percentage"), "ホストのネットワークフレームエラー割合（%）", _xlfn.REGEXTEST(C243, "Network Interfaces Slow Link Modes"), "ホストのネットワークインターフェースの低速リンクモード検出", _xlfn.REGEXTEST(C243, "Host Memory Swapping"), "ホストのメモリのスワップ発生状態", TRUE, "要手動確認")</f>
        <v>カスタムアラート条件（トリガー設定）</v>
      </c>
      <c r="H243" s="479" t="s">
        <v>754</v>
      </c>
    </row>
    <row r="244" spans="1:8" ht="33.6">
      <c r="A244" s="514"/>
      <c r="B244" s="473"/>
      <c r="C244" s="471" t="s">
        <v>793</v>
      </c>
      <c r="D244" s="471" t="s">
        <v>794</v>
      </c>
      <c r="E244" s="471" t="s">
        <v>789</v>
      </c>
      <c r="F244" s="471"/>
      <c r="G244" s="471" t="str" cm="1">
        <f t="array" ref="G244">_xlfn.IFS(C244 = "", "", _xlfn.REGEXTEST(C244, "Service Metric Migrator Minimum Consecutive Successful Checks"), "サービスメトリック移行ツールの連続正常チェック最小回数", _xlfn.REGEXTEST(C244, "Rebalancing"), "リバランシング（データ再配置）状態", _xlfn.REGEXTEST(C244, "Temporary Dump Directory"), "一時ダンプディレクトリの監視", _xlfn.REGEXTEST(C244, "Safemode Extension"), "セーフモード延長状態", _xlfn.REGEXTEST(C244, "Client Idle"), "クライアントのアイドル（待機）状態", _xlfn.REGEXTEST(C244, "Available Space Policy Balanced"), "空き容量ポリシーの分散バランス状態", _xlfn.REGEXTEST(C244, "Filesystem Checkpoint Transaction"), "ファイルシステムのチェックポイントトランザクション", _xlfn.REGEXTEST(C244, "Blocks With Corrupt Replicas Monitoring"), "破損レプリカを持つブロックの監視", _xlfn.REGEXTEST(C244, "Missing Block Monitoring"), "消失（ミッシング）ブロックの監視", _xlfn.REGEXTEST(C244, "Under-replicated Block Monitoring"), "レプリカ数不足ブロックの監視", _xlfn.REGEXTEST(C244, "HDFS Free Space Monitoring"), "HDFSの空き容量監視", _xlfn.REGEXTEST(C244, "DataNode Monitoring"), "DataNodeの稼働状態監視", _xlfn.REGEXTEST(C244, "Rules to Extract Events from Log Files"), "ログファイルからのイベント抽出ルール設定", _xlfn.REGEXTEST(C244, "Free Space Monitoring$"), "空き容量監視（一般設定）", _xlfn.REGEXTEST(C244, "Transceivers Usage"), "トランシーバー使用量（データ転送スレッド数）", _xlfn.REGEXTEST(C244, "Volume Failures"), "ボリューム障害（ディスクエラー）数", _xlfn.REGEXTEST(C244, "Block Count"), "ブロック総数", _xlfn.REGEXTEST(C244, "Audit Failure"), "監査（オーディット）ログの失敗イベント", _xlfn.REGEXTEST(C244, "Web Metric Collection Duration"), "Webメトリック収集の所要時間", _xlfn.REGEXTEST(C244, "Pause Duration"), "一時停止（ポーズ）の所要時間", _xlfn.REGEXTEST(C244, "Fsync Latency"), "Fsync（ディスク同期）のレイテンシ", _xlfn.REGEXTEST(C244, "Free Space Monitoring Absolute"), "空き容量（絶対値）", _xlfn.REGEXTEST(C244, "Free Space Monitoring Percentage"), "空き容量割合（%）", _xlfn.REGEXTEST(C244, "Age Monitoring"), "経過時間の監視", _xlfn.REGEXTEST(C244, "Transactions Monitoring"), "トランザクション数の監視", _xlfn.REGEXTEST(C244, "RPC Latency"), "RPC（遠隔手続き呼出し）のレイテンシ", _xlfn.REGEXTEST(C244, "Directory Failures"), "ディレクトリ障害数", _xlfn.REGEXTEST(C244, "Out-Of-Sync JournalNodes"), "同期ズレが発生しているJournalNode数", _xlfn.REGEXTEST(C244, "Safemode Threshold Percentage"), "セーフモード解除閾値の割合（%）", _xlfn.REGEXTEST(C244, "Kerberos Ticket Renewer Monitoring"), "Kerberosチケット更新プロセスの稼働状態監視", _xlfn.REGEXTEST(C244, "Load Balancer Monitoring"), "ロードバランサーの稼働状態監視", _xlfn.REGEXTEST(C244, "Navigator Audit Failure"), "Cloudera Navigator監査ログの失敗イベント", _xlfn.REGEXTEST(C244, "Schema Registry Server Monitoring"), "Schema Registry Serverの稼働状態監視", _xlfn.REGEXTEST(C244, "SRM Service Monitoring"), "SRMサービスの稼働状態監視", _xlfn.REGEXTEST(C244, "SRM Driver Monitoring"), "SRMドライバーの稼働状態監視", _xlfn.REGEXTEST(C244, "Loggin"), "ログ出力状態・設定監視", _xlfn.REGEXTEST(C244, "Server Monitoring"), "サーバーの稼働状態監視", _xlfn.REGEXTEST(C244, "Server Connection Count"), "サーバーの接続数（コネクション数）", _xlfn.REGEXTEST(C244, "Server Outstanding Requests"), "サーバーの未処理リクエスト数（滞留要求数）", _xlfn.REGEXTEST(C244, "Repository Status"), "リポジトリのステータス状態", _xlfn.REGEXTEST(C244, "Monitor Long Running Task"), "長時間実行タスク（ジョブ）の監視", _xlfn.REGEXTEST(C244, "Token requests per second"), "1秒あたりのトークンリクエスト数（要求レート）", _xlfn.REGEXTEST(C244, "Connection Model Score"), "接続モデルスコア（コネクション品質）", _xlfn.REGEXTEST(C244, "Queue swap"), "キューのスワップ発生状態", _xlfn.REGEXTEST(C244, "NiFi Node Monitoring"), "NiFiノードの稼働状態監視", _xlfn.REGEXTEST(C244, "Host Clock Offset"), "ホストのクロックオフセット（時刻同期のズレ）", _xlfn.REGEXTEST(C244, "Memory Overcommit Validation"), "メモリオーバーコミット設定の検証", _xlfn.REGEXTEST(C244, "Gateway Logging"), "ゲートウェイのログ出力設定", _xlfn.REGEXTEST(C244, "CPU Balance"), "CPU使用率の分散バランス状態", _xlfn.REGEXTEST(C244, "Disk Balance"), "ディスク使用量の分散バランス状態", _xlfn.REGEXTEST(C244, "Network Inbound Balance"), "ネットワークインバウンド（受信）の分散バランス状態", _xlfn.REGEXTEST(C244, "Network Outbound Balance"), "ネットワークアウトバウンド（送信）の分散バランス状態", _xlfn.REGEXTEST(C244, "Replica Count Balance"), "レプリカ数の分散バランス状態", _xlfn.REGEXTEST(C244, "Disk Capacity"), "ディスク総容量の限界・使用容量", _xlfn.REGEXTEST(C244, "CPU Capacity"), "CPU総処理能力の限界・使用量", _xlfn.REGEXTEST(C244, "Network Inbound Capacity"), "ネットワークインバウンド（受信）帯域の限界・使用量", _xlfn.REGEXTEST(C244, "Network Outbound Capacity"), "ネットワークアウトバウンド（送信）帯域の限界・使用量", _xlfn.REGEXTEST(C244, "Leader Replica Count Balance"), "リーダーレプリカ数の分散バランス状態", _xlfn.REGEXTEST(C244, "Host DNS Resolution Duration"), "ホストのDNS名前解決の所要時間", _xlfn.REGEXTEST(C244, "TLS Certificate Expiry"), "TLS証明書の有効期限切れ", _xlfn.REGEXTEST(C244, "Host Entropy"), "ホストのエントロピー（乱数生成能力）の不足", _xlfn.REGEXTEST(C244, "File Descriptor"), "プロセスのファイルディスクリプタ使用率", _xlfn.REGEXTEST(C244, "Unexpected Exits"), "プロセスの異常終了（予期せぬ停止）", _xlfn.REGEXTEST(C244, "Swap Memory Thresholds"), "プロセスのスワップメモリ使用量", _xlfn.REGEXTEST(C244, "Swap Memory Usage Rate"), "スワップメモリ使用量の変化率（増加速度）", _xlfn.REGEXTEST(C244, "Log Directory Free Space.*Absolute"), "ログディレクトリの空き容量（絶対値）", _xlfn.REGEXTEST(C244, "Log Directory Free Space.*Percentage"), "ログディレクトリの空き容量割合（%）", _xlfn.REGEXTEST(C244, "Heap Dump Directory Free Space.*Absolute"), "ヒープダンプディレクトリの空き容量（絶対値）", _xlfn.REGEXTEST(C244, "Heap Dump Directory Free Space.*Percentage"), "ヒープダンプディレクトリの空き容量割合（%）", _xlfn.REGEXTEST(C244, "Data Directory Free Space.*Absolute"), "データディレクトリの空き容量（絶対値）", _xlfn.REGEXTEST(C244, "Data Directory Free Space.*Percentage"), "データディレクトリの空き容量割合（%）", _xlfn.REGEXTEST(C244, "Transaction Log Directory Free Space.*Absolute"), "トランザクションログディレクトリの空き容量（絶対値）", _xlfn.REGEXTEST(C244, "Logging Threshold|Logger Threshold"), "ログ出力レベルの閾値設定", _xlfn.REGEXTEST(C244, "Enable.*Alerts"), "ヘルスアラートの有効化状態", _xlfn.REGEXTEST(C244, "Triggers"), "カスタムアラート条件（トリガー設定）", _xlfn.REGEXTEST(C244, "Healthy Kafka Broker"), "Kafka Brokerの健全ノード割合（稼働率）", _xlfn.REGEXTEST(C244, "Healthy Kafka Connect"), "Kafka Connectの健全ノード割合（稼働率）", _xlfn.REGEXTEST(C244, "Healthy KRaft Controller"), "KRaft Controllerの健全ノード割合（稼働率）", _xlfn.REGEXTEST(C244, "Healthy Knox IDBroker"), "Knox IDBrokerの健全ノード割合（稼働率）", _xlfn.REGEXTEST(C244, "Healthy Knox Gateway"), "Knox Gatewayの健全ノード割合（稼働率）", _xlfn.REGEXTEST(C244, "Healthy ZooKeeper Server"), "ZooKeeper Serverの健全ノード割合（稼働率）", _xlfn.REGEXTEST(C244, "Healthy NodeManager"), "NodeManagerの健全ノード割合（稼働率）", _xlfn.REGEXTEST(C244, "Maximum Latency"), "リクエストの最大レイテンシ（処理遅延）", _xlfn.REGEXTEST(C244, "Garbage Collection Duration"), "Javaのガベージコレクション（GC）の所要時間", _xlfn.REGEXTEST(C244, "Spool Directory Usage"), "Rangerプラグインのスプールディレクトリ使用量", _xlfn.REGEXTEST(C244, "Process Directory Free Space Monitoring Absolute"), "プロセスディレクトリの空き容量（絶対値)", _xlfn.REGEXTEST(C244, "Process Directory Free Space.*Percentage"), "プロセスディレクトリの空き容量割合（%）", _xlfn.REGEXTEST(C244, "Parcel Directory Free Space.*Absolute"), "パーセルディレクトリの空き容量（絶対値）", _xlfn.REGEXTEST(C244, "Parcel Directory Free Space.*Percentage"), "パーセルディレクトリの空き容量割合（%）", _xlfn.REGEXTEST(C244, "Host Network Frame Error Percentage"), "ホストのネットワークフレームエラー割合（%）", _xlfn.REGEXTEST(C244, "Network Interfaces Slow Link Modes"), "ホストのネットワークインターフェースの低速リンクモード検出", _xlfn.REGEXTEST(C244, "Host Memory Swapping"), "ホストのメモリのスワップ発生状態", TRUE, "要手動確認")</f>
        <v>Knox IDBrokerの健全ノード割合（稼働率）</v>
      </c>
      <c r="H244" s="479" t="s">
        <v>1019</v>
      </c>
    </row>
    <row r="245" spans="1:8" ht="33.6">
      <c r="A245" s="514"/>
      <c r="B245" s="473"/>
      <c r="C245" s="471" t="s">
        <v>796</v>
      </c>
      <c r="D245" s="471" t="s">
        <v>797</v>
      </c>
      <c r="E245" s="471" t="s">
        <v>789</v>
      </c>
      <c r="F245" s="471"/>
      <c r="G245" s="471" t="str" cm="1">
        <f t="array" ref="G245">_xlfn.IFS(C245 = "", "", _xlfn.REGEXTEST(C245, "Service Metric Migrator Minimum Consecutive Successful Checks"), "サービスメトリック移行ツールの連続正常チェック最小回数", _xlfn.REGEXTEST(C245, "Rebalancing"), "リバランシング（データ再配置）状態", _xlfn.REGEXTEST(C245, "Temporary Dump Directory"), "一時ダンプディレクトリの監視", _xlfn.REGEXTEST(C245, "Safemode Extension"), "セーフモード延長状態", _xlfn.REGEXTEST(C245, "Client Idle"), "クライアントのアイドル（待機）状態", _xlfn.REGEXTEST(C245, "Available Space Policy Balanced"), "空き容量ポリシーの分散バランス状態", _xlfn.REGEXTEST(C245, "Filesystem Checkpoint Transaction"), "ファイルシステムのチェックポイントトランザクション", _xlfn.REGEXTEST(C245, "Blocks With Corrupt Replicas Monitoring"), "破損レプリカを持つブロックの監視", _xlfn.REGEXTEST(C245, "Missing Block Monitoring"), "消失（ミッシング）ブロックの監視", _xlfn.REGEXTEST(C245, "Under-replicated Block Monitoring"), "レプリカ数不足ブロックの監視", _xlfn.REGEXTEST(C245, "HDFS Free Space Monitoring"), "HDFSの空き容量監視", _xlfn.REGEXTEST(C245, "DataNode Monitoring"), "DataNodeの稼働状態監視", _xlfn.REGEXTEST(C245, "Rules to Extract Events from Log Files"), "ログファイルからのイベント抽出ルール設定", _xlfn.REGEXTEST(C245, "Free Space Monitoring$"), "空き容量監視（一般設定）", _xlfn.REGEXTEST(C245, "Transceivers Usage"), "トランシーバー使用量（データ転送スレッド数）", _xlfn.REGEXTEST(C245, "Volume Failures"), "ボリューム障害（ディスクエラー）数", _xlfn.REGEXTEST(C245, "Block Count"), "ブロック総数", _xlfn.REGEXTEST(C245, "Audit Failure"), "監査（オーディット）ログの失敗イベント", _xlfn.REGEXTEST(C245, "Web Metric Collection Duration"), "Webメトリック収集の所要時間", _xlfn.REGEXTEST(C245, "Pause Duration"), "一時停止（ポーズ）の所要時間", _xlfn.REGEXTEST(C245, "Fsync Latency"), "Fsync（ディスク同期）のレイテンシ", _xlfn.REGEXTEST(C245, "Free Space Monitoring Absolute"), "空き容量（絶対値）", _xlfn.REGEXTEST(C245, "Free Space Monitoring Percentage"), "空き容量割合（%）", _xlfn.REGEXTEST(C245, "Age Monitoring"), "経過時間の監視", _xlfn.REGEXTEST(C245, "Transactions Monitoring"), "トランザクション数の監視", _xlfn.REGEXTEST(C245, "RPC Latency"), "RPC（遠隔手続き呼出し）のレイテンシ", _xlfn.REGEXTEST(C245, "Directory Failures"), "ディレクトリ障害数", _xlfn.REGEXTEST(C245, "Out-Of-Sync JournalNodes"), "同期ズレが発生しているJournalNode数", _xlfn.REGEXTEST(C245, "Safemode Threshold Percentage"), "セーフモード解除閾値の割合（%）", _xlfn.REGEXTEST(C245, "Kerberos Ticket Renewer Monitoring"), "Kerberosチケット更新プロセスの稼働状態監視", _xlfn.REGEXTEST(C245, "Load Balancer Monitoring"), "ロードバランサーの稼働状態監視", _xlfn.REGEXTEST(C245, "Navigator Audit Failure"), "Cloudera Navigator監査ログの失敗イベント", _xlfn.REGEXTEST(C245, "Schema Registry Server Monitoring"), "Schema Registry Serverの稼働状態監視", _xlfn.REGEXTEST(C245, "SRM Service Monitoring"), "SRMサービスの稼働状態監視", _xlfn.REGEXTEST(C245, "SRM Driver Monitoring"), "SRMドライバーの稼働状態監視", _xlfn.REGEXTEST(C245, "Loggin"), "ログ出力状態・設定監視", _xlfn.REGEXTEST(C245, "Server Monitoring"), "サーバーの稼働状態監視", _xlfn.REGEXTEST(C245, "Server Connection Count"), "サーバーの接続数（コネクション数）", _xlfn.REGEXTEST(C245, "Server Outstanding Requests"), "サーバーの未処理リクエスト数（滞留要求数）", _xlfn.REGEXTEST(C245, "Repository Status"), "リポジトリのステータス状態", _xlfn.REGEXTEST(C245, "Monitor Long Running Task"), "長時間実行タスク（ジョブ）の監視", _xlfn.REGEXTEST(C245, "Token requests per second"), "1秒あたりのトークンリクエスト数（要求レート）", _xlfn.REGEXTEST(C245, "Connection Model Score"), "接続モデルスコア（コネクション品質）", _xlfn.REGEXTEST(C245, "Queue swap"), "キューのスワップ発生状態", _xlfn.REGEXTEST(C245, "NiFi Node Monitoring"), "NiFiノードの稼働状態監視", _xlfn.REGEXTEST(C245, "Host Clock Offset"), "ホストのクロックオフセット（時刻同期のズレ）", _xlfn.REGEXTEST(C245, "Memory Overcommit Validation"), "メモリオーバーコミット設定の検証", _xlfn.REGEXTEST(C245, "Gateway Logging"), "ゲートウェイのログ出力設定", _xlfn.REGEXTEST(C245, "CPU Balance"), "CPU使用率の分散バランス状態", _xlfn.REGEXTEST(C245, "Disk Balance"), "ディスク使用量の分散バランス状態", _xlfn.REGEXTEST(C245, "Network Inbound Balance"), "ネットワークインバウンド（受信）の分散バランス状態", _xlfn.REGEXTEST(C245, "Network Outbound Balance"), "ネットワークアウトバウンド（送信）の分散バランス状態", _xlfn.REGEXTEST(C245, "Replica Count Balance"), "レプリカ数の分散バランス状態", _xlfn.REGEXTEST(C245, "Disk Capacity"), "ディスク総容量の限界・使用容量", _xlfn.REGEXTEST(C245, "CPU Capacity"), "CPU総処理能力の限界・使用量", _xlfn.REGEXTEST(C245, "Network Inbound Capacity"), "ネットワークインバウンド（受信）帯域の限界・使用量", _xlfn.REGEXTEST(C245, "Network Outbound Capacity"), "ネットワークアウトバウンド（送信）帯域の限界・使用量", _xlfn.REGEXTEST(C245, "Leader Replica Count Balance"), "リーダーレプリカ数の分散バランス状態", _xlfn.REGEXTEST(C245, "Host DNS Resolution Duration"), "ホストのDNS名前解決の所要時間", _xlfn.REGEXTEST(C245, "TLS Certificate Expiry"), "TLS証明書の有効期限切れ", _xlfn.REGEXTEST(C245, "Host Entropy"), "ホストのエントロピー（乱数生成能力）の不足", _xlfn.REGEXTEST(C245, "File Descriptor"), "プロセスのファイルディスクリプタ使用率", _xlfn.REGEXTEST(C245, "Unexpected Exits"), "プロセスの異常終了（予期せぬ停止）", _xlfn.REGEXTEST(C245, "Swap Memory Thresholds"), "プロセスのスワップメモリ使用量", _xlfn.REGEXTEST(C245, "Swap Memory Usage Rate"), "スワップメモリ使用量の変化率（増加速度）", _xlfn.REGEXTEST(C245, "Log Directory Free Space.*Absolute"), "ログディレクトリの空き容量（絶対値）", _xlfn.REGEXTEST(C245, "Log Directory Free Space.*Percentage"), "ログディレクトリの空き容量割合（%）", _xlfn.REGEXTEST(C245, "Heap Dump Directory Free Space.*Absolute"), "ヒープダンプディレクトリの空き容量（絶対値）", _xlfn.REGEXTEST(C245, "Heap Dump Directory Free Space.*Percentage"), "ヒープダンプディレクトリの空き容量割合（%）", _xlfn.REGEXTEST(C245, "Data Directory Free Space.*Absolute"), "データディレクトリの空き容量（絶対値）", _xlfn.REGEXTEST(C245, "Data Directory Free Space.*Percentage"), "データディレクトリの空き容量割合（%）", _xlfn.REGEXTEST(C245, "Transaction Log Directory Free Space.*Absolute"), "トランザクションログディレクトリの空き容量（絶対値）", _xlfn.REGEXTEST(C245, "Logging Threshold|Logger Threshold"), "ログ出力レベルの閾値設定", _xlfn.REGEXTEST(C245, "Enable.*Alerts"), "ヘルスアラートの有効化状態", _xlfn.REGEXTEST(C245, "Triggers"), "カスタムアラート条件（トリガー設定）", _xlfn.REGEXTEST(C245, "Healthy Kafka Broker"), "Kafka Brokerの健全ノード割合（稼働率）", _xlfn.REGEXTEST(C245, "Healthy Kafka Connect"), "Kafka Connectの健全ノード割合（稼働率）", _xlfn.REGEXTEST(C245, "Healthy KRaft Controller"), "KRaft Controllerの健全ノード割合（稼働率）", _xlfn.REGEXTEST(C245, "Healthy Knox IDBroker"), "Knox IDBrokerの健全ノード割合（稼働率）", _xlfn.REGEXTEST(C245, "Healthy Knox Gateway"), "Knox Gatewayの健全ノード割合（稼働率）", _xlfn.REGEXTEST(C245, "Healthy ZooKeeper Server"), "ZooKeeper Serverの健全ノード割合（稼働率）", _xlfn.REGEXTEST(C245, "Healthy NodeManager"), "NodeManagerの健全ノード割合（稼働率）", _xlfn.REGEXTEST(C245, "Maximum Latency"), "リクエストの最大レイテンシ（処理遅延）", _xlfn.REGEXTEST(C245, "Garbage Collection Duration"), "Javaのガベージコレクション（GC）の所要時間", _xlfn.REGEXTEST(C245, "Spool Directory Usage"), "Rangerプラグインのスプールディレクトリ使用量", _xlfn.REGEXTEST(C245, "Process Directory Free Space Monitoring Absolute"), "プロセスディレクトリの空き容量（絶対値)", _xlfn.REGEXTEST(C245, "Process Directory Free Space.*Percentage"), "プロセスディレクトリの空き容量割合（%）", _xlfn.REGEXTEST(C245, "Parcel Directory Free Space.*Absolute"), "パーセルディレクトリの空き容量（絶対値）", _xlfn.REGEXTEST(C245, "Parcel Directory Free Space.*Percentage"), "パーセルディレクトリの空き容量割合（%）", _xlfn.REGEXTEST(C245, "Host Network Frame Error Percentage"), "ホストのネットワークフレームエラー割合（%）", _xlfn.REGEXTEST(C245, "Network Interfaces Slow Link Modes"), "ホストのネットワークインターフェースの低速リンクモード検出", _xlfn.REGEXTEST(C245, "Host Memory Swapping"), "ホストのメモリのスワップ発生状態", TRUE, "要手動確認")</f>
        <v>Knox Gatewayの健全ノード割合（稼働率）</v>
      </c>
      <c r="H245" s="479" t="s">
        <v>1019</v>
      </c>
    </row>
    <row r="246" spans="1:8" ht="16.899999999999999">
      <c r="A246" s="514"/>
      <c r="B246" s="473"/>
      <c r="C246" s="471" t="s">
        <v>798</v>
      </c>
      <c r="D246" s="471" t="s">
        <v>710</v>
      </c>
      <c r="E246" s="471" t="s">
        <v>785</v>
      </c>
      <c r="F246" s="471"/>
      <c r="G246" s="471" t="str" cm="1">
        <f t="array" ref="G246">_xlfn.IFS(C246 = "", "", _xlfn.REGEXTEST(C246, "Service Metric Migrator Minimum Consecutive Successful Checks"), "サービスメトリック移行ツールの連続正常チェック最小回数", _xlfn.REGEXTEST(C246, "Rebalancing"), "リバランシング（データ再配置）状態", _xlfn.REGEXTEST(C246, "Temporary Dump Directory"), "一時ダンプディレクトリの監視", _xlfn.REGEXTEST(C246, "Safemode Extension"), "セーフモード延長状態", _xlfn.REGEXTEST(C246, "Client Idle"), "クライアントのアイドル（待機）状態", _xlfn.REGEXTEST(C246, "Available Space Policy Balanced"), "空き容量ポリシーの分散バランス状態", _xlfn.REGEXTEST(C246, "Filesystem Checkpoint Transaction"), "ファイルシステムのチェックポイントトランザクション", _xlfn.REGEXTEST(C246, "Blocks With Corrupt Replicas Monitoring"), "破損レプリカを持つブロックの監視", _xlfn.REGEXTEST(C246, "Missing Block Monitoring"), "消失（ミッシング）ブロックの監視", _xlfn.REGEXTEST(C246, "Under-replicated Block Monitoring"), "レプリカ数不足ブロックの監視", _xlfn.REGEXTEST(C246, "HDFS Free Space Monitoring"), "HDFSの空き容量監視", _xlfn.REGEXTEST(C246, "DataNode Monitoring"), "DataNodeの稼働状態監視", _xlfn.REGEXTEST(C246, "Rules to Extract Events from Log Files"), "ログファイルからのイベント抽出ルール設定", _xlfn.REGEXTEST(C246, "Free Space Monitoring$"), "空き容量監視（一般設定）", _xlfn.REGEXTEST(C246, "Transceivers Usage"), "トランシーバー使用量（データ転送スレッド数）", _xlfn.REGEXTEST(C246, "Volume Failures"), "ボリューム障害（ディスクエラー）数", _xlfn.REGEXTEST(C246, "Block Count"), "ブロック総数", _xlfn.REGEXTEST(C246, "Audit Failure"), "監査（オーディット）ログの失敗イベント", _xlfn.REGEXTEST(C246, "Web Metric Collection Duration"), "Webメトリック収集の所要時間", _xlfn.REGEXTEST(C246, "Pause Duration"), "一時停止（ポーズ）の所要時間", _xlfn.REGEXTEST(C246, "Fsync Latency"), "Fsync（ディスク同期）のレイテンシ", _xlfn.REGEXTEST(C246, "Free Space Monitoring Absolute"), "空き容量（絶対値）", _xlfn.REGEXTEST(C246, "Free Space Monitoring Percentage"), "空き容量割合（%）", _xlfn.REGEXTEST(C246, "Age Monitoring"), "経過時間の監視", _xlfn.REGEXTEST(C246, "Transactions Monitoring"), "トランザクション数の監視", _xlfn.REGEXTEST(C246, "RPC Latency"), "RPC（遠隔手続き呼出し）のレイテンシ", _xlfn.REGEXTEST(C246, "Directory Failures"), "ディレクトリ障害数", _xlfn.REGEXTEST(C246, "Out-Of-Sync JournalNodes"), "同期ズレが発生しているJournalNode数", _xlfn.REGEXTEST(C246, "Safemode Threshold Percentage"), "セーフモード解除閾値の割合（%）", _xlfn.REGEXTEST(C246, "Kerberos Ticket Renewer Monitoring"), "Kerberosチケット更新プロセスの稼働状態監視", _xlfn.REGEXTEST(C246, "Load Balancer Monitoring"), "ロードバランサーの稼働状態監視", _xlfn.REGEXTEST(C246, "Navigator Audit Failure"), "Cloudera Navigator監査ログの失敗イベント", _xlfn.REGEXTEST(C246, "Schema Registry Server Monitoring"), "Schema Registry Serverの稼働状態監視", _xlfn.REGEXTEST(C246, "SRM Service Monitoring"), "SRMサービスの稼働状態監視", _xlfn.REGEXTEST(C246, "SRM Driver Monitoring"), "SRMドライバーの稼働状態監視", _xlfn.REGEXTEST(C246, "Loggin"), "ログ出力状態・設定監視", _xlfn.REGEXTEST(C246, "Server Monitoring"), "サーバーの稼働状態監視", _xlfn.REGEXTEST(C246, "Server Connection Count"), "サーバーの接続数（コネクション数）", _xlfn.REGEXTEST(C246, "Server Outstanding Requests"), "サーバーの未処理リクエスト数（滞留要求数）", _xlfn.REGEXTEST(C246, "Repository Status"), "リポジトリのステータス状態", _xlfn.REGEXTEST(C246, "Monitor Long Running Task"), "長時間実行タスク（ジョブ）の監視", _xlfn.REGEXTEST(C246, "Token requests per second"), "1秒あたりのトークンリクエスト数（要求レート）", _xlfn.REGEXTEST(C246, "Connection Model Score"), "接続モデルスコア（コネクション品質）", _xlfn.REGEXTEST(C246, "Queue swap"), "キューのスワップ発生状態", _xlfn.REGEXTEST(C246, "NiFi Node Monitoring"), "NiFiノードの稼働状態監視", _xlfn.REGEXTEST(C246, "Host Clock Offset"), "ホストのクロックオフセット（時刻同期のズレ）", _xlfn.REGEXTEST(C246, "Memory Overcommit Validation"), "メモリオーバーコミット設定の検証", _xlfn.REGEXTEST(C246, "Gateway Logging"), "ゲートウェイのログ出力設定", _xlfn.REGEXTEST(C246, "CPU Balance"), "CPU使用率の分散バランス状態", _xlfn.REGEXTEST(C246, "Disk Balance"), "ディスク使用量の分散バランス状態", _xlfn.REGEXTEST(C246, "Network Inbound Balance"), "ネットワークインバウンド（受信）の分散バランス状態", _xlfn.REGEXTEST(C246, "Network Outbound Balance"), "ネットワークアウトバウンド（送信）の分散バランス状態", _xlfn.REGEXTEST(C246, "Replica Count Balance"), "レプリカ数の分散バランス状態", _xlfn.REGEXTEST(C246, "Disk Capacity"), "ディスク総容量の限界・使用容量", _xlfn.REGEXTEST(C246, "CPU Capacity"), "CPU総処理能力の限界・使用量", _xlfn.REGEXTEST(C246, "Network Inbound Capacity"), "ネットワークインバウンド（受信）帯域の限界・使用量", _xlfn.REGEXTEST(C246, "Network Outbound Capacity"), "ネットワークアウトバウンド（送信）帯域の限界・使用量", _xlfn.REGEXTEST(C246, "Leader Replica Count Balance"), "リーダーレプリカ数の分散バランス状態", _xlfn.REGEXTEST(C246, "Host DNS Resolution Duration"), "ホストのDNS名前解決の所要時間", _xlfn.REGEXTEST(C246, "TLS Certificate Expiry"), "TLS証明書の有効期限切れ", _xlfn.REGEXTEST(C246, "Host Entropy"), "ホストのエントロピー（乱数生成能力）の不足", _xlfn.REGEXTEST(C246, "File Descriptor"), "プロセスのファイルディスクリプタ使用率", _xlfn.REGEXTEST(C246, "Unexpected Exits"), "プロセスの異常終了（予期せぬ停止）", _xlfn.REGEXTEST(C246, "Swap Memory Thresholds"), "プロセスのスワップメモリ使用量", _xlfn.REGEXTEST(C246, "Swap Memory Usage Rate"), "スワップメモリ使用量の変化率（増加速度）", _xlfn.REGEXTEST(C246, "Log Directory Free Space.*Absolute"), "ログディレクトリの空き容量（絶対値）", _xlfn.REGEXTEST(C246, "Log Directory Free Space.*Percentage"), "ログディレクトリの空き容量割合（%）", _xlfn.REGEXTEST(C246, "Heap Dump Directory Free Space.*Absolute"), "ヒープダンプディレクトリの空き容量（絶対値）", _xlfn.REGEXTEST(C246, "Heap Dump Directory Free Space.*Percentage"), "ヒープダンプディレクトリの空き容量割合（%）", _xlfn.REGEXTEST(C246, "Data Directory Free Space.*Absolute"), "データディレクトリの空き容量（絶対値）", _xlfn.REGEXTEST(C246, "Data Directory Free Space.*Percentage"), "データディレクトリの空き容量割合（%）", _xlfn.REGEXTEST(C246, "Transaction Log Directory Free Space.*Absolute"), "トランザクションログディレクトリの空き容量（絶対値）", _xlfn.REGEXTEST(C246, "Logging Threshold|Logger Threshold"), "ログ出力レベルの閾値設定", _xlfn.REGEXTEST(C246, "Enable.*Alerts"), "ヘルスアラートの有効化状態", _xlfn.REGEXTEST(C246, "Triggers"), "カスタムアラート条件（トリガー設定）", _xlfn.REGEXTEST(C246, "Healthy Kafka Broker"), "Kafka Brokerの健全ノード割合（稼働率）", _xlfn.REGEXTEST(C246, "Healthy Kafka Connect"), "Kafka Connectの健全ノード割合（稼働率）", _xlfn.REGEXTEST(C246, "Healthy KRaft Controller"), "KRaft Controllerの健全ノード割合（稼働率）", _xlfn.REGEXTEST(C246, "Healthy Knox IDBroker"), "Knox IDBrokerの健全ノード割合（稼働率）", _xlfn.REGEXTEST(C246, "Healthy Knox Gateway"), "Knox Gatewayの健全ノード割合（稼働率）", _xlfn.REGEXTEST(C246, "Healthy ZooKeeper Server"), "ZooKeeper Serverの健全ノード割合（稼働率）", _xlfn.REGEXTEST(C246, "Healthy NodeManager"), "NodeManagerの健全ノード割合（稼働率）", _xlfn.REGEXTEST(C246, "Maximum Latency"), "リクエストの最大レイテンシ（処理遅延）", _xlfn.REGEXTEST(C246, "Garbage Collection Duration"), "Javaのガベージコレクション（GC）の所要時間", _xlfn.REGEXTEST(C246, "Spool Directory Usage"), "Rangerプラグインのスプールディレクトリ使用量", _xlfn.REGEXTEST(C246, "Process Directory Free Space Monitoring Absolute"), "プロセスディレクトリの空き容量（絶対値)", _xlfn.REGEXTEST(C246, "Process Directory Free Space.*Percentage"), "プロセスディレクトリの空き容量割合（%）", _xlfn.REGEXTEST(C246, "Parcel Directory Free Space.*Absolute"), "パーセルディレクトリの空き容量（絶対値）", _xlfn.REGEXTEST(C246, "Parcel Directory Free Space.*Percentage"), "パーセルディレクトリの空き容量割合（%）", _xlfn.REGEXTEST(C246, "Host Network Frame Error Percentage"), "ホストのネットワークフレームエラー割合（%）", _xlfn.REGEXTEST(C246, "Network Interfaces Slow Link Modes"), "ホストのネットワークインターフェースの低速リンクモード検出", _xlfn.REGEXTEST(C246, "Host Memory Swapping"), "ホストのメモリのスワップ発生状態", TRUE, "要手動確認")</f>
        <v>ヘルスアラートの有効化状態</v>
      </c>
      <c r="H246" s="479" t="s">
        <v>790</v>
      </c>
    </row>
    <row r="247" spans="1:8" ht="16.899999999999999">
      <c r="A247" s="514"/>
      <c r="B247" s="473"/>
      <c r="C247" s="471" t="s">
        <v>798</v>
      </c>
      <c r="D247" s="471" t="s">
        <v>710</v>
      </c>
      <c r="E247" s="471" t="s">
        <v>787</v>
      </c>
      <c r="F247" s="471"/>
      <c r="G247" s="471" t="str" cm="1">
        <f t="array" ref="G247">_xlfn.IFS(C247 = "", "", _xlfn.REGEXTEST(C247, "Service Metric Migrator Minimum Consecutive Successful Checks"), "サービスメトリック移行ツールの連続正常チェック最小回数", _xlfn.REGEXTEST(C247, "Rebalancing"), "リバランシング（データ再配置）状態", _xlfn.REGEXTEST(C247, "Temporary Dump Directory"), "一時ダンプディレクトリの監視", _xlfn.REGEXTEST(C247, "Safemode Extension"), "セーフモード延長状態", _xlfn.REGEXTEST(C247, "Client Idle"), "クライアントのアイドル（待機）状態", _xlfn.REGEXTEST(C247, "Available Space Policy Balanced"), "空き容量ポリシーの分散バランス状態", _xlfn.REGEXTEST(C247, "Filesystem Checkpoint Transaction"), "ファイルシステムのチェックポイントトランザクション", _xlfn.REGEXTEST(C247, "Blocks With Corrupt Replicas Monitoring"), "破損レプリカを持つブロックの監視", _xlfn.REGEXTEST(C247, "Missing Block Monitoring"), "消失（ミッシング）ブロックの監視", _xlfn.REGEXTEST(C247, "Under-replicated Block Monitoring"), "レプリカ数不足ブロックの監視", _xlfn.REGEXTEST(C247, "HDFS Free Space Monitoring"), "HDFSの空き容量監視", _xlfn.REGEXTEST(C247, "DataNode Monitoring"), "DataNodeの稼働状態監視", _xlfn.REGEXTEST(C247, "Rules to Extract Events from Log Files"), "ログファイルからのイベント抽出ルール設定", _xlfn.REGEXTEST(C247, "Free Space Monitoring$"), "空き容量監視（一般設定）", _xlfn.REGEXTEST(C247, "Transceivers Usage"), "トランシーバー使用量（データ転送スレッド数）", _xlfn.REGEXTEST(C247, "Volume Failures"), "ボリューム障害（ディスクエラー）数", _xlfn.REGEXTEST(C247, "Block Count"), "ブロック総数", _xlfn.REGEXTEST(C247, "Audit Failure"), "監査（オーディット）ログの失敗イベント", _xlfn.REGEXTEST(C247, "Web Metric Collection Duration"), "Webメトリック収集の所要時間", _xlfn.REGEXTEST(C247, "Pause Duration"), "一時停止（ポーズ）の所要時間", _xlfn.REGEXTEST(C247, "Fsync Latency"), "Fsync（ディスク同期）のレイテンシ", _xlfn.REGEXTEST(C247, "Free Space Monitoring Absolute"), "空き容量（絶対値）", _xlfn.REGEXTEST(C247, "Free Space Monitoring Percentage"), "空き容量割合（%）", _xlfn.REGEXTEST(C247, "Age Monitoring"), "経過時間の監視", _xlfn.REGEXTEST(C247, "Transactions Monitoring"), "トランザクション数の監視", _xlfn.REGEXTEST(C247, "RPC Latency"), "RPC（遠隔手続き呼出し）のレイテンシ", _xlfn.REGEXTEST(C247, "Directory Failures"), "ディレクトリ障害数", _xlfn.REGEXTEST(C247, "Out-Of-Sync JournalNodes"), "同期ズレが発生しているJournalNode数", _xlfn.REGEXTEST(C247, "Safemode Threshold Percentage"), "セーフモード解除閾値の割合（%）", _xlfn.REGEXTEST(C247, "Kerberos Ticket Renewer Monitoring"), "Kerberosチケット更新プロセスの稼働状態監視", _xlfn.REGEXTEST(C247, "Load Balancer Monitoring"), "ロードバランサーの稼働状態監視", _xlfn.REGEXTEST(C247, "Navigator Audit Failure"), "Cloudera Navigator監査ログの失敗イベント", _xlfn.REGEXTEST(C247, "Schema Registry Server Monitoring"), "Schema Registry Serverの稼働状態監視", _xlfn.REGEXTEST(C247, "SRM Service Monitoring"), "SRMサービスの稼働状態監視", _xlfn.REGEXTEST(C247, "SRM Driver Monitoring"), "SRMドライバーの稼働状態監視", _xlfn.REGEXTEST(C247, "Loggin"), "ログ出力状態・設定監視", _xlfn.REGEXTEST(C247, "Server Monitoring"), "サーバーの稼働状態監視", _xlfn.REGEXTEST(C247, "Server Connection Count"), "サーバーの接続数（コネクション数）", _xlfn.REGEXTEST(C247, "Server Outstanding Requests"), "サーバーの未処理リクエスト数（滞留要求数）", _xlfn.REGEXTEST(C247, "Repository Status"), "リポジトリのステータス状態", _xlfn.REGEXTEST(C247, "Monitor Long Running Task"), "長時間実行タスク（ジョブ）の監視", _xlfn.REGEXTEST(C247, "Token requests per second"), "1秒あたりのトークンリクエスト数（要求レート）", _xlfn.REGEXTEST(C247, "Connection Model Score"), "接続モデルスコア（コネクション品質）", _xlfn.REGEXTEST(C247, "Queue swap"), "キューのスワップ発生状態", _xlfn.REGEXTEST(C247, "NiFi Node Monitoring"), "NiFiノードの稼働状態監視", _xlfn.REGEXTEST(C247, "Host Clock Offset"), "ホストのクロックオフセット（時刻同期のズレ）", _xlfn.REGEXTEST(C247, "Memory Overcommit Validation"), "メモリオーバーコミット設定の検証", _xlfn.REGEXTEST(C247, "Gateway Logging"), "ゲートウェイのログ出力設定", _xlfn.REGEXTEST(C247, "CPU Balance"), "CPU使用率の分散バランス状態", _xlfn.REGEXTEST(C247, "Disk Balance"), "ディスク使用量の分散バランス状態", _xlfn.REGEXTEST(C247, "Network Inbound Balance"), "ネットワークインバウンド（受信）の分散バランス状態", _xlfn.REGEXTEST(C247, "Network Outbound Balance"), "ネットワークアウトバウンド（送信）の分散バランス状態", _xlfn.REGEXTEST(C247, "Replica Count Balance"), "レプリカ数の分散バランス状態", _xlfn.REGEXTEST(C247, "Disk Capacity"), "ディスク総容量の限界・使用容量", _xlfn.REGEXTEST(C247, "CPU Capacity"), "CPU総処理能力の限界・使用量", _xlfn.REGEXTEST(C247, "Network Inbound Capacity"), "ネットワークインバウンド（受信）帯域の限界・使用量", _xlfn.REGEXTEST(C247, "Network Outbound Capacity"), "ネットワークアウトバウンド（送信）帯域の限界・使用量", _xlfn.REGEXTEST(C247, "Leader Replica Count Balance"), "リーダーレプリカ数の分散バランス状態", _xlfn.REGEXTEST(C247, "Host DNS Resolution Duration"), "ホストのDNS名前解決の所要時間", _xlfn.REGEXTEST(C247, "TLS Certificate Expiry"), "TLS証明書の有効期限切れ", _xlfn.REGEXTEST(C247, "Host Entropy"), "ホストのエントロピー（乱数生成能力）の不足", _xlfn.REGEXTEST(C247, "File Descriptor"), "プロセスのファイルディスクリプタ使用率", _xlfn.REGEXTEST(C247, "Unexpected Exits"), "プロセスの異常終了（予期せぬ停止）", _xlfn.REGEXTEST(C247, "Swap Memory Thresholds"), "プロセスのスワップメモリ使用量", _xlfn.REGEXTEST(C247, "Swap Memory Usage Rate"), "スワップメモリ使用量の変化率（増加速度）", _xlfn.REGEXTEST(C247, "Log Directory Free Space.*Absolute"), "ログディレクトリの空き容量（絶対値）", _xlfn.REGEXTEST(C247, "Log Directory Free Space.*Percentage"), "ログディレクトリの空き容量割合（%）", _xlfn.REGEXTEST(C247, "Heap Dump Directory Free Space.*Absolute"), "ヒープダンプディレクトリの空き容量（絶対値）", _xlfn.REGEXTEST(C247, "Heap Dump Directory Free Space.*Percentage"), "ヒープダンプディレクトリの空き容量割合（%）", _xlfn.REGEXTEST(C247, "Data Directory Free Space.*Absolute"), "データディレクトリの空き容量（絶対値）", _xlfn.REGEXTEST(C247, "Data Directory Free Space.*Percentage"), "データディレクトリの空き容量割合（%）", _xlfn.REGEXTEST(C247, "Transaction Log Directory Free Space.*Absolute"), "トランザクションログディレクトリの空き容量（絶対値）", _xlfn.REGEXTEST(C247, "Logging Threshold|Logger Threshold"), "ログ出力レベルの閾値設定", _xlfn.REGEXTEST(C247, "Enable.*Alerts"), "ヘルスアラートの有効化状態", _xlfn.REGEXTEST(C247, "Triggers"), "カスタムアラート条件（トリガー設定）", _xlfn.REGEXTEST(C247, "Healthy Kafka Broker"), "Kafka Brokerの健全ノード割合（稼働率）", _xlfn.REGEXTEST(C247, "Healthy Kafka Connect"), "Kafka Connectの健全ノード割合（稼働率）", _xlfn.REGEXTEST(C247, "Healthy KRaft Controller"), "KRaft Controllerの健全ノード割合（稼働率）", _xlfn.REGEXTEST(C247, "Healthy Knox IDBroker"), "Knox IDBrokerの健全ノード割合（稼働率）", _xlfn.REGEXTEST(C247, "Healthy Knox Gateway"), "Knox Gatewayの健全ノード割合（稼働率）", _xlfn.REGEXTEST(C247, "Healthy ZooKeeper Server"), "ZooKeeper Serverの健全ノード割合（稼働率）", _xlfn.REGEXTEST(C247, "Healthy NodeManager"), "NodeManagerの健全ノード割合（稼働率）", _xlfn.REGEXTEST(C247, "Maximum Latency"), "リクエストの最大レイテンシ（処理遅延）", _xlfn.REGEXTEST(C247, "Garbage Collection Duration"), "Javaのガベージコレクション（GC）の所要時間", _xlfn.REGEXTEST(C247, "Spool Directory Usage"), "Rangerプラグインのスプールディレクトリ使用量", _xlfn.REGEXTEST(C247, "Process Directory Free Space Monitoring Absolute"), "プロセスディレクトリの空き容量（絶対値)", _xlfn.REGEXTEST(C247, "Process Directory Free Space.*Percentage"), "プロセスディレクトリの空き容量割合（%）", _xlfn.REGEXTEST(C247, "Parcel Directory Free Space.*Absolute"), "パーセルディレクトリの空き容量（絶対値）", _xlfn.REGEXTEST(C247, "Parcel Directory Free Space.*Percentage"), "パーセルディレクトリの空き容量割合（%）", _xlfn.REGEXTEST(C247, "Host Network Frame Error Percentage"), "ホストのネットワークフレームエラー割合（%）", _xlfn.REGEXTEST(C247, "Network Interfaces Slow Link Modes"), "ホストのネットワークインターフェースの低速リンクモード検出", _xlfn.REGEXTEST(C247, "Host Memory Swapping"), "ホストのメモリのスワップ発生状態", TRUE, "要手動確認")</f>
        <v>ヘルスアラートの有効化状態</v>
      </c>
      <c r="H247" s="479" t="s">
        <v>790</v>
      </c>
    </row>
    <row r="248" spans="1:8" ht="33.6">
      <c r="A248" s="514"/>
      <c r="B248" s="473"/>
      <c r="C248" s="471" t="s">
        <v>736</v>
      </c>
      <c r="D248" s="471" t="s">
        <v>800</v>
      </c>
      <c r="E248" s="471" t="s">
        <v>785</v>
      </c>
      <c r="F248" s="471"/>
      <c r="G248" s="471" t="str" cm="1">
        <f t="array" ref="G248">_xlfn.IFS(C248 = "", "", _xlfn.REGEXTEST(C248, "Service Metric Migrator Minimum Consecutive Successful Checks"), "サービスメトリック移行ツールの連続正常チェック最小回数", _xlfn.REGEXTEST(C248, "Rebalancing"), "リバランシング（データ再配置）状態", _xlfn.REGEXTEST(C248, "Temporary Dump Directory"), "一時ダンプディレクトリの監視", _xlfn.REGEXTEST(C248, "Safemode Extension"), "セーフモード延長状態", _xlfn.REGEXTEST(C248, "Client Idle"), "クライアントのアイドル（待機）状態", _xlfn.REGEXTEST(C248, "Available Space Policy Balanced"), "空き容量ポリシーの分散バランス状態", _xlfn.REGEXTEST(C248, "Filesystem Checkpoint Transaction"), "ファイルシステムのチェックポイントトランザクション", _xlfn.REGEXTEST(C248, "Blocks With Corrupt Replicas Monitoring"), "破損レプリカを持つブロックの監視", _xlfn.REGEXTEST(C248, "Missing Block Monitoring"), "消失（ミッシング）ブロックの監視", _xlfn.REGEXTEST(C248, "Under-replicated Block Monitoring"), "レプリカ数不足ブロックの監視", _xlfn.REGEXTEST(C248, "HDFS Free Space Monitoring"), "HDFSの空き容量監視", _xlfn.REGEXTEST(C248, "DataNode Monitoring"), "DataNodeの稼働状態監視", _xlfn.REGEXTEST(C248, "Rules to Extract Events from Log Files"), "ログファイルからのイベント抽出ルール設定", _xlfn.REGEXTEST(C248, "Free Space Monitoring$"), "空き容量監視（一般設定）", _xlfn.REGEXTEST(C248, "Transceivers Usage"), "トランシーバー使用量（データ転送スレッド数）", _xlfn.REGEXTEST(C248, "Volume Failures"), "ボリューム障害（ディスクエラー）数", _xlfn.REGEXTEST(C248, "Block Count"), "ブロック総数", _xlfn.REGEXTEST(C248, "Audit Failure"), "監査（オーディット）ログの失敗イベント", _xlfn.REGEXTEST(C248, "Web Metric Collection Duration"), "Webメトリック収集の所要時間", _xlfn.REGEXTEST(C248, "Pause Duration"), "一時停止（ポーズ）の所要時間", _xlfn.REGEXTEST(C248, "Fsync Latency"), "Fsync（ディスク同期）のレイテンシ", _xlfn.REGEXTEST(C248, "Free Space Monitoring Absolute"), "空き容量（絶対値）", _xlfn.REGEXTEST(C248, "Free Space Monitoring Percentage"), "空き容量割合（%）", _xlfn.REGEXTEST(C248, "Age Monitoring"), "経過時間の監視", _xlfn.REGEXTEST(C248, "Transactions Monitoring"), "トランザクション数の監視", _xlfn.REGEXTEST(C248, "RPC Latency"), "RPC（遠隔手続き呼出し）のレイテンシ", _xlfn.REGEXTEST(C248, "Directory Failures"), "ディレクトリ障害数", _xlfn.REGEXTEST(C248, "Out-Of-Sync JournalNodes"), "同期ズレが発生しているJournalNode数", _xlfn.REGEXTEST(C248, "Safemode Threshold Percentage"), "セーフモード解除閾値の割合（%）", _xlfn.REGEXTEST(C248, "Kerberos Ticket Renewer Monitoring"), "Kerberosチケット更新プロセスの稼働状態監視", _xlfn.REGEXTEST(C248, "Load Balancer Monitoring"), "ロードバランサーの稼働状態監視", _xlfn.REGEXTEST(C248, "Navigator Audit Failure"), "Cloudera Navigator監査ログの失敗イベント", _xlfn.REGEXTEST(C248, "Schema Registry Server Monitoring"), "Schema Registry Serverの稼働状態監視", _xlfn.REGEXTEST(C248, "SRM Service Monitoring"), "SRMサービスの稼働状態監視", _xlfn.REGEXTEST(C248, "SRM Driver Monitoring"), "SRMドライバーの稼働状態監視", _xlfn.REGEXTEST(C248, "Loggin"), "ログ出力状態・設定監視", _xlfn.REGEXTEST(C248, "Server Monitoring"), "サーバーの稼働状態監視", _xlfn.REGEXTEST(C248, "Server Connection Count"), "サーバーの接続数（コネクション数）", _xlfn.REGEXTEST(C248, "Server Outstanding Requests"), "サーバーの未処理リクエスト数（滞留要求数）", _xlfn.REGEXTEST(C248, "Repository Status"), "リポジトリのステータス状態", _xlfn.REGEXTEST(C248, "Monitor Long Running Task"), "長時間実行タスク（ジョブ）の監視", _xlfn.REGEXTEST(C248, "Token requests per second"), "1秒あたりのトークンリクエスト数（要求レート）", _xlfn.REGEXTEST(C248, "Connection Model Score"), "接続モデルスコア（コネクション品質）", _xlfn.REGEXTEST(C248, "Queue swap"), "キューのスワップ発生状態", _xlfn.REGEXTEST(C248, "NiFi Node Monitoring"), "NiFiノードの稼働状態監視", _xlfn.REGEXTEST(C248, "Host Clock Offset"), "ホストのクロックオフセット（時刻同期のズレ）", _xlfn.REGEXTEST(C248, "Memory Overcommit Validation"), "メモリオーバーコミット設定の検証", _xlfn.REGEXTEST(C248, "Gateway Logging"), "ゲートウェイのログ出力設定", _xlfn.REGEXTEST(C248, "CPU Balance"), "CPU使用率の分散バランス状態", _xlfn.REGEXTEST(C248, "Disk Balance"), "ディスク使用量の分散バランス状態", _xlfn.REGEXTEST(C248, "Network Inbound Balance"), "ネットワークインバウンド（受信）の分散バランス状態", _xlfn.REGEXTEST(C248, "Network Outbound Balance"), "ネットワークアウトバウンド（送信）の分散バランス状態", _xlfn.REGEXTEST(C248, "Replica Count Balance"), "レプリカ数の分散バランス状態", _xlfn.REGEXTEST(C248, "Disk Capacity"), "ディスク総容量の限界・使用容量", _xlfn.REGEXTEST(C248, "CPU Capacity"), "CPU総処理能力の限界・使用量", _xlfn.REGEXTEST(C248, "Network Inbound Capacity"), "ネットワークインバウンド（受信）帯域の限界・使用量", _xlfn.REGEXTEST(C248, "Network Outbound Capacity"), "ネットワークアウトバウンド（送信）帯域の限界・使用量", _xlfn.REGEXTEST(C248, "Leader Replica Count Balance"), "リーダーレプリカ数の分散バランス状態", _xlfn.REGEXTEST(C248, "Host DNS Resolution Duration"), "ホストのDNS名前解決の所要時間", _xlfn.REGEXTEST(C248, "TLS Certificate Expiry"), "TLS証明書の有効期限切れ", _xlfn.REGEXTEST(C248, "Host Entropy"), "ホストのエントロピー（乱数生成能力）の不足", _xlfn.REGEXTEST(C248, "File Descriptor"), "プロセスのファイルディスクリプタ使用率", _xlfn.REGEXTEST(C248, "Unexpected Exits"), "プロセスの異常終了（予期せぬ停止）", _xlfn.REGEXTEST(C248, "Swap Memory Thresholds"), "プロセスのスワップメモリ使用量", _xlfn.REGEXTEST(C248, "Swap Memory Usage Rate"), "スワップメモリ使用量の変化率（増加速度）", _xlfn.REGEXTEST(C248, "Log Directory Free Space.*Absolute"), "ログディレクトリの空き容量（絶対値）", _xlfn.REGEXTEST(C248, "Log Directory Free Space.*Percentage"), "ログディレクトリの空き容量割合（%）", _xlfn.REGEXTEST(C248, "Heap Dump Directory Free Space.*Absolute"), "ヒープダンプディレクトリの空き容量（絶対値）", _xlfn.REGEXTEST(C248, "Heap Dump Directory Free Space.*Percentage"), "ヒープダンプディレクトリの空き容量割合（%）", _xlfn.REGEXTEST(C248, "Data Directory Free Space.*Absolute"), "データディレクトリの空き容量（絶対値）", _xlfn.REGEXTEST(C248, "Data Directory Free Space.*Percentage"), "データディレクトリの空き容量割合（%）", _xlfn.REGEXTEST(C248, "Transaction Log Directory Free Space.*Absolute"), "トランザクションログディレクトリの空き容量（絶対値）", _xlfn.REGEXTEST(C248, "Logging Threshold|Logger Threshold"), "ログ出力レベルの閾値設定", _xlfn.REGEXTEST(C248, "Enable.*Alerts"), "ヘルスアラートの有効化状態", _xlfn.REGEXTEST(C248, "Triggers"), "カスタムアラート条件（トリガー設定）", _xlfn.REGEXTEST(C248, "Healthy Kafka Broker"), "Kafka Brokerの健全ノード割合（稼働率）", _xlfn.REGEXTEST(C248, "Healthy Kafka Connect"), "Kafka Connectの健全ノード割合（稼働率）", _xlfn.REGEXTEST(C248, "Healthy KRaft Controller"), "KRaft Controllerの健全ノード割合（稼働率）", _xlfn.REGEXTEST(C248, "Healthy Knox IDBroker"), "Knox IDBrokerの健全ノード割合（稼働率）", _xlfn.REGEXTEST(C248, "Healthy Knox Gateway"), "Knox Gatewayの健全ノード割合（稼働率）", _xlfn.REGEXTEST(C248, "Healthy ZooKeeper Server"), "ZooKeeper Serverの健全ノード割合（稼働率）", _xlfn.REGEXTEST(C248, "Healthy NodeManager"), "NodeManagerの健全ノード割合（稼働率）", _xlfn.REGEXTEST(C248, "Maximum Latency"), "リクエストの最大レイテンシ（処理遅延）", _xlfn.REGEXTEST(C248, "Garbage Collection Duration"), "Javaのガベージコレクション（GC）の所要時間", _xlfn.REGEXTEST(C248, "Spool Directory Usage"), "Rangerプラグインのスプールディレクトリ使用量", _xlfn.REGEXTEST(C248, "Process Directory Free Space Monitoring Absolute"), "プロセスディレクトリの空き容量（絶対値)", _xlfn.REGEXTEST(C248, "Process Directory Free Space.*Percentage"), "プロセスディレクトリの空き容量割合（%）", _xlfn.REGEXTEST(C248, "Parcel Directory Free Space.*Absolute"), "パーセルディレクトリの空き容量（絶対値）", _xlfn.REGEXTEST(C248, "Parcel Directory Free Space.*Percentage"), "パーセルディレクトリの空き容量割合（%）", _xlfn.REGEXTEST(C248, "Host Network Frame Error Percentage"), "ホストのネットワークフレームエラー割合（%）", _xlfn.REGEXTEST(C248, "Network Interfaces Slow Link Modes"), "ホストのネットワークインターフェースの低速リンクモード検出", _xlfn.REGEXTEST(C248, "Host Memory Swapping"), "ホストのメモリのスワップ発生状態", TRUE, "要手動確認")</f>
        <v>プロセスのファイルディスクリプタ使用率</v>
      </c>
      <c r="H248" s="479" t="s">
        <v>740</v>
      </c>
    </row>
    <row r="249" spans="1:8" ht="33.6">
      <c r="A249" s="514"/>
      <c r="B249" s="473"/>
      <c r="C249" s="471" t="s">
        <v>741</v>
      </c>
      <c r="D249" s="471" t="s">
        <v>742</v>
      </c>
      <c r="E249" s="471" t="s">
        <v>785</v>
      </c>
      <c r="F249" s="471"/>
      <c r="G249" s="471" t="str" cm="1">
        <f t="array" ref="G249">_xlfn.IFS(C249 = "", "", _xlfn.REGEXTEST(C249, "Service Metric Migrator Minimum Consecutive Successful Checks"), "サービスメトリック移行ツールの連続正常チェック最小回数", _xlfn.REGEXTEST(C249, "Rebalancing"), "リバランシング（データ再配置）状態", _xlfn.REGEXTEST(C249, "Temporary Dump Directory"), "一時ダンプディレクトリの監視", _xlfn.REGEXTEST(C249, "Safemode Extension"), "セーフモード延長状態", _xlfn.REGEXTEST(C249, "Client Idle"), "クライアントのアイドル（待機）状態", _xlfn.REGEXTEST(C249, "Available Space Policy Balanced"), "空き容量ポリシーの分散バランス状態", _xlfn.REGEXTEST(C249, "Filesystem Checkpoint Transaction"), "ファイルシステムのチェックポイントトランザクション", _xlfn.REGEXTEST(C249, "Blocks With Corrupt Replicas Monitoring"), "破損レプリカを持つブロックの監視", _xlfn.REGEXTEST(C249, "Missing Block Monitoring"), "消失（ミッシング）ブロックの監視", _xlfn.REGEXTEST(C249, "Under-replicated Block Monitoring"), "レプリカ数不足ブロックの監視", _xlfn.REGEXTEST(C249, "HDFS Free Space Monitoring"), "HDFSの空き容量監視", _xlfn.REGEXTEST(C249, "DataNode Monitoring"), "DataNodeの稼働状態監視", _xlfn.REGEXTEST(C249, "Rules to Extract Events from Log Files"), "ログファイルからのイベント抽出ルール設定", _xlfn.REGEXTEST(C249, "Free Space Monitoring$"), "空き容量監視（一般設定）", _xlfn.REGEXTEST(C249, "Transceivers Usage"), "トランシーバー使用量（データ転送スレッド数）", _xlfn.REGEXTEST(C249, "Volume Failures"), "ボリューム障害（ディスクエラー）数", _xlfn.REGEXTEST(C249, "Block Count"), "ブロック総数", _xlfn.REGEXTEST(C249, "Audit Failure"), "監査（オーディット）ログの失敗イベント", _xlfn.REGEXTEST(C249, "Web Metric Collection Duration"), "Webメトリック収集の所要時間", _xlfn.REGEXTEST(C249, "Pause Duration"), "一時停止（ポーズ）の所要時間", _xlfn.REGEXTEST(C249, "Fsync Latency"), "Fsync（ディスク同期）のレイテンシ", _xlfn.REGEXTEST(C249, "Free Space Monitoring Absolute"), "空き容量（絶対値）", _xlfn.REGEXTEST(C249, "Free Space Monitoring Percentage"), "空き容量割合（%）", _xlfn.REGEXTEST(C249, "Age Monitoring"), "経過時間の監視", _xlfn.REGEXTEST(C249, "Transactions Monitoring"), "トランザクション数の監視", _xlfn.REGEXTEST(C249, "RPC Latency"), "RPC（遠隔手続き呼出し）のレイテンシ", _xlfn.REGEXTEST(C249, "Directory Failures"), "ディレクトリ障害数", _xlfn.REGEXTEST(C249, "Out-Of-Sync JournalNodes"), "同期ズレが発生しているJournalNode数", _xlfn.REGEXTEST(C249, "Safemode Threshold Percentage"), "セーフモード解除閾値の割合（%）", _xlfn.REGEXTEST(C249, "Kerberos Ticket Renewer Monitoring"), "Kerberosチケット更新プロセスの稼働状態監視", _xlfn.REGEXTEST(C249, "Load Balancer Monitoring"), "ロードバランサーの稼働状態監視", _xlfn.REGEXTEST(C249, "Navigator Audit Failure"), "Cloudera Navigator監査ログの失敗イベント", _xlfn.REGEXTEST(C249, "Schema Registry Server Monitoring"), "Schema Registry Serverの稼働状態監視", _xlfn.REGEXTEST(C249, "SRM Service Monitoring"), "SRMサービスの稼働状態監視", _xlfn.REGEXTEST(C249, "SRM Driver Monitoring"), "SRMドライバーの稼働状態監視", _xlfn.REGEXTEST(C249, "Loggin"), "ログ出力状態・設定監視", _xlfn.REGEXTEST(C249, "Server Monitoring"), "サーバーの稼働状態監視", _xlfn.REGEXTEST(C249, "Server Connection Count"), "サーバーの接続数（コネクション数）", _xlfn.REGEXTEST(C249, "Server Outstanding Requests"), "サーバーの未処理リクエスト数（滞留要求数）", _xlfn.REGEXTEST(C249, "Repository Status"), "リポジトリのステータス状態", _xlfn.REGEXTEST(C249, "Monitor Long Running Task"), "長時間実行タスク（ジョブ）の監視", _xlfn.REGEXTEST(C249, "Token requests per second"), "1秒あたりのトークンリクエスト数（要求レート）", _xlfn.REGEXTEST(C249, "Connection Model Score"), "接続モデルスコア（コネクション品質）", _xlfn.REGEXTEST(C249, "Queue swap"), "キューのスワップ発生状態", _xlfn.REGEXTEST(C249, "NiFi Node Monitoring"), "NiFiノードの稼働状態監視", _xlfn.REGEXTEST(C249, "Host Clock Offset"), "ホストのクロックオフセット（時刻同期のズレ）", _xlfn.REGEXTEST(C249, "Memory Overcommit Validation"), "メモリオーバーコミット設定の検証", _xlfn.REGEXTEST(C249, "Gateway Logging"), "ゲートウェイのログ出力設定", _xlfn.REGEXTEST(C249, "CPU Balance"), "CPU使用率の分散バランス状態", _xlfn.REGEXTEST(C249, "Disk Balance"), "ディスク使用量の分散バランス状態", _xlfn.REGEXTEST(C249, "Network Inbound Balance"), "ネットワークインバウンド（受信）の分散バランス状態", _xlfn.REGEXTEST(C249, "Network Outbound Balance"), "ネットワークアウトバウンド（送信）の分散バランス状態", _xlfn.REGEXTEST(C249, "Replica Count Balance"), "レプリカ数の分散バランス状態", _xlfn.REGEXTEST(C249, "Disk Capacity"), "ディスク総容量の限界・使用容量", _xlfn.REGEXTEST(C249, "CPU Capacity"), "CPU総処理能力の限界・使用量", _xlfn.REGEXTEST(C249, "Network Inbound Capacity"), "ネットワークインバウンド（受信）帯域の限界・使用量", _xlfn.REGEXTEST(C249, "Network Outbound Capacity"), "ネットワークアウトバウンド（送信）帯域の限界・使用量", _xlfn.REGEXTEST(C249, "Leader Replica Count Balance"), "リーダーレプリカ数の分散バランス状態", _xlfn.REGEXTEST(C249, "Host DNS Resolution Duration"), "ホストのDNS名前解決の所要時間", _xlfn.REGEXTEST(C249, "TLS Certificate Expiry"), "TLS証明書の有効期限切れ", _xlfn.REGEXTEST(C249, "Host Entropy"), "ホストのエントロピー（乱数生成能力）の不足", _xlfn.REGEXTEST(C249, "File Descriptor"), "プロセスのファイルディスクリプタ使用率", _xlfn.REGEXTEST(C249, "Unexpected Exits"), "プロセスの異常終了（予期せぬ停止）", _xlfn.REGEXTEST(C249, "Swap Memory Thresholds"), "プロセスのスワップメモリ使用量", _xlfn.REGEXTEST(C249, "Swap Memory Usage Rate"), "スワップメモリ使用量の変化率（増加速度）", _xlfn.REGEXTEST(C249, "Log Directory Free Space.*Absolute"), "ログディレクトリの空き容量（絶対値）", _xlfn.REGEXTEST(C249, "Log Directory Free Space.*Percentage"), "ログディレクトリの空き容量割合（%）", _xlfn.REGEXTEST(C249, "Heap Dump Directory Free Space.*Absolute"), "ヒープダンプディレクトリの空き容量（絶対値）", _xlfn.REGEXTEST(C249, "Heap Dump Directory Free Space.*Percentage"), "ヒープダンプディレクトリの空き容量割合（%）", _xlfn.REGEXTEST(C249, "Data Directory Free Space.*Absolute"), "データディレクトリの空き容量（絶対値）", _xlfn.REGEXTEST(C249, "Data Directory Free Space.*Percentage"), "データディレクトリの空き容量割合（%）", _xlfn.REGEXTEST(C249, "Transaction Log Directory Free Space.*Absolute"), "トランザクションログディレクトリの空き容量（絶対値）", _xlfn.REGEXTEST(C249, "Logging Threshold|Logger Threshold"), "ログ出力レベルの閾値設定", _xlfn.REGEXTEST(C249, "Enable.*Alerts"), "ヘルスアラートの有効化状態", _xlfn.REGEXTEST(C249, "Triggers"), "カスタムアラート条件（トリガー設定）", _xlfn.REGEXTEST(C249, "Healthy Kafka Broker"), "Kafka Brokerの健全ノード割合（稼働率）", _xlfn.REGEXTEST(C249, "Healthy Kafka Connect"), "Kafka Connectの健全ノード割合（稼働率）", _xlfn.REGEXTEST(C249, "Healthy KRaft Controller"), "KRaft Controllerの健全ノード割合（稼働率）", _xlfn.REGEXTEST(C249, "Healthy Knox IDBroker"), "Knox IDBrokerの健全ノード割合（稼働率）", _xlfn.REGEXTEST(C249, "Healthy Knox Gateway"), "Knox Gatewayの健全ノード割合（稼働率）", _xlfn.REGEXTEST(C249, "Healthy ZooKeeper Server"), "ZooKeeper Serverの健全ノード割合（稼働率）", _xlfn.REGEXTEST(C249, "Healthy NodeManager"), "NodeManagerの健全ノード割合（稼働率）", _xlfn.REGEXTEST(C249, "Maximum Latency"), "リクエストの最大レイテンシ（処理遅延）", _xlfn.REGEXTEST(C249, "Garbage Collection Duration"), "Javaのガベージコレクション（GC）の所要時間", _xlfn.REGEXTEST(C249, "Spool Directory Usage"), "Rangerプラグインのスプールディレクトリ使用量", _xlfn.REGEXTEST(C249, "Process Directory Free Space Monitoring Absolute"), "プロセスディレクトリの空き容量（絶対値)", _xlfn.REGEXTEST(C249, "Process Directory Free Space.*Percentage"), "プロセスディレクトリの空き容量割合（%）", _xlfn.REGEXTEST(C249, "Parcel Directory Free Space.*Absolute"), "パーセルディレクトリの空き容量（絶対値）", _xlfn.REGEXTEST(C249, "Parcel Directory Free Space.*Percentage"), "パーセルディレクトリの空き容量割合（%）", _xlfn.REGEXTEST(C249, "Host Network Frame Error Percentage"), "ホストのネットワークフレームエラー割合（%）", _xlfn.REGEXTEST(C249, "Network Interfaces Slow Link Modes"), "ホストのネットワークインターフェースの低速リンクモード検出", _xlfn.REGEXTEST(C249, "Host Memory Swapping"), "ホストのメモリのスワップ発生状態", TRUE, "要手動確認")</f>
        <v>空き容量（絶対値）</v>
      </c>
      <c r="H249" s="479" t="s">
        <v>1021</v>
      </c>
    </row>
    <row r="250" spans="1:8" ht="33.6">
      <c r="A250" s="514"/>
      <c r="B250" s="473"/>
      <c r="C250" s="471" t="s">
        <v>741</v>
      </c>
      <c r="D250" s="471" t="s">
        <v>742</v>
      </c>
      <c r="E250" s="471" t="s">
        <v>787</v>
      </c>
      <c r="F250" s="471"/>
      <c r="G250" s="471" t="str" cm="1">
        <f t="array" ref="G250">_xlfn.IFS(C250 = "", "", _xlfn.REGEXTEST(C250, "Service Metric Migrator Minimum Consecutive Successful Checks"), "サービスメトリック移行ツールの連続正常チェック最小回数", _xlfn.REGEXTEST(C250, "Rebalancing"), "リバランシング（データ再配置）状態", _xlfn.REGEXTEST(C250, "Temporary Dump Directory"), "一時ダンプディレクトリの監視", _xlfn.REGEXTEST(C250, "Safemode Extension"), "セーフモード延長状態", _xlfn.REGEXTEST(C250, "Client Idle"), "クライアントのアイドル（待機）状態", _xlfn.REGEXTEST(C250, "Available Space Policy Balanced"), "空き容量ポリシーの分散バランス状態", _xlfn.REGEXTEST(C250, "Filesystem Checkpoint Transaction"), "ファイルシステムのチェックポイントトランザクション", _xlfn.REGEXTEST(C250, "Blocks With Corrupt Replicas Monitoring"), "破損レプリカを持つブロックの監視", _xlfn.REGEXTEST(C250, "Missing Block Monitoring"), "消失（ミッシング）ブロックの監視", _xlfn.REGEXTEST(C250, "Under-replicated Block Monitoring"), "レプリカ数不足ブロックの監視", _xlfn.REGEXTEST(C250, "HDFS Free Space Monitoring"), "HDFSの空き容量監視", _xlfn.REGEXTEST(C250, "DataNode Monitoring"), "DataNodeの稼働状態監視", _xlfn.REGEXTEST(C250, "Rules to Extract Events from Log Files"), "ログファイルからのイベント抽出ルール設定", _xlfn.REGEXTEST(C250, "Free Space Monitoring$"), "空き容量監視（一般設定）", _xlfn.REGEXTEST(C250, "Transceivers Usage"), "トランシーバー使用量（データ転送スレッド数）", _xlfn.REGEXTEST(C250, "Volume Failures"), "ボリューム障害（ディスクエラー）数", _xlfn.REGEXTEST(C250, "Block Count"), "ブロック総数", _xlfn.REGEXTEST(C250, "Audit Failure"), "監査（オーディット）ログの失敗イベント", _xlfn.REGEXTEST(C250, "Web Metric Collection Duration"), "Webメトリック収集の所要時間", _xlfn.REGEXTEST(C250, "Pause Duration"), "一時停止（ポーズ）の所要時間", _xlfn.REGEXTEST(C250, "Fsync Latency"), "Fsync（ディスク同期）のレイテンシ", _xlfn.REGEXTEST(C250, "Free Space Monitoring Absolute"), "空き容量（絶対値）", _xlfn.REGEXTEST(C250, "Free Space Monitoring Percentage"), "空き容量割合（%）", _xlfn.REGEXTEST(C250, "Age Monitoring"), "経過時間の監視", _xlfn.REGEXTEST(C250, "Transactions Monitoring"), "トランザクション数の監視", _xlfn.REGEXTEST(C250, "RPC Latency"), "RPC（遠隔手続き呼出し）のレイテンシ", _xlfn.REGEXTEST(C250, "Directory Failures"), "ディレクトリ障害数", _xlfn.REGEXTEST(C250, "Out-Of-Sync JournalNodes"), "同期ズレが発生しているJournalNode数", _xlfn.REGEXTEST(C250, "Safemode Threshold Percentage"), "セーフモード解除閾値の割合（%）", _xlfn.REGEXTEST(C250, "Kerberos Ticket Renewer Monitoring"), "Kerberosチケット更新プロセスの稼働状態監視", _xlfn.REGEXTEST(C250, "Load Balancer Monitoring"), "ロードバランサーの稼働状態監視", _xlfn.REGEXTEST(C250, "Navigator Audit Failure"), "Cloudera Navigator監査ログの失敗イベント", _xlfn.REGEXTEST(C250, "Schema Registry Server Monitoring"), "Schema Registry Serverの稼働状態監視", _xlfn.REGEXTEST(C250, "SRM Service Monitoring"), "SRMサービスの稼働状態監視", _xlfn.REGEXTEST(C250, "SRM Driver Monitoring"), "SRMドライバーの稼働状態監視", _xlfn.REGEXTEST(C250, "Loggin"), "ログ出力状態・設定監視", _xlfn.REGEXTEST(C250, "Server Monitoring"), "サーバーの稼働状態監視", _xlfn.REGEXTEST(C250, "Server Connection Count"), "サーバーの接続数（コネクション数）", _xlfn.REGEXTEST(C250, "Server Outstanding Requests"), "サーバーの未処理リクエスト数（滞留要求数）", _xlfn.REGEXTEST(C250, "Repository Status"), "リポジトリのステータス状態", _xlfn.REGEXTEST(C250, "Monitor Long Running Task"), "長時間実行タスク（ジョブ）の監視", _xlfn.REGEXTEST(C250, "Token requests per second"), "1秒あたりのトークンリクエスト数（要求レート）", _xlfn.REGEXTEST(C250, "Connection Model Score"), "接続モデルスコア（コネクション品質）", _xlfn.REGEXTEST(C250, "Queue swap"), "キューのスワップ発生状態", _xlfn.REGEXTEST(C250, "NiFi Node Monitoring"), "NiFiノードの稼働状態監視", _xlfn.REGEXTEST(C250, "Host Clock Offset"), "ホストのクロックオフセット（時刻同期のズレ）", _xlfn.REGEXTEST(C250, "Memory Overcommit Validation"), "メモリオーバーコミット設定の検証", _xlfn.REGEXTEST(C250, "Gateway Logging"), "ゲートウェイのログ出力設定", _xlfn.REGEXTEST(C250, "CPU Balance"), "CPU使用率の分散バランス状態", _xlfn.REGEXTEST(C250, "Disk Balance"), "ディスク使用量の分散バランス状態", _xlfn.REGEXTEST(C250, "Network Inbound Balance"), "ネットワークインバウンド（受信）の分散バランス状態", _xlfn.REGEXTEST(C250, "Network Outbound Balance"), "ネットワークアウトバウンド（送信）の分散バランス状態", _xlfn.REGEXTEST(C250, "Replica Count Balance"), "レプリカ数の分散バランス状態", _xlfn.REGEXTEST(C250, "Disk Capacity"), "ディスク総容量の限界・使用容量", _xlfn.REGEXTEST(C250, "CPU Capacity"), "CPU総処理能力の限界・使用量", _xlfn.REGEXTEST(C250, "Network Inbound Capacity"), "ネットワークインバウンド（受信）帯域の限界・使用量", _xlfn.REGEXTEST(C250, "Network Outbound Capacity"), "ネットワークアウトバウンド（送信）帯域の限界・使用量", _xlfn.REGEXTEST(C250, "Leader Replica Count Balance"), "リーダーレプリカ数の分散バランス状態", _xlfn.REGEXTEST(C250, "Host DNS Resolution Duration"), "ホストのDNS名前解決の所要時間", _xlfn.REGEXTEST(C250, "TLS Certificate Expiry"), "TLS証明書の有効期限切れ", _xlfn.REGEXTEST(C250, "Host Entropy"), "ホストのエントロピー（乱数生成能力）の不足", _xlfn.REGEXTEST(C250, "File Descriptor"), "プロセスのファイルディスクリプタ使用率", _xlfn.REGEXTEST(C250, "Unexpected Exits"), "プロセスの異常終了（予期せぬ停止）", _xlfn.REGEXTEST(C250, "Swap Memory Thresholds"), "プロセスのスワップメモリ使用量", _xlfn.REGEXTEST(C250, "Swap Memory Usage Rate"), "スワップメモリ使用量の変化率（増加速度）", _xlfn.REGEXTEST(C250, "Log Directory Free Space.*Absolute"), "ログディレクトリの空き容量（絶対値）", _xlfn.REGEXTEST(C250, "Log Directory Free Space.*Percentage"), "ログディレクトリの空き容量割合（%）", _xlfn.REGEXTEST(C250, "Heap Dump Directory Free Space.*Absolute"), "ヒープダンプディレクトリの空き容量（絶対値）", _xlfn.REGEXTEST(C250, "Heap Dump Directory Free Space.*Percentage"), "ヒープダンプディレクトリの空き容量割合（%）", _xlfn.REGEXTEST(C250, "Data Directory Free Space.*Absolute"), "データディレクトリの空き容量（絶対値）", _xlfn.REGEXTEST(C250, "Data Directory Free Space.*Percentage"), "データディレクトリの空き容量割合（%）", _xlfn.REGEXTEST(C250, "Transaction Log Directory Free Space.*Absolute"), "トランザクションログディレクトリの空き容量（絶対値）", _xlfn.REGEXTEST(C250, "Logging Threshold|Logger Threshold"), "ログ出力レベルの閾値設定", _xlfn.REGEXTEST(C250, "Enable.*Alerts"), "ヘルスアラートの有効化状態", _xlfn.REGEXTEST(C250, "Triggers"), "カスタムアラート条件（トリガー設定）", _xlfn.REGEXTEST(C250, "Healthy Kafka Broker"), "Kafka Brokerの健全ノード割合（稼働率）", _xlfn.REGEXTEST(C250, "Healthy Kafka Connect"), "Kafka Connectの健全ノード割合（稼働率）", _xlfn.REGEXTEST(C250, "Healthy KRaft Controller"), "KRaft Controllerの健全ノード割合（稼働率）", _xlfn.REGEXTEST(C250, "Healthy Knox IDBroker"), "Knox IDBrokerの健全ノード割合（稼働率）", _xlfn.REGEXTEST(C250, "Healthy Knox Gateway"), "Knox Gatewayの健全ノード割合（稼働率）", _xlfn.REGEXTEST(C250, "Healthy ZooKeeper Server"), "ZooKeeper Serverの健全ノード割合（稼働率）", _xlfn.REGEXTEST(C250, "Healthy NodeManager"), "NodeManagerの健全ノード割合（稼働率）", _xlfn.REGEXTEST(C250, "Maximum Latency"), "リクエストの最大レイテンシ（処理遅延）", _xlfn.REGEXTEST(C250, "Garbage Collection Duration"), "Javaのガベージコレクション（GC）の所要時間", _xlfn.REGEXTEST(C250, "Spool Directory Usage"), "Rangerプラグインのスプールディレクトリ使用量", _xlfn.REGEXTEST(C250, "Process Directory Free Space Monitoring Absolute"), "プロセスディレクトリの空き容量（絶対値)", _xlfn.REGEXTEST(C250, "Process Directory Free Space.*Percentage"), "プロセスディレクトリの空き容量割合（%）", _xlfn.REGEXTEST(C250, "Parcel Directory Free Space.*Absolute"), "パーセルディレクトリの空き容量（絶対値）", _xlfn.REGEXTEST(C250, "Parcel Directory Free Space.*Percentage"), "パーセルディレクトリの空き容量割合（%）", _xlfn.REGEXTEST(C250, "Host Network Frame Error Percentage"), "ホストのネットワークフレームエラー割合（%）", _xlfn.REGEXTEST(C250, "Network Interfaces Slow Link Modes"), "ホストのネットワークインターフェースの低速リンクモード検出", _xlfn.REGEXTEST(C250, "Host Memory Swapping"), "ホストのメモリのスワップ発生状態", TRUE, "要手動確認")</f>
        <v>空き容量（絶対値）</v>
      </c>
      <c r="H250" s="479" t="s">
        <v>1021</v>
      </c>
    </row>
    <row r="251" spans="1:8" ht="33.6">
      <c r="A251" s="514"/>
      <c r="B251" s="473"/>
      <c r="C251" s="471" t="s">
        <v>746</v>
      </c>
      <c r="D251" s="471" t="s">
        <v>747</v>
      </c>
      <c r="E251" s="471" t="s">
        <v>785</v>
      </c>
      <c r="F251" s="471"/>
      <c r="G251" s="471" t="str" cm="1">
        <f t="array" ref="G251">_xlfn.IFS(C251 = "", "", _xlfn.REGEXTEST(C251, "Service Metric Migrator Minimum Consecutive Successful Checks"), "サービスメトリック移行ツールの連続正常チェック最小回数", _xlfn.REGEXTEST(C251, "Rebalancing"), "リバランシング（データ再配置）状態", _xlfn.REGEXTEST(C251, "Temporary Dump Directory"), "一時ダンプディレクトリの監視", _xlfn.REGEXTEST(C251, "Safemode Extension"), "セーフモード延長状態", _xlfn.REGEXTEST(C251, "Client Idle"), "クライアントのアイドル（待機）状態", _xlfn.REGEXTEST(C251, "Available Space Policy Balanced"), "空き容量ポリシーの分散バランス状態", _xlfn.REGEXTEST(C251, "Filesystem Checkpoint Transaction"), "ファイルシステムのチェックポイントトランザクション", _xlfn.REGEXTEST(C251, "Blocks With Corrupt Replicas Monitoring"), "破損レプリカを持つブロックの監視", _xlfn.REGEXTEST(C251, "Missing Block Monitoring"), "消失（ミッシング）ブロックの監視", _xlfn.REGEXTEST(C251, "Under-replicated Block Monitoring"), "レプリカ数不足ブロックの監視", _xlfn.REGEXTEST(C251, "HDFS Free Space Monitoring"), "HDFSの空き容量監視", _xlfn.REGEXTEST(C251, "DataNode Monitoring"), "DataNodeの稼働状態監視", _xlfn.REGEXTEST(C251, "Rules to Extract Events from Log Files"), "ログファイルからのイベント抽出ルール設定", _xlfn.REGEXTEST(C251, "Free Space Monitoring$"), "空き容量監視（一般設定）", _xlfn.REGEXTEST(C251, "Transceivers Usage"), "トランシーバー使用量（データ転送スレッド数）", _xlfn.REGEXTEST(C251, "Volume Failures"), "ボリューム障害（ディスクエラー）数", _xlfn.REGEXTEST(C251, "Block Count"), "ブロック総数", _xlfn.REGEXTEST(C251, "Audit Failure"), "監査（オーディット）ログの失敗イベント", _xlfn.REGEXTEST(C251, "Web Metric Collection Duration"), "Webメトリック収集の所要時間", _xlfn.REGEXTEST(C251, "Pause Duration"), "一時停止（ポーズ）の所要時間", _xlfn.REGEXTEST(C251, "Fsync Latency"), "Fsync（ディスク同期）のレイテンシ", _xlfn.REGEXTEST(C251, "Free Space Monitoring Absolute"), "空き容量（絶対値）", _xlfn.REGEXTEST(C251, "Free Space Monitoring Percentage"), "空き容量割合（%）", _xlfn.REGEXTEST(C251, "Age Monitoring"), "経過時間の監視", _xlfn.REGEXTEST(C251, "Transactions Monitoring"), "トランザクション数の監視", _xlfn.REGEXTEST(C251, "RPC Latency"), "RPC（遠隔手続き呼出し）のレイテンシ", _xlfn.REGEXTEST(C251, "Directory Failures"), "ディレクトリ障害数", _xlfn.REGEXTEST(C251, "Out-Of-Sync JournalNodes"), "同期ズレが発生しているJournalNode数", _xlfn.REGEXTEST(C251, "Safemode Threshold Percentage"), "セーフモード解除閾値の割合（%）", _xlfn.REGEXTEST(C251, "Kerberos Ticket Renewer Monitoring"), "Kerberosチケット更新プロセスの稼働状態監視", _xlfn.REGEXTEST(C251, "Load Balancer Monitoring"), "ロードバランサーの稼働状態監視", _xlfn.REGEXTEST(C251, "Navigator Audit Failure"), "Cloudera Navigator監査ログの失敗イベント", _xlfn.REGEXTEST(C251, "Schema Registry Server Monitoring"), "Schema Registry Serverの稼働状態監視", _xlfn.REGEXTEST(C251, "SRM Service Monitoring"), "SRMサービスの稼働状態監視", _xlfn.REGEXTEST(C251, "SRM Driver Monitoring"), "SRMドライバーの稼働状態監視", _xlfn.REGEXTEST(C251, "Loggin"), "ログ出力状態・設定監視", _xlfn.REGEXTEST(C251, "Server Monitoring"), "サーバーの稼働状態監視", _xlfn.REGEXTEST(C251, "Server Connection Count"), "サーバーの接続数（コネクション数）", _xlfn.REGEXTEST(C251, "Server Outstanding Requests"), "サーバーの未処理リクエスト数（滞留要求数）", _xlfn.REGEXTEST(C251, "Repository Status"), "リポジトリのステータス状態", _xlfn.REGEXTEST(C251, "Monitor Long Running Task"), "長時間実行タスク（ジョブ）の監視", _xlfn.REGEXTEST(C251, "Token requests per second"), "1秒あたりのトークンリクエスト数（要求レート）", _xlfn.REGEXTEST(C251, "Connection Model Score"), "接続モデルスコア（コネクション品質）", _xlfn.REGEXTEST(C251, "Queue swap"), "キューのスワップ発生状態", _xlfn.REGEXTEST(C251, "NiFi Node Monitoring"), "NiFiノードの稼働状態監視", _xlfn.REGEXTEST(C251, "Host Clock Offset"), "ホストのクロックオフセット（時刻同期のズレ）", _xlfn.REGEXTEST(C251, "Memory Overcommit Validation"), "メモリオーバーコミット設定の検証", _xlfn.REGEXTEST(C251, "Gateway Logging"), "ゲートウェイのログ出力設定", _xlfn.REGEXTEST(C251, "CPU Balance"), "CPU使用率の分散バランス状態", _xlfn.REGEXTEST(C251, "Disk Balance"), "ディスク使用量の分散バランス状態", _xlfn.REGEXTEST(C251, "Network Inbound Balance"), "ネットワークインバウンド（受信）の分散バランス状態", _xlfn.REGEXTEST(C251, "Network Outbound Balance"), "ネットワークアウトバウンド（送信）の分散バランス状態", _xlfn.REGEXTEST(C251, "Replica Count Balance"), "レプリカ数の分散バランス状態", _xlfn.REGEXTEST(C251, "Disk Capacity"), "ディスク総容量の限界・使用容量", _xlfn.REGEXTEST(C251, "CPU Capacity"), "CPU総処理能力の限界・使用量", _xlfn.REGEXTEST(C251, "Network Inbound Capacity"), "ネットワークインバウンド（受信）帯域の限界・使用量", _xlfn.REGEXTEST(C251, "Network Outbound Capacity"), "ネットワークアウトバウンド（送信）帯域の限界・使用量", _xlfn.REGEXTEST(C251, "Leader Replica Count Balance"), "リーダーレプリカ数の分散バランス状態", _xlfn.REGEXTEST(C251, "Host DNS Resolution Duration"), "ホストのDNS名前解決の所要時間", _xlfn.REGEXTEST(C251, "TLS Certificate Expiry"), "TLS証明書の有効期限切れ", _xlfn.REGEXTEST(C251, "Host Entropy"), "ホストのエントロピー（乱数生成能力）の不足", _xlfn.REGEXTEST(C251, "File Descriptor"), "プロセスのファイルディスクリプタ使用率", _xlfn.REGEXTEST(C251, "Unexpected Exits"), "プロセスの異常終了（予期せぬ停止）", _xlfn.REGEXTEST(C251, "Swap Memory Thresholds"), "プロセスのスワップメモリ使用量", _xlfn.REGEXTEST(C251, "Swap Memory Usage Rate"), "スワップメモリ使用量の変化率（増加速度）", _xlfn.REGEXTEST(C251, "Log Directory Free Space.*Absolute"), "ログディレクトリの空き容量（絶対値）", _xlfn.REGEXTEST(C251, "Log Directory Free Space.*Percentage"), "ログディレクトリの空き容量割合（%）", _xlfn.REGEXTEST(C251, "Heap Dump Directory Free Space.*Absolute"), "ヒープダンプディレクトリの空き容量（絶対値）", _xlfn.REGEXTEST(C251, "Heap Dump Directory Free Space.*Percentage"), "ヒープダンプディレクトリの空き容量割合（%）", _xlfn.REGEXTEST(C251, "Data Directory Free Space.*Absolute"), "データディレクトリの空き容量（絶対値）", _xlfn.REGEXTEST(C251, "Data Directory Free Space.*Percentage"), "データディレクトリの空き容量割合（%）", _xlfn.REGEXTEST(C251, "Transaction Log Directory Free Space.*Absolute"), "トランザクションログディレクトリの空き容量（絶対値）", _xlfn.REGEXTEST(C251, "Logging Threshold|Logger Threshold"), "ログ出力レベルの閾値設定", _xlfn.REGEXTEST(C251, "Enable.*Alerts"), "ヘルスアラートの有効化状態", _xlfn.REGEXTEST(C251, "Triggers"), "カスタムアラート条件（トリガー設定）", _xlfn.REGEXTEST(C251, "Healthy Kafka Broker"), "Kafka Brokerの健全ノード割合（稼働率）", _xlfn.REGEXTEST(C251, "Healthy Kafka Connect"), "Kafka Connectの健全ノード割合（稼働率）", _xlfn.REGEXTEST(C251, "Healthy KRaft Controller"), "KRaft Controllerの健全ノード割合（稼働率）", _xlfn.REGEXTEST(C251, "Healthy Knox IDBroker"), "Knox IDBrokerの健全ノード割合（稼働率）", _xlfn.REGEXTEST(C251, "Healthy Knox Gateway"), "Knox Gatewayの健全ノード割合（稼働率）", _xlfn.REGEXTEST(C251, "Healthy ZooKeeper Server"), "ZooKeeper Serverの健全ノード割合（稼働率）", _xlfn.REGEXTEST(C251, "Healthy NodeManager"), "NodeManagerの健全ノード割合（稼働率）", _xlfn.REGEXTEST(C251, "Maximum Latency"), "リクエストの最大レイテンシ（処理遅延）", _xlfn.REGEXTEST(C251, "Garbage Collection Duration"), "Javaのガベージコレクション（GC）の所要時間", _xlfn.REGEXTEST(C251, "Spool Directory Usage"), "Rangerプラグインのスプールディレクトリ使用量", _xlfn.REGEXTEST(C251, "Process Directory Free Space Monitoring Absolute"), "プロセスディレクトリの空き容量（絶対値)", _xlfn.REGEXTEST(C251, "Process Directory Free Space.*Percentage"), "プロセスディレクトリの空き容量割合（%）", _xlfn.REGEXTEST(C251, "Parcel Directory Free Space.*Absolute"), "パーセルディレクトリの空き容量（絶対値）", _xlfn.REGEXTEST(C251, "Parcel Directory Free Space.*Percentage"), "パーセルディレクトリの空き容量割合（%）", _xlfn.REGEXTEST(C251, "Host Network Frame Error Percentage"), "ホストのネットワークフレームエラー割合（%）", _xlfn.REGEXTEST(C251, "Network Interfaces Slow Link Modes"), "ホストのネットワークインターフェースの低速リンクモード検出", _xlfn.REGEXTEST(C251, "Host Memory Swapping"), "ホストのメモリのスワップ発生状態", TRUE, "要手動確認")</f>
        <v>空き容量割合（%）</v>
      </c>
      <c r="H251" s="479" t="s">
        <v>683</v>
      </c>
    </row>
    <row r="252" spans="1:8" ht="33.6">
      <c r="A252" s="514"/>
      <c r="B252" s="473"/>
      <c r="C252" s="471" t="s">
        <v>746</v>
      </c>
      <c r="D252" s="471" t="s">
        <v>747</v>
      </c>
      <c r="E252" s="471" t="s">
        <v>787</v>
      </c>
      <c r="F252" s="471"/>
      <c r="G252" s="471" t="str" cm="1">
        <f t="array" ref="G252">_xlfn.IFS(C252 = "", "", _xlfn.REGEXTEST(C252, "Service Metric Migrator Minimum Consecutive Successful Checks"), "サービスメトリック移行ツールの連続正常チェック最小回数", _xlfn.REGEXTEST(C252, "Rebalancing"), "リバランシング（データ再配置）状態", _xlfn.REGEXTEST(C252, "Temporary Dump Directory"), "一時ダンプディレクトリの監視", _xlfn.REGEXTEST(C252, "Safemode Extension"), "セーフモード延長状態", _xlfn.REGEXTEST(C252, "Client Idle"), "クライアントのアイドル（待機）状態", _xlfn.REGEXTEST(C252, "Available Space Policy Balanced"), "空き容量ポリシーの分散バランス状態", _xlfn.REGEXTEST(C252, "Filesystem Checkpoint Transaction"), "ファイルシステムのチェックポイントトランザクション", _xlfn.REGEXTEST(C252, "Blocks With Corrupt Replicas Monitoring"), "破損レプリカを持つブロックの監視", _xlfn.REGEXTEST(C252, "Missing Block Monitoring"), "消失（ミッシング）ブロックの監視", _xlfn.REGEXTEST(C252, "Under-replicated Block Monitoring"), "レプリカ数不足ブロックの監視", _xlfn.REGEXTEST(C252, "HDFS Free Space Monitoring"), "HDFSの空き容量監視", _xlfn.REGEXTEST(C252, "DataNode Monitoring"), "DataNodeの稼働状態監視", _xlfn.REGEXTEST(C252, "Rules to Extract Events from Log Files"), "ログファイルからのイベント抽出ルール設定", _xlfn.REGEXTEST(C252, "Free Space Monitoring$"), "空き容量監視（一般設定）", _xlfn.REGEXTEST(C252, "Transceivers Usage"), "トランシーバー使用量（データ転送スレッド数）", _xlfn.REGEXTEST(C252, "Volume Failures"), "ボリューム障害（ディスクエラー）数", _xlfn.REGEXTEST(C252, "Block Count"), "ブロック総数", _xlfn.REGEXTEST(C252, "Audit Failure"), "監査（オーディット）ログの失敗イベント", _xlfn.REGEXTEST(C252, "Web Metric Collection Duration"), "Webメトリック収集の所要時間", _xlfn.REGEXTEST(C252, "Pause Duration"), "一時停止（ポーズ）の所要時間", _xlfn.REGEXTEST(C252, "Fsync Latency"), "Fsync（ディスク同期）のレイテンシ", _xlfn.REGEXTEST(C252, "Free Space Monitoring Absolute"), "空き容量（絶対値）", _xlfn.REGEXTEST(C252, "Free Space Monitoring Percentage"), "空き容量割合（%）", _xlfn.REGEXTEST(C252, "Age Monitoring"), "経過時間の監視", _xlfn.REGEXTEST(C252, "Transactions Monitoring"), "トランザクション数の監視", _xlfn.REGEXTEST(C252, "RPC Latency"), "RPC（遠隔手続き呼出し）のレイテンシ", _xlfn.REGEXTEST(C252, "Directory Failures"), "ディレクトリ障害数", _xlfn.REGEXTEST(C252, "Out-Of-Sync JournalNodes"), "同期ズレが発生しているJournalNode数", _xlfn.REGEXTEST(C252, "Safemode Threshold Percentage"), "セーフモード解除閾値の割合（%）", _xlfn.REGEXTEST(C252, "Kerberos Ticket Renewer Monitoring"), "Kerberosチケット更新プロセスの稼働状態監視", _xlfn.REGEXTEST(C252, "Load Balancer Monitoring"), "ロードバランサーの稼働状態監視", _xlfn.REGEXTEST(C252, "Navigator Audit Failure"), "Cloudera Navigator監査ログの失敗イベント", _xlfn.REGEXTEST(C252, "Schema Registry Server Monitoring"), "Schema Registry Serverの稼働状態監視", _xlfn.REGEXTEST(C252, "SRM Service Monitoring"), "SRMサービスの稼働状態監視", _xlfn.REGEXTEST(C252, "SRM Driver Monitoring"), "SRMドライバーの稼働状態監視", _xlfn.REGEXTEST(C252, "Loggin"), "ログ出力状態・設定監視", _xlfn.REGEXTEST(C252, "Server Monitoring"), "サーバーの稼働状態監視", _xlfn.REGEXTEST(C252, "Server Connection Count"), "サーバーの接続数（コネクション数）", _xlfn.REGEXTEST(C252, "Server Outstanding Requests"), "サーバーの未処理リクエスト数（滞留要求数）", _xlfn.REGEXTEST(C252, "Repository Status"), "リポジトリのステータス状態", _xlfn.REGEXTEST(C252, "Monitor Long Running Task"), "長時間実行タスク（ジョブ）の監視", _xlfn.REGEXTEST(C252, "Token requests per second"), "1秒あたりのトークンリクエスト数（要求レート）", _xlfn.REGEXTEST(C252, "Connection Model Score"), "接続モデルスコア（コネクション品質）", _xlfn.REGEXTEST(C252, "Queue swap"), "キューのスワップ発生状態", _xlfn.REGEXTEST(C252, "NiFi Node Monitoring"), "NiFiノードの稼働状態監視", _xlfn.REGEXTEST(C252, "Host Clock Offset"), "ホストのクロックオフセット（時刻同期のズレ）", _xlfn.REGEXTEST(C252, "Memory Overcommit Validation"), "メモリオーバーコミット設定の検証", _xlfn.REGEXTEST(C252, "Gateway Logging"), "ゲートウェイのログ出力設定", _xlfn.REGEXTEST(C252, "CPU Balance"), "CPU使用率の分散バランス状態", _xlfn.REGEXTEST(C252, "Disk Balance"), "ディスク使用量の分散バランス状態", _xlfn.REGEXTEST(C252, "Network Inbound Balance"), "ネットワークインバウンド（受信）の分散バランス状態", _xlfn.REGEXTEST(C252, "Network Outbound Balance"), "ネットワークアウトバウンド（送信）の分散バランス状態", _xlfn.REGEXTEST(C252, "Replica Count Balance"), "レプリカ数の分散バランス状態", _xlfn.REGEXTEST(C252, "Disk Capacity"), "ディスク総容量の限界・使用容量", _xlfn.REGEXTEST(C252, "CPU Capacity"), "CPU総処理能力の限界・使用量", _xlfn.REGEXTEST(C252, "Network Inbound Capacity"), "ネットワークインバウンド（受信）帯域の限界・使用量", _xlfn.REGEXTEST(C252, "Network Outbound Capacity"), "ネットワークアウトバウンド（送信）帯域の限界・使用量", _xlfn.REGEXTEST(C252, "Leader Replica Count Balance"), "リーダーレプリカ数の分散バランス状態", _xlfn.REGEXTEST(C252, "Host DNS Resolution Duration"), "ホストのDNS名前解決の所要時間", _xlfn.REGEXTEST(C252, "TLS Certificate Expiry"), "TLS証明書の有効期限切れ", _xlfn.REGEXTEST(C252, "Host Entropy"), "ホストのエントロピー（乱数生成能力）の不足", _xlfn.REGEXTEST(C252, "File Descriptor"), "プロセスのファイルディスクリプタ使用率", _xlfn.REGEXTEST(C252, "Unexpected Exits"), "プロセスの異常終了（予期せぬ停止）", _xlfn.REGEXTEST(C252, "Swap Memory Thresholds"), "プロセスのスワップメモリ使用量", _xlfn.REGEXTEST(C252, "Swap Memory Usage Rate"), "スワップメモリ使用量の変化率（増加速度）", _xlfn.REGEXTEST(C252, "Log Directory Free Space.*Absolute"), "ログディレクトリの空き容量（絶対値）", _xlfn.REGEXTEST(C252, "Log Directory Free Space.*Percentage"), "ログディレクトリの空き容量割合（%）", _xlfn.REGEXTEST(C252, "Heap Dump Directory Free Space.*Absolute"), "ヒープダンプディレクトリの空き容量（絶対値）", _xlfn.REGEXTEST(C252, "Heap Dump Directory Free Space.*Percentage"), "ヒープダンプディレクトリの空き容量割合（%）", _xlfn.REGEXTEST(C252, "Data Directory Free Space.*Absolute"), "データディレクトリの空き容量（絶対値）", _xlfn.REGEXTEST(C252, "Data Directory Free Space.*Percentage"), "データディレクトリの空き容量割合（%）", _xlfn.REGEXTEST(C252, "Transaction Log Directory Free Space.*Absolute"), "トランザクションログディレクトリの空き容量（絶対値）", _xlfn.REGEXTEST(C252, "Logging Threshold|Logger Threshold"), "ログ出力レベルの閾値設定", _xlfn.REGEXTEST(C252, "Enable.*Alerts"), "ヘルスアラートの有効化状態", _xlfn.REGEXTEST(C252, "Triggers"), "カスタムアラート条件（トリガー設定）", _xlfn.REGEXTEST(C252, "Healthy Kafka Broker"), "Kafka Brokerの健全ノード割合（稼働率）", _xlfn.REGEXTEST(C252, "Healthy Kafka Connect"), "Kafka Connectの健全ノード割合（稼働率）", _xlfn.REGEXTEST(C252, "Healthy KRaft Controller"), "KRaft Controllerの健全ノード割合（稼働率）", _xlfn.REGEXTEST(C252, "Healthy Knox IDBroker"), "Knox IDBrokerの健全ノード割合（稼働率）", _xlfn.REGEXTEST(C252, "Healthy Knox Gateway"), "Knox Gatewayの健全ノード割合（稼働率）", _xlfn.REGEXTEST(C252, "Healthy ZooKeeper Server"), "ZooKeeper Serverの健全ノード割合（稼働率）", _xlfn.REGEXTEST(C252, "Healthy NodeManager"), "NodeManagerの健全ノード割合（稼働率）", _xlfn.REGEXTEST(C252, "Maximum Latency"), "リクエストの最大レイテンシ（処理遅延）", _xlfn.REGEXTEST(C252, "Garbage Collection Duration"), "Javaのガベージコレクション（GC）の所要時間", _xlfn.REGEXTEST(C252, "Spool Directory Usage"), "Rangerプラグインのスプールディレクトリ使用量", _xlfn.REGEXTEST(C252, "Process Directory Free Space Monitoring Absolute"), "プロセスディレクトリの空き容量（絶対値)", _xlfn.REGEXTEST(C252, "Process Directory Free Space.*Percentage"), "プロセスディレクトリの空き容量割合（%）", _xlfn.REGEXTEST(C252, "Parcel Directory Free Space.*Absolute"), "パーセルディレクトリの空き容量（絶対値）", _xlfn.REGEXTEST(C252, "Parcel Directory Free Space.*Percentage"), "パーセルディレクトリの空き容量割合（%）", _xlfn.REGEXTEST(C252, "Host Network Frame Error Percentage"), "ホストのネットワークフレームエラー割合（%）", _xlfn.REGEXTEST(C252, "Network Interfaces Slow Link Modes"), "ホストのネットワークインターフェースの低速リンクモード検出", _xlfn.REGEXTEST(C252, "Host Memory Swapping"), "ホストのメモリのスワップ発生状態", TRUE, "要手動確認")</f>
        <v>空き容量割合（%）</v>
      </c>
      <c r="H252" s="479" t="s">
        <v>683</v>
      </c>
    </row>
    <row r="253" spans="1:8" ht="33.6">
      <c r="A253" s="514"/>
      <c r="B253" s="473"/>
      <c r="C253" s="471" t="s">
        <v>749</v>
      </c>
      <c r="D253" s="471" t="s">
        <v>750</v>
      </c>
      <c r="E253" s="471" t="s">
        <v>785</v>
      </c>
      <c r="F253" s="471"/>
      <c r="G253" s="471" t="str" cm="1">
        <f t="array" ref="G253">_xlfn.IFS(C253 = "", "", _xlfn.REGEXTEST(C253, "Service Metric Migrator Minimum Consecutive Successful Checks"), "サービスメトリック移行ツールの連続正常チェック最小回数", _xlfn.REGEXTEST(C253, "Rebalancing"), "リバランシング（データ再配置）状態", _xlfn.REGEXTEST(C253, "Temporary Dump Directory"), "一時ダンプディレクトリの監視", _xlfn.REGEXTEST(C253, "Safemode Extension"), "セーフモード延長状態", _xlfn.REGEXTEST(C253, "Client Idle"), "クライアントのアイドル（待機）状態", _xlfn.REGEXTEST(C253, "Available Space Policy Balanced"), "空き容量ポリシーの分散バランス状態", _xlfn.REGEXTEST(C253, "Filesystem Checkpoint Transaction"), "ファイルシステムのチェックポイントトランザクション", _xlfn.REGEXTEST(C253, "Blocks With Corrupt Replicas Monitoring"), "破損レプリカを持つブロックの監視", _xlfn.REGEXTEST(C253, "Missing Block Monitoring"), "消失（ミッシング）ブロックの監視", _xlfn.REGEXTEST(C253, "Under-replicated Block Monitoring"), "レプリカ数不足ブロックの監視", _xlfn.REGEXTEST(C253, "HDFS Free Space Monitoring"), "HDFSの空き容量監視", _xlfn.REGEXTEST(C253, "DataNode Monitoring"), "DataNodeの稼働状態監視", _xlfn.REGEXTEST(C253, "Rules to Extract Events from Log Files"), "ログファイルからのイベント抽出ルール設定", _xlfn.REGEXTEST(C253, "Free Space Monitoring$"), "空き容量監視（一般設定）", _xlfn.REGEXTEST(C253, "Transceivers Usage"), "トランシーバー使用量（データ転送スレッド数）", _xlfn.REGEXTEST(C253, "Volume Failures"), "ボリューム障害（ディスクエラー）数", _xlfn.REGEXTEST(C253, "Block Count"), "ブロック総数", _xlfn.REGEXTEST(C253, "Audit Failure"), "監査（オーディット）ログの失敗イベント", _xlfn.REGEXTEST(C253, "Web Metric Collection Duration"), "Webメトリック収集の所要時間", _xlfn.REGEXTEST(C253, "Pause Duration"), "一時停止（ポーズ）の所要時間", _xlfn.REGEXTEST(C253, "Fsync Latency"), "Fsync（ディスク同期）のレイテンシ", _xlfn.REGEXTEST(C253, "Free Space Monitoring Absolute"), "空き容量（絶対値）", _xlfn.REGEXTEST(C253, "Free Space Monitoring Percentage"), "空き容量割合（%）", _xlfn.REGEXTEST(C253, "Age Monitoring"), "経過時間の監視", _xlfn.REGEXTEST(C253, "Transactions Monitoring"), "トランザクション数の監視", _xlfn.REGEXTEST(C253, "RPC Latency"), "RPC（遠隔手続き呼出し）のレイテンシ", _xlfn.REGEXTEST(C253, "Directory Failures"), "ディレクトリ障害数", _xlfn.REGEXTEST(C253, "Out-Of-Sync JournalNodes"), "同期ズレが発生しているJournalNode数", _xlfn.REGEXTEST(C253, "Safemode Threshold Percentage"), "セーフモード解除閾値の割合（%）", _xlfn.REGEXTEST(C253, "Kerberos Ticket Renewer Monitoring"), "Kerberosチケット更新プロセスの稼働状態監視", _xlfn.REGEXTEST(C253, "Load Balancer Monitoring"), "ロードバランサーの稼働状態監視", _xlfn.REGEXTEST(C253, "Navigator Audit Failure"), "Cloudera Navigator監査ログの失敗イベント", _xlfn.REGEXTEST(C253, "Schema Registry Server Monitoring"), "Schema Registry Serverの稼働状態監視", _xlfn.REGEXTEST(C253, "SRM Service Monitoring"), "SRMサービスの稼働状態監視", _xlfn.REGEXTEST(C253, "SRM Driver Monitoring"), "SRMドライバーの稼働状態監視", _xlfn.REGEXTEST(C253, "Loggin"), "ログ出力状態・設定監視", _xlfn.REGEXTEST(C253, "Server Monitoring"), "サーバーの稼働状態監視", _xlfn.REGEXTEST(C253, "Server Connection Count"), "サーバーの接続数（コネクション数）", _xlfn.REGEXTEST(C253, "Server Outstanding Requests"), "サーバーの未処理リクエスト数（滞留要求数）", _xlfn.REGEXTEST(C253, "Repository Status"), "リポジトリのステータス状態", _xlfn.REGEXTEST(C253, "Monitor Long Running Task"), "長時間実行タスク（ジョブ）の監視", _xlfn.REGEXTEST(C253, "Token requests per second"), "1秒あたりのトークンリクエスト数（要求レート）", _xlfn.REGEXTEST(C253, "Connection Model Score"), "接続モデルスコア（コネクション品質）", _xlfn.REGEXTEST(C253, "Queue swap"), "キューのスワップ発生状態", _xlfn.REGEXTEST(C253, "NiFi Node Monitoring"), "NiFiノードの稼働状態監視", _xlfn.REGEXTEST(C253, "Host Clock Offset"), "ホストのクロックオフセット（時刻同期のズレ）", _xlfn.REGEXTEST(C253, "Memory Overcommit Validation"), "メモリオーバーコミット設定の検証", _xlfn.REGEXTEST(C253, "Gateway Logging"), "ゲートウェイのログ出力設定", _xlfn.REGEXTEST(C253, "CPU Balance"), "CPU使用率の分散バランス状態", _xlfn.REGEXTEST(C253, "Disk Balance"), "ディスク使用量の分散バランス状態", _xlfn.REGEXTEST(C253, "Network Inbound Balance"), "ネットワークインバウンド（受信）の分散バランス状態", _xlfn.REGEXTEST(C253, "Network Outbound Balance"), "ネットワークアウトバウンド（送信）の分散バランス状態", _xlfn.REGEXTEST(C253, "Replica Count Balance"), "レプリカ数の分散バランス状態", _xlfn.REGEXTEST(C253, "Disk Capacity"), "ディスク総容量の限界・使用容量", _xlfn.REGEXTEST(C253, "CPU Capacity"), "CPU総処理能力の限界・使用量", _xlfn.REGEXTEST(C253, "Network Inbound Capacity"), "ネットワークインバウンド（受信）帯域の限界・使用量", _xlfn.REGEXTEST(C253, "Network Outbound Capacity"), "ネットワークアウトバウンド（送信）帯域の限界・使用量", _xlfn.REGEXTEST(C253, "Leader Replica Count Balance"), "リーダーレプリカ数の分散バランス状態", _xlfn.REGEXTEST(C253, "Host DNS Resolution Duration"), "ホストのDNS名前解決の所要時間", _xlfn.REGEXTEST(C253, "TLS Certificate Expiry"), "TLS証明書の有効期限切れ", _xlfn.REGEXTEST(C253, "Host Entropy"), "ホストのエントロピー（乱数生成能力）の不足", _xlfn.REGEXTEST(C253, "File Descriptor"), "プロセスのファイルディスクリプタ使用率", _xlfn.REGEXTEST(C253, "Unexpected Exits"), "プロセスの異常終了（予期せぬ停止）", _xlfn.REGEXTEST(C253, "Swap Memory Thresholds"), "プロセスのスワップメモリ使用量", _xlfn.REGEXTEST(C253, "Swap Memory Usage Rate"), "スワップメモリ使用量の変化率（増加速度）", _xlfn.REGEXTEST(C253, "Log Directory Free Space.*Absolute"), "ログディレクトリの空き容量（絶対値）", _xlfn.REGEXTEST(C253, "Log Directory Free Space.*Percentage"), "ログディレクトリの空き容量割合（%）", _xlfn.REGEXTEST(C253, "Heap Dump Directory Free Space.*Absolute"), "ヒープダンプディレクトリの空き容量（絶対値）", _xlfn.REGEXTEST(C253, "Heap Dump Directory Free Space.*Percentage"), "ヒープダンプディレクトリの空き容量割合（%）", _xlfn.REGEXTEST(C253, "Data Directory Free Space.*Absolute"), "データディレクトリの空き容量（絶対値）", _xlfn.REGEXTEST(C253, "Data Directory Free Space.*Percentage"), "データディレクトリの空き容量割合（%）", _xlfn.REGEXTEST(C253, "Transaction Log Directory Free Space.*Absolute"), "トランザクションログディレクトリの空き容量（絶対値）", _xlfn.REGEXTEST(C253, "Logging Threshold|Logger Threshold"), "ログ出力レベルの閾値設定", _xlfn.REGEXTEST(C253, "Enable.*Alerts"), "ヘルスアラートの有効化状態", _xlfn.REGEXTEST(C253, "Triggers"), "カスタムアラート条件（トリガー設定）", _xlfn.REGEXTEST(C253, "Healthy Kafka Broker"), "Kafka Brokerの健全ノード割合（稼働率）", _xlfn.REGEXTEST(C253, "Healthy Kafka Connect"), "Kafka Connectの健全ノード割合（稼働率）", _xlfn.REGEXTEST(C253, "Healthy KRaft Controller"), "KRaft Controllerの健全ノード割合（稼働率）", _xlfn.REGEXTEST(C253, "Healthy Knox IDBroker"), "Knox IDBrokerの健全ノード割合（稼働率）", _xlfn.REGEXTEST(C253, "Healthy Knox Gateway"), "Knox Gatewayの健全ノード割合（稼働率）", _xlfn.REGEXTEST(C253, "Healthy ZooKeeper Server"), "ZooKeeper Serverの健全ノード割合（稼働率）", _xlfn.REGEXTEST(C253, "Healthy NodeManager"), "NodeManagerの健全ノード割合（稼働率）", _xlfn.REGEXTEST(C253, "Maximum Latency"), "リクエストの最大レイテンシ（処理遅延）", _xlfn.REGEXTEST(C253, "Garbage Collection Duration"), "Javaのガベージコレクション（GC）の所要時間", _xlfn.REGEXTEST(C253, "Spool Directory Usage"), "Rangerプラグインのスプールディレクトリ使用量", _xlfn.REGEXTEST(C253, "Process Directory Free Space Monitoring Absolute"), "プロセスディレクトリの空き容量（絶対値)", _xlfn.REGEXTEST(C253, "Process Directory Free Space.*Percentage"), "プロセスディレクトリの空き容量割合（%）", _xlfn.REGEXTEST(C253, "Parcel Directory Free Space.*Absolute"), "パーセルディレクトリの空き容量（絶対値）", _xlfn.REGEXTEST(C253, "Parcel Directory Free Space.*Percentage"), "パーセルディレクトリの空き容量割合（%）", _xlfn.REGEXTEST(C253, "Host Network Frame Error Percentage"), "ホストのネットワークフレームエラー割合（%）", _xlfn.REGEXTEST(C253, "Network Interfaces Slow Link Modes"), "ホストのネットワークインターフェースの低速リンクモード検出", _xlfn.REGEXTEST(C253, "Host Memory Swapping"), "ホストのメモリのスワップ発生状態", TRUE, "要手動確認")</f>
        <v>プロセスの異常終了（予期せぬ停止）</v>
      </c>
      <c r="H253" s="479" t="s">
        <v>751</v>
      </c>
    </row>
    <row r="254" spans="1:8" ht="33.6">
      <c r="A254" s="514"/>
      <c r="B254" s="473"/>
      <c r="C254" s="471" t="s">
        <v>749</v>
      </c>
      <c r="D254" s="471" t="s">
        <v>750</v>
      </c>
      <c r="E254" s="471" t="s">
        <v>787</v>
      </c>
      <c r="F254" s="471"/>
      <c r="G254" s="471" t="str" cm="1">
        <f t="array" ref="G254">_xlfn.IFS(C254 = "", "", _xlfn.REGEXTEST(C254, "Service Metric Migrator Minimum Consecutive Successful Checks"), "サービスメトリック移行ツールの連続正常チェック最小回数", _xlfn.REGEXTEST(C254, "Rebalancing"), "リバランシング（データ再配置）状態", _xlfn.REGEXTEST(C254, "Temporary Dump Directory"), "一時ダンプディレクトリの監視", _xlfn.REGEXTEST(C254, "Safemode Extension"), "セーフモード延長状態", _xlfn.REGEXTEST(C254, "Client Idle"), "クライアントのアイドル（待機）状態", _xlfn.REGEXTEST(C254, "Available Space Policy Balanced"), "空き容量ポリシーの分散バランス状態", _xlfn.REGEXTEST(C254, "Filesystem Checkpoint Transaction"), "ファイルシステムのチェックポイントトランザクション", _xlfn.REGEXTEST(C254, "Blocks With Corrupt Replicas Monitoring"), "破損レプリカを持つブロックの監視", _xlfn.REGEXTEST(C254, "Missing Block Monitoring"), "消失（ミッシング）ブロックの監視", _xlfn.REGEXTEST(C254, "Under-replicated Block Monitoring"), "レプリカ数不足ブロックの監視", _xlfn.REGEXTEST(C254, "HDFS Free Space Monitoring"), "HDFSの空き容量監視", _xlfn.REGEXTEST(C254, "DataNode Monitoring"), "DataNodeの稼働状態監視", _xlfn.REGEXTEST(C254, "Rules to Extract Events from Log Files"), "ログファイルからのイベント抽出ルール設定", _xlfn.REGEXTEST(C254, "Free Space Monitoring$"), "空き容量監視（一般設定）", _xlfn.REGEXTEST(C254, "Transceivers Usage"), "トランシーバー使用量（データ転送スレッド数）", _xlfn.REGEXTEST(C254, "Volume Failures"), "ボリューム障害（ディスクエラー）数", _xlfn.REGEXTEST(C254, "Block Count"), "ブロック総数", _xlfn.REGEXTEST(C254, "Audit Failure"), "監査（オーディット）ログの失敗イベント", _xlfn.REGEXTEST(C254, "Web Metric Collection Duration"), "Webメトリック収集の所要時間", _xlfn.REGEXTEST(C254, "Pause Duration"), "一時停止（ポーズ）の所要時間", _xlfn.REGEXTEST(C254, "Fsync Latency"), "Fsync（ディスク同期）のレイテンシ", _xlfn.REGEXTEST(C254, "Free Space Monitoring Absolute"), "空き容量（絶対値）", _xlfn.REGEXTEST(C254, "Free Space Monitoring Percentage"), "空き容量割合（%）", _xlfn.REGEXTEST(C254, "Age Monitoring"), "経過時間の監視", _xlfn.REGEXTEST(C254, "Transactions Monitoring"), "トランザクション数の監視", _xlfn.REGEXTEST(C254, "RPC Latency"), "RPC（遠隔手続き呼出し）のレイテンシ", _xlfn.REGEXTEST(C254, "Directory Failures"), "ディレクトリ障害数", _xlfn.REGEXTEST(C254, "Out-Of-Sync JournalNodes"), "同期ズレが発生しているJournalNode数", _xlfn.REGEXTEST(C254, "Safemode Threshold Percentage"), "セーフモード解除閾値の割合（%）", _xlfn.REGEXTEST(C254, "Kerberos Ticket Renewer Monitoring"), "Kerberosチケット更新プロセスの稼働状態監視", _xlfn.REGEXTEST(C254, "Load Balancer Monitoring"), "ロードバランサーの稼働状態監視", _xlfn.REGEXTEST(C254, "Navigator Audit Failure"), "Cloudera Navigator監査ログの失敗イベント", _xlfn.REGEXTEST(C254, "Schema Registry Server Monitoring"), "Schema Registry Serverの稼働状態監視", _xlfn.REGEXTEST(C254, "SRM Service Monitoring"), "SRMサービスの稼働状態監視", _xlfn.REGEXTEST(C254, "SRM Driver Monitoring"), "SRMドライバーの稼働状態監視", _xlfn.REGEXTEST(C254, "Loggin"), "ログ出力状態・設定監視", _xlfn.REGEXTEST(C254, "Server Monitoring"), "サーバーの稼働状態監視", _xlfn.REGEXTEST(C254, "Server Connection Count"), "サーバーの接続数（コネクション数）", _xlfn.REGEXTEST(C254, "Server Outstanding Requests"), "サーバーの未処理リクエスト数（滞留要求数）", _xlfn.REGEXTEST(C254, "Repository Status"), "リポジトリのステータス状態", _xlfn.REGEXTEST(C254, "Monitor Long Running Task"), "長時間実行タスク（ジョブ）の監視", _xlfn.REGEXTEST(C254, "Token requests per second"), "1秒あたりのトークンリクエスト数（要求レート）", _xlfn.REGEXTEST(C254, "Connection Model Score"), "接続モデルスコア（コネクション品質）", _xlfn.REGEXTEST(C254, "Queue swap"), "キューのスワップ発生状態", _xlfn.REGEXTEST(C254, "NiFi Node Monitoring"), "NiFiノードの稼働状態監視", _xlfn.REGEXTEST(C254, "Host Clock Offset"), "ホストのクロックオフセット（時刻同期のズレ）", _xlfn.REGEXTEST(C254, "Memory Overcommit Validation"), "メモリオーバーコミット設定の検証", _xlfn.REGEXTEST(C254, "Gateway Logging"), "ゲートウェイのログ出力設定", _xlfn.REGEXTEST(C254, "CPU Balance"), "CPU使用率の分散バランス状態", _xlfn.REGEXTEST(C254, "Disk Balance"), "ディスク使用量の分散バランス状態", _xlfn.REGEXTEST(C254, "Network Inbound Balance"), "ネットワークインバウンド（受信）の分散バランス状態", _xlfn.REGEXTEST(C254, "Network Outbound Balance"), "ネットワークアウトバウンド（送信）の分散バランス状態", _xlfn.REGEXTEST(C254, "Replica Count Balance"), "レプリカ数の分散バランス状態", _xlfn.REGEXTEST(C254, "Disk Capacity"), "ディスク総容量の限界・使用容量", _xlfn.REGEXTEST(C254, "CPU Capacity"), "CPU総処理能力の限界・使用量", _xlfn.REGEXTEST(C254, "Network Inbound Capacity"), "ネットワークインバウンド（受信）帯域の限界・使用量", _xlfn.REGEXTEST(C254, "Network Outbound Capacity"), "ネットワークアウトバウンド（送信）帯域の限界・使用量", _xlfn.REGEXTEST(C254, "Leader Replica Count Balance"), "リーダーレプリカ数の分散バランス状態", _xlfn.REGEXTEST(C254, "Host DNS Resolution Duration"), "ホストのDNS名前解決の所要時間", _xlfn.REGEXTEST(C254, "TLS Certificate Expiry"), "TLS証明書の有効期限切れ", _xlfn.REGEXTEST(C254, "Host Entropy"), "ホストのエントロピー（乱数生成能力）の不足", _xlfn.REGEXTEST(C254, "File Descriptor"), "プロセスのファイルディスクリプタ使用率", _xlfn.REGEXTEST(C254, "Unexpected Exits"), "プロセスの異常終了（予期せぬ停止）", _xlfn.REGEXTEST(C254, "Swap Memory Thresholds"), "プロセスのスワップメモリ使用量", _xlfn.REGEXTEST(C254, "Swap Memory Usage Rate"), "スワップメモリ使用量の変化率（増加速度）", _xlfn.REGEXTEST(C254, "Log Directory Free Space.*Absolute"), "ログディレクトリの空き容量（絶対値）", _xlfn.REGEXTEST(C254, "Log Directory Free Space.*Percentage"), "ログディレクトリの空き容量割合（%）", _xlfn.REGEXTEST(C254, "Heap Dump Directory Free Space.*Absolute"), "ヒープダンプディレクトリの空き容量（絶対値）", _xlfn.REGEXTEST(C254, "Heap Dump Directory Free Space.*Percentage"), "ヒープダンプディレクトリの空き容量割合（%）", _xlfn.REGEXTEST(C254, "Data Directory Free Space.*Absolute"), "データディレクトリの空き容量（絶対値）", _xlfn.REGEXTEST(C254, "Data Directory Free Space.*Percentage"), "データディレクトリの空き容量割合（%）", _xlfn.REGEXTEST(C254, "Transaction Log Directory Free Space.*Absolute"), "トランザクションログディレクトリの空き容量（絶対値）", _xlfn.REGEXTEST(C254, "Logging Threshold|Logger Threshold"), "ログ出力レベルの閾値設定", _xlfn.REGEXTEST(C254, "Enable.*Alerts"), "ヘルスアラートの有効化状態", _xlfn.REGEXTEST(C254, "Triggers"), "カスタムアラート条件（トリガー設定）", _xlfn.REGEXTEST(C254, "Healthy Kafka Broker"), "Kafka Brokerの健全ノード割合（稼働率）", _xlfn.REGEXTEST(C254, "Healthy Kafka Connect"), "Kafka Connectの健全ノード割合（稼働率）", _xlfn.REGEXTEST(C254, "Healthy KRaft Controller"), "KRaft Controllerの健全ノード割合（稼働率）", _xlfn.REGEXTEST(C254, "Healthy Knox IDBroker"), "Knox IDBrokerの健全ノード割合（稼働率）", _xlfn.REGEXTEST(C254, "Healthy Knox Gateway"), "Knox Gatewayの健全ノード割合（稼働率）", _xlfn.REGEXTEST(C254, "Healthy ZooKeeper Server"), "ZooKeeper Serverの健全ノード割合（稼働率）", _xlfn.REGEXTEST(C254, "Healthy NodeManager"), "NodeManagerの健全ノード割合（稼働率）", _xlfn.REGEXTEST(C254, "Maximum Latency"), "リクエストの最大レイテンシ（処理遅延）", _xlfn.REGEXTEST(C254, "Garbage Collection Duration"), "Javaのガベージコレクション（GC）の所要時間", _xlfn.REGEXTEST(C254, "Spool Directory Usage"), "Rangerプラグインのスプールディレクトリ使用量", _xlfn.REGEXTEST(C254, "Process Directory Free Space Monitoring Absolute"), "プロセスディレクトリの空き容量（絶対値)", _xlfn.REGEXTEST(C254, "Process Directory Free Space.*Percentage"), "プロセスディレクトリの空き容量割合（%）", _xlfn.REGEXTEST(C254, "Parcel Directory Free Space.*Absolute"), "パーセルディレクトリの空き容量（絶対値）", _xlfn.REGEXTEST(C254, "Parcel Directory Free Space.*Percentage"), "パーセルディレクトリの空き容量割合（%）", _xlfn.REGEXTEST(C254, "Host Network Frame Error Percentage"), "ホストのネットワークフレームエラー割合（%）", _xlfn.REGEXTEST(C254, "Network Interfaces Slow Link Modes"), "ホストのネットワークインターフェースの低速リンクモード検出", _xlfn.REGEXTEST(C254, "Host Memory Swapping"), "ホストのメモリのスワップ発生状態", TRUE, "要手動確認")</f>
        <v>プロセスの異常終了（予期せぬ停止）</v>
      </c>
      <c r="H254" s="479" t="s">
        <v>751</v>
      </c>
    </row>
    <row r="255" spans="1:8" ht="16.899999999999999">
      <c r="A255" s="514"/>
      <c r="B255" s="473"/>
      <c r="C255" s="471" t="s">
        <v>752</v>
      </c>
      <c r="D255" s="471" t="s">
        <v>753</v>
      </c>
      <c r="E255" s="471" t="s">
        <v>785</v>
      </c>
      <c r="F255" s="471"/>
      <c r="G255" s="471" t="str" cm="1">
        <f t="array" ref="G255">_xlfn.IFS(C255 = "", "", _xlfn.REGEXTEST(C255, "Service Metric Migrator Minimum Consecutive Successful Checks"), "サービスメトリック移行ツールの連続正常チェック最小回数", _xlfn.REGEXTEST(C255, "Rebalancing"), "リバランシング（データ再配置）状態", _xlfn.REGEXTEST(C255, "Temporary Dump Directory"), "一時ダンプディレクトリの監視", _xlfn.REGEXTEST(C255, "Safemode Extension"), "セーフモード延長状態", _xlfn.REGEXTEST(C255, "Client Idle"), "クライアントのアイドル（待機）状態", _xlfn.REGEXTEST(C255, "Available Space Policy Balanced"), "空き容量ポリシーの分散バランス状態", _xlfn.REGEXTEST(C255, "Filesystem Checkpoint Transaction"), "ファイルシステムのチェックポイントトランザクション", _xlfn.REGEXTEST(C255, "Blocks With Corrupt Replicas Monitoring"), "破損レプリカを持つブロックの監視", _xlfn.REGEXTEST(C255, "Missing Block Monitoring"), "消失（ミッシング）ブロックの監視", _xlfn.REGEXTEST(C255, "Under-replicated Block Monitoring"), "レプリカ数不足ブロックの監視", _xlfn.REGEXTEST(C255, "HDFS Free Space Monitoring"), "HDFSの空き容量監視", _xlfn.REGEXTEST(C255, "DataNode Monitoring"), "DataNodeの稼働状態監視", _xlfn.REGEXTEST(C255, "Rules to Extract Events from Log Files"), "ログファイルからのイベント抽出ルール設定", _xlfn.REGEXTEST(C255, "Free Space Monitoring$"), "空き容量監視（一般設定）", _xlfn.REGEXTEST(C255, "Transceivers Usage"), "トランシーバー使用量（データ転送スレッド数）", _xlfn.REGEXTEST(C255, "Volume Failures"), "ボリューム障害（ディスクエラー）数", _xlfn.REGEXTEST(C255, "Block Count"), "ブロック総数", _xlfn.REGEXTEST(C255, "Audit Failure"), "監査（オーディット）ログの失敗イベント", _xlfn.REGEXTEST(C255, "Web Metric Collection Duration"), "Webメトリック収集の所要時間", _xlfn.REGEXTEST(C255, "Pause Duration"), "一時停止（ポーズ）の所要時間", _xlfn.REGEXTEST(C255, "Fsync Latency"), "Fsync（ディスク同期）のレイテンシ", _xlfn.REGEXTEST(C255, "Free Space Monitoring Absolute"), "空き容量（絶対値）", _xlfn.REGEXTEST(C255, "Free Space Monitoring Percentage"), "空き容量割合（%）", _xlfn.REGEXTEST(C255, "Age Monitoring"), "経過時間の監視", _xlfn.REGEXTEST(C255, "Transactions Monitoring"), "トランザクション数の監視", _xlfn.REGEXTEST(C255, "RPC Latency"), "RPC（遠隔手続き呼出し）のレイテンシ", _xlfn.REGEXTEST(C255, "Directory Failures"), "ディレクトリ障害数", _xlfn.REGEXTEST(C255, "Out-Of-Sync JournalNodes"), "同期ズレが発生しているJournalNode数", _xlfn.REGEXTEST(C255, "Safemode Threshold Percentage"), "セーフモード解除閾値の割合（%）", _xlfn.REGEXTEST(C255, "Kerberos Ticket Renewer Monitoring"), "Kerberosチケット更新プロセスの稼働状態監視", _xlfn.REGEXTEST(C255, "Load Balancer Monitoring"), "ロードバランサーの稼働状態監視", _xlfn.REGEXTEST(C255, "Navigator Audit Failure"), "Cloudera Navigator監査ログの失敗イベント", _xlfn.REGEXTEST(C255, "Schema Registry Server Monitoring"), "Schema Registry Serverの稼働状態監視", _xlfn.REGEXTEST(C255, "SRM Service Monitoring"), "SRMサービスの稼働状態監視", _xlfn.REGEXTEST(C255, "SRM Driver Monitoring"), "SRMドライバーの稼働状態監視", _xlfn.REGEXTEST(C255, "Loggin"), "ログ出力状態・設定監視", _xlfn.REGEXTEST(C255, "Server Monitoring"), "サーバーの稼働状態監視", _xlfn.REGEXTEST(C255, "Server Connection Count"), "サーバーの接続数（コネクション数）", _xlfn.REGEXTEST(C255, "Server Outstanding Requests"), "サーバーの未処理リクエスト数（滞留要求数）", _xlfn.REGEXTEST(C255, "Repository Status"), "リポジトリのステータス状態", _xlfn.REGEXTEST(C255, "Monitor Long Running Task"), "長時間実行タスク（ジョブ）の監視", _xlfn.REGEXTEST(C255, "Token requests per second"), "1秒あたりのトークンリクエスト数（要求レート）", _xlfn.REGEXTEST(C255, "Connection Model Score"), "接続モデルスコア（コネクション品質）", _xlfn.REGEXTEST(C255, "Queue swap"), "キューのスワップ発生状態", _xlfn.REGEXTEST(C255, "NiFi Node Monitoring"), "NiFiノードの稼働状態監視", _xlfn.REGEXTEST(C255, "Host Clock Offset"), "ホストのクロックオフセット（時刻同期のズレ）", _xlfn.REGEXTEST(C255, "Memory Overcommit Validation"), "メモリオーバーコミット設定の検証", _xlfn.REGEXTEST(C255, "Gateway Logging"), "ゲートウェイのログ出力設定", _xlfn.REGEXTEST(C255, "CPU Balance"), "CPU使用率の分散バランス状態", _xlfn.REGEXTEST(C255, "Disk Balance"), "ディスク使用量の分散バランス状態", _xlfn.REGEXTEST(C255, "Network Inbound Balance"), "ネットワークインバウンド（受信）の分散バランス状態", _xlfn.REGEXTEST(C255, "Network Outbound Balance"), "ネットワークアウトバウンド（送信）の分散バランス状態", _xlfn.REGEXTEST(C255, "Replica Count Balance"), "レプリカ数の分散バランス状態", _xlfn.REGEXTEST(C255, "Disk Capacity"), "ディスク総容量の限界・使用容量", _xlfn.REGEXTEST(C255, "CPU Capacity"), "CPU総処理能力の限界・使用量", _xlfn.REGEXTEST(C255, "Network Inbound Capacity"), "ネットワークインバウンド（受信）帯域の限界・使用量", _xlfn.REGEXTEST(C255, "Network Outbound Capacity"), "ネットワークアウトバウンド（送信）帯域の限界・使用量", _xlfn.REGEXTEST(C255, "Leader Replica Count Balance"), "リーダーレプリカ数の分散バランス状態", _xlfn.REGEXTEST(C255, "Host DNS Resolution Duration"), "ホストのDNS名前解決の所要時間", _xlfn.REGEXTEST(C255, "TLS Certificate Expiry"), "TLS証明書の有効期限切れ", _xlfn.REGEXTEST(C255, "Host Entropy"), "ホストのエントロピー（乱数生成能力）の不足", _xlfn.REGEXTEST(C255, "File Descriptor"), "プロセスのファイルディスクリプタ使用率", _xlfn.REGEXTEST(C255, "Unexpected Exits"), "プロセスの異常終了（予期せぬ停止）", _xlfn.REGEXTEST(C255, "Swap Memory Thresholds"), "プロセスのスワップメモリ使用量", _xlfn.REGEXTEST(C255, "Swap Memory Usage Rate"), "スワップメモリ使用量の変化率（増加速度）", _xlfn.REGEXTEST(C255, "Log Directory Free Space.*Absolute"), "ログディレクトリの空き容量（絶対値）", _xlfn.REGEXTEST(C255, "Log Directory Free Space.*Percentage"), "ログディレクトリの空き容量割合（%）", _xlfn.REGEXTEST(C255, "Heap Dump Directory Free Space.*Absolute"), "ヒープダンプディレクトリの空き容量（絶対値）", _xlfn.REGEXTEST(C255, "Heap Dump Directory Free Space.*Percentage"), "ヒープダンプディレクトリの空き容量割合（%）", _xlfn.REGEXTEST(C255, "Data Directory Free Space.*Absolute"), "データディレクトリの空き容量（絶対値）", _xlfn.REGEXTEST(C255, "Data Directory Free Space.*Percentage"), "データディレクトリの空き容量割合（%）", _xlfn.REGEXTEST(C255, "Transaction Log Directory Free Space.*Absolute"), "トランザクションログディレクトリの空き容量（絶対値）", _xlfn.REGEXTEST(C255, "Logging Threshold|Logger Threshold"), "ログ出力レベルの閾値設定", _xlfn.REGEXTEST(C255, "Enable.*Alerts"), "ヘルスアラートの有効化状態", _xlfn.REGEXTEST(C255, "Triggers"), "カスタムアラート条件（トリガー設定）", _xlfn.REGEXTEST(C255, "Healthy Kafka Broker"), "Kafka Brokerの健全ノード割合（稼働率）", _xlfn.REGEXTEST(C255, "Healthy Kafka Connect"), "Kafka Connectの健全ノード割合（稼働率）", _xlfn.REGEXTEST(C255, "Healthy KRaft Controller"), "KRaft Controllerの健全ノード割合（稼働率）", _xlfn.REGEXTEST(C255, "Healthy Knox IDBroker"), "Knox IDBrokerの健全ノード割合（稼働率）", _xlfn.REGEXTEST(C255, "Healthy Knox Gateway"), "Knox Gatewayの健全ノード割合（稼働率）", _xlfn.REGEXTEST(C255, "Healthy ZooKeeper Server"), "ZooKeeper Serverの健全ノード割合（稼働率）", _xlfn.REGEXTEST(C255, "Healthy NodeManager"), "NodeManagerの健全ノード割合（稼働率）", _xlfn.REGEXTEST(C255, "Maximum Latency"), "リクエストの最大レイテンシ（処理遅延）", _xlfn.REGEXTEST(C255, "Garbage Collection Duration"), "Javaのガベージコレクション（GC）の所要時間", _xlfn.REGEXTEST(C255, "Spool Directory Usage"), "Rangerプラグインのスプールディレクトリ使用量", _xlfn.REGEXTEST(C255, "Process Directory Free Space Monitoring Absolute"), "プロセスディレクトリの空き容量（絶対値)", _xlfn.REGEXTEST(C255, "Process Directory Free Space.*Percentage"), "プロセスディレクトリの空き容量割合（%）", _xlfn.REGEXTEST(C255, "Parcel Directory Free Space.*Absolute"), "パーセルディレクトリの空き容量（絶対値）", _xlfn.REGEXTEST(C255, "Parcel Directory Free Space.*Percentage"), "パーセルディレクトリの空き容量割合（%）", _xlfn.REGEXTEST(C255, "Host Network Frame Error Percentage"), "ホストのネットワークフレームエラー割合（%）", _xlfn.REGEXTEST(C255, "Network Interfaces Slow Link Modes"), "ホストのネットワークインターフェースの低速リンクモード検出", _xlfn.REGEXTEST(C255, "Host Memory Swapping"), "ホストのメモリのスワップ発生状態", TRUE, "要手動確認")</f>
        <v>カスタムアラート条件（トリガー設定）</v>
      </c>
      <c r="H255" s="479" t="s">
        <v>754</v>
      </c>
    </row>
    <row r="256" spans="1:8" ht="16.899999999999999">
      <c r="A256" s="514"/>
      <c r="B256" s="473"/>
      <c r="C256" s="471" t="s">
        <v>752</v>
      </c>
      <c r="D256" s="471" t="s">
        <v>753</v>
      </c>
      <c r="E256" s="471" t="s">
        <v>787</v>
      </c>
      <c r="F256" s="471"/>
      <c r="G256" s="471" t="str" cm="1">
        <f t="array" ref="G256">_xlfn.IFS(C256 = "", "", _xlfn.REGEXTEST(C256, "Service Metric Migrator Minimum Consecutive Successful Checks"), "サービスメトリック移行ツールの連続正常チェック最小回数", _xlfn.REGEXTEST(C256, "Rebalancing"), "リバランシング（データ再配置）状態", _xlfn.REGEXTEST(C256, "Temporary Dump Directory"), "一時ダンプディレクトリの監視", _xlfn.REGEXTEST(C256, "Safemode Extension"), "セーフモード延長状態", _xlfn.REGEXTEST(C256, "Client Idle"), "クライアントのアイドル（待機）状態", _xlfn.REGEXTEST(C256, "Available Space Policy Balanced"), "空き容量ポリシーの分散バランス状態", _xlfn.REGEXTEST(C256, "Filesystem Checkpoint Transaction"), "ファイルシステムのチェックポイントトランザクション", _xlfn.REGEXTEST(C256, "Blocks With Corrupt Replicas Monitoring"), "破損レプリカを持つブロックの監視", _xlfn.REGEXTEST(C256, "Missing Block Monitoring"), "消失（ミッシング）ブロックの監視", _xlfn.REGEXTEST(C256, "Under-replicated Block Monitoring"), "レプリカ数不足ブロックの監視", _xlfn.REGEXTEST(C256, "HDFS Free Space Monitoring"), "HDFSの空き容量監視", _xlfn.REGEXTEST(C256, "DataNode Monitoring"), "DataNodeの稼働状態監視", _xlfn.REGEXTEST(C256, "Rules to Extract Events from Log Files"), "ログファイルからのイベント抽出ルール設定", _xlfn.REGEXTEST(C256, "Free Space Monitoring$"), "空き容量監視（一般設定）", _xlfn.REGEXTEST(C256, "Transceivers Usage"), "トランシーバー使用量（データ転送スレッド数）", _xlfn.REGEXTEST(C256, "Volume Failures"), "ボリューム障害（ディスクエラー）数", _xlfn.REGEXTEST(C256, "Block Count"), "ブロック総数", _xlfn.REGEXTEST(C256, "Audit Failure"), "監査（オーディット）ログの失敗イベント", _xlfn.REGEXTEST(C256, "Web Metric Collection Duration"), "Webメトリック収集の所要時間", _xlfn.REGEXTEST(C256, "Pause Duration"), "一時停止（ポーズ）の所要時間", _xlfn.REGEXTEST(C256, "Fsync Latency"), "Fsync（ディスク同期）のレイテンシ", _xlfn.REGEXTEST(C256, "Free Space Monitoring Absolute"), "空き容量（絶対値）", _xlfn.REGEXTEST(C256, "Free Space Monitoring Percentage"), "空き容量割合（%）", _xlfn.REGEXTEST(C256, "Age Monitoring"), "経過時間の監視", _xlfn.REGEXTEST(C256, "Transactions Monitoring"), "トランザクション数の監視", _xlfn.REGEXTEST(C256, "RPC Latency"), "RPC（遠隔手続き呼出し）のレイテンシ", _xlfn.REGEXTEST(C256, "Directory Failures"), "ディレクトリ障害数", _xlfn.REGEXTEST(C256, "Out-Of-Sync JournalNodes"), "同期ズレが発生しているJournalNode数", _xlfn.REGEXTEST(C256, "Safemode Threshold Percentage"), "セーフモード解除閾値の割合（%）", _xlfn.REGEXTEST(C256, "Kerberos Ticket Renewer Monitoring"), "Kerberosチケット更新プロセスの稼働状態監視", _xlfn.REGEXTEST(C256, "Load Balancer Monitoring"), "ロードバランサーの稼働状態監視", _xlfn.REGEXTEST(C256, "Navigator Audit Failure"), "Cloudera Navigator監査ログの失敗イベント", _xlfn.REGEXTEST(C256, "Schema Registry Server Monitoring"), "Schema Registry Serverの稼働状態監視", _xlfn.REGEXTEST(C256, "SRM Service Monitoring"), "SRMサービスの稼働状態監視", _xlfn.REGEXTEST(C256, "SRM Driver Monitoring"), "SRMドライバーの稼働状態監視", _xlfn.REGEXTEST(C256, "Loggin"), "ログ出力状態・設定監視", _xlfn.REGEXTEST(C256, "Server Monitoring"), "サーバーの稼働状態監視", _xlfn.REGEXTEST(C256, "Server Connection Count"), "サーバーの接続数（コネクション数）", _xlfn.REGEXTEST(C256, "Server Outstanding Requests"), "サーバーの未処理リクエスト数（滞留要求数）", _xlfn.REGEXTEST(C256, "Repository Status"), "リポジトリのステータス状態", _xlfn.REGEXTEST(C256, "Monitor Long Running Task"), "長時間実行タスク（ジョブ）の監視", _xlfn.REGEXTEST(C256, "Token requests per second"), "1秒あたりのトークンリクエスト数（要求レート）", _xlfn.REGEXTEST(C256, "Connection Model Score"), "接続モデルスコア（コネクション品質）", _xlfn.REGEXTEST(C256, "Queue swap"), "キューのスワップ発生状態", _xlfn.REGEXTEST(C256, "NiFi Node Monitoring"), "NiFiノードの稼働状態監視", _xlfn.REGEXTEST(C256, "Host Clock Offset"), "ホストのクロックオフセット（時刻同期のズレ）", _xlfn.REGEXTEST(C256, "Memory Overcommit Validation"), "メモリオーバーコミット設定の検証", _xlfn.REGEXTEST(C256, "Gateway Logging"), "ゲートウェイのログ出力設定", _xlfn.REGEXTEST(C256, "CPU Balance"), "CPU使用率の分散バランス状態", _xlfn.REGEXTEST(C256, "Disk Balance"), "ディスク使用量の分散バランス状態", _xlfn.REGEXTEST(C256, "Network Inbound Balance"), "ネットワークインバウンド（受信）の分散バランス状態", _xlfn.REGEXTEST(C256, "Network Outbound Balance"), "ネットワークアウトバウンド（送信）の分散バランス状態", _xlfn.REGEXTEST(C256, "Replica Count Balance"), "レプリカ数の分散バランス状態", _xlfn.REGEXTEST(C256, "Disk Capacity"), "ディスク総容量の限界・使用容量", _xlfn.REGEXTEST(C256, "CPU Capacity"), "CPU総処理能力の限界・使用量", _xlfn.REGEXTEST(C256, "Network Inbound Capacity"), "ネットワークインバウンド（受信）帯域の限界・使用量", _xlfn.REGEXTEST(C256, "Network Outbound Capacity"), "ネットワークアウトバウンド（送信）帯域の限界・使用量", _xlfn.REGEXTEST(C256, "Leader Replica Count Balance"), "リーダーレプリカ数の分散バランス状態", _xlfn.REGEXTEST(C256, "Host DNS Resolution Duration"), "ホストのDNS名前解決の所要時間", _xlfn.REGEXTEST(C256, "TLS Certificate Expiry"), "TLS証明書の有効期限切れ", _xlfn.REGEXTEST(C256, "Host Entropy"), "ホストのエントロピー（乱数生成能力）の不足", _xlfn.REGEXTEST(C256, "File Descriptor"), "プロセスのファイルディスクリプタ使用率", _xlfn.REGEXTEST(C256, "Unexpected Exits"), "プロセスの異常終了（予期せぬ停止）", _xlfn.REGEXTEST(C256, "Swap Memory Thresholds"), "プロセスのスワップメモリ使用量", _xlfn.REGEXTEST(C256, "Swap Memory Usage Rate"), "スワップメモリ使用量の変化率（増加速度）", _xlfn.REGEXTEST(C256, "Log Directory Free Space.*Absolute"), "ログディレクトリの空き容量（絶対値）", _xlfn.REGEXTEST(C256, "Log Directory Free Space.*Percentage"), "ログディレクトリの空き容量割合（%）", _xlfn.REGEXTEST(C256, "Heap Dump Directory Free Space.*Absolute"), "ヒープダンプディレクトリの空き容量（絶対値）", _xlfn.REGEXTEST(C256, "Heap Dump Directory Free Space.*Percentage"), "ヒープダンプディレクトリの空き容量割合（%）", _xlfn.REGEXTEST(C256, "Data Directory Free Space.*Absolute"), "データディレクトリの空き容量（絶対値）", _xlfn.REGEXTEST(C256, "Data Directory Free Space.*Percentage"), "データディレクトリの空き容量割合（%）", _xlfn.REGEXTEST(C256, "Transaction Log Directory Free Space.*Absolute"), "トランザクションログディレクトリの空き容量（絶対値）", _xlfn.REGEXTEST(C256, "Logging Threshold|Logger Threshold"), "ログ出力レベルの閾値設定", _xlfn.REGEXTEST(C256, "Enable.*Alerts"), "ヘルスアラートの有効化状態", _xlfn.REGEXTEST(C256, "Triggers"), "カスタムアラート条件（トリガー設定）", _xlfn.REGEXTEST(C256, "Healthy Kafka Broker"), "Kafka Brokerの健全ノード割合（稼働率）", _xlfn.REGEXTEST(C256, "Healthy Kafka Connect"), "Kafka Connectの健全ノード割合（稼働率）", _xlfn.REGEXTEST(C256, "Healthy KRaft Controller"), "KRaft Controllerの健全ノード割合（稼働率）", _xlfn.REGEXTEST(C256, "Healthy Knox IDBroker"), "Knox IDBrokerの健全ノード割合（稼働率）", _xlfn.REGEXTEST(C256, "Healthy Knox Gateway"), "Knox Gatewayの健全ノード割合（稼働率）", _xlfn.REGEXTEST(C256, "Healthy ZooKeeper Server"), "ZooKeeper Serverの健全ノード割合（稼働率）", _xlfn.REGEXTEST(C256, "Healthy NodeManager"), "NodeManagerの健全ノード割合（稼働率）", _xlfn.REGEXTEST(C256, "Maximum Latency"), "リクエストの最大レイテンシ（処理遅延）", _xlfn.REGEXTEST(C256, "Garbage Collection Duration"), "Javaのガベージコレクション（GC）の所要時間", _xlfn.REGEXTEST(C256, "Spool Directory Usage"), "Rangerプラグインのスプールディレクトリ使用量", _xlfn.REGEXTEST(C256, "Process Directory Free Space Monitoring Absolute"), "プロセスディレクトリの空き容量（絶対値)", _xlfn.REGEXTEST(C256, "Process Directory Free Space.*Percentage"), "プロセスディレクトリの空き容量割合（%）", _xlfn.REGEXTEST(C256, "Parcel Directory Free Space.*Absolute"), "パーセルディレクトリの空き容量（絶対値）", _xlfn.REGEXTEST(C256, "Parcel Directory Free Space.*Percentage"), "パーセルディレクトリの空き容量割合（%）", _xlfn.REGEXTEST(C256, "Host Network Frame Error Percentage"), "ホストのネットワークフレームエラー割合（%）", _xlfn.REGEXTEST(C256, "Network Interfaces Slow Link Modes"), "ホストのネットワークインターフェースの低速リンクモード検出", _xlfn.REGEXTEST(C256, "Host Memory Swapping"), "ホストのメモリのスワップ発生状態", TRUE, "要手動確認")</f>
        <v>カスタムアラート条件（トリガー設定）</v>
      </c>
      <c r="H256" s="479" t="s">
        <v>754</v>
      </c>
    </row>
    <row r="257" spans="1:8" ht="33.6">
      <c r="A257" s="514"/>
      <c r="B257" s="473"/>
      <c r="C257" s="471" t="s">
        <v>755</v>
      </c>
      <c r="D257" s="471" t="s">
        <v>756</v>
      </c>
      <c r="E257" s="471" t="s">
        <v>785</v>
      </c>
      <c r="F257" s="471"/>
      <c r="G257" s="471" t="str" cm="1">
        <f t="array" ref="G257">_xlfn.IFS(C257 = "", "", _xlfn.REGEXTEST(C257, "Service Metric Migrator Minimum Consecutive Successful Checks"), "サービスメトリック移行ツールの連続正常チェック最小回数", _xlfn.REGEXTEST(C257, "Rebalancing"), "リバランシング（データ再配置）状態", _xlfn.REGEXTEST(C257, "Temporary Dump Directory"), "一時ダンプディレクトリの監視", _xlfn.REGEXTEST(C257, "Safemode Extension"), "セーフモード延長状態", _xlfn.REGEXTEST(C257, "Client Idle"), "クライアントのアイドル（待機）状態", _xlfn.REGEXTEST(C257, "Available Space Policy Balanced"), "空き容量ポリシーの分散バランス状態", _xlfn.REGEXTEST(C257, "Filesystem Checkpoint Transaction"), "ファイルシステムのチェックポイントトランザクション", _xlfn.REGEXTEST(C257, "Blocks With Corrupt Replicas Monitoring"), "破損レプリカを持つブロックの監視", _xlfn.REGEXTEST(C257, "Missing Block Monitoring"), "消失（ミッシング）ブロックの監視", _xlfn.REGEXTEST(C257, "Under-replicated Block Monitoring"), "レプリカ数不足ブロックの監視", _xlfn.REGEXTEST(C257, "HDFS Free Space Monitoring"), "HDFSの空き容量監視", _xlfn.REGEXTEST(C257, "DataNode Monitoring"), "DataNodeの稼働状態監視", _xlfn.REGEXTEST(C257, "Rules to Extract Events from Log Files"), "ログファイルからのイベント抽出ルール設定", _xlfn.REGEXTEST(C257, "Free Space Monitoring$"), "空き容量監視（一般設定）", _xlfn.REGEXTEST(C257, "Transceivers Usage"), "トランシーバー使用量（データ転送スレッド数）", _xlfn.REGEXTEST(C257, "Volume Failures"), "ボリューム障害（ディスクエラー）数", _xlfn.REGEXTEST(C257, "Block Count"), "ブロック総数", _xlfn.REGEXTEST(C257, "Audit Failure"), "監査（オーディット）ログの失敗イベント", _xlfn.REGEXTEST(C257, "Web Metric Collection Duration"), "Webメトリック収集の所要時間", _xlfn.REGEXTEST(C257, "Pause Duration"), "一時停止（ポーズ）の所要時間", _xlfn.REGEXTEST(C257, "Fsync Latency"), "Fsync（ディスク同期）のレイテンシ", _xlfn.REGEXTEST(C257, "Free Space Monitoring Absolute"), "空き容量（絶対値）", _xlfn.REGEXTEST(C257, "Free Space Monitoring Percentage"), "空き容量割合（%）", _xlfn.REGEXTEST(C257, "Age Monitoring"), "経過時間の監視", _xlfn.REGEXTEST(C257, "Transactions Monitoring"), "トランザクション数の監視", _xlfn.REGEXTEST(C257, "RPC Latency"), "RPC（遠隔手続き呼出し）のレイテンシ", _xlfn.REGEXTEST(C257, "Directory Failures"), "ディレクトリ障害数", _xlfn.REGEXTEST(C257, "Out-Of-Sync JournalNodes"), "同期ズレが発生しているJournalNode数", _xlfn.REGEXTEST(C257, "Safemode Threshold Percentage"), "セーフモード解除閾値の割合（%）", _xlfn.REGEXTEST(C257, "Kerberos Ticket Renewer Monitoring"), "Kerberosチケット更新プロセスの稼働状態監視", _xlfn.REGEXTEST(C257, "Load Balancer Monitoring"), "ロードバランサーの稼働状態監視", _xlfn.REGEXTEST(C257, "Navigator Audit Failure"), "Cloudera Navigator監査ログの失敗イベント", _xlfn.REGEXTEST(C257, "Schema Registry Server Monitoring"), "Schema Registry Serverの稼働状態監視", _xlfn.REGEXTEST(C257, "SRM Service Monitoring"), "SRMサービスの稼働状態監視", _xlfn.REGEXTEST(C257, "SRM Driver Monitoring"), "SRMドライバーの稼働状態監視", _xlfn.REGEXTEST(C257, "Loggin"), "ログ出力状態・設定監視", _xlfn.REGEXTEST(C257, "Server Monitoring"), "サーバーの稼働状態監視", _xlfn.REGEXTEST(C257, "Server Connection Count"), "サーバーの接続数（コネクション数）", _xlfn.REGEXTEST(C257, "Server Outstanding Requests"), "サーバーの未処理リクエスト数（滞留要求数）", _xlfn.REGEXTEST(C257, "Repository Status"), "リポジトリのステータス状態", _xlfn.REGEXTEST(C257, "Monitor Long Running Task"), "長時間実行タスク（ジョブ）の監視", _xlfn.REGEXTEST(C257, "Token requests per second"), "1秒あたりのトークンリクエスト数（要求レート）", _xlfn.REGEXTEST(C257, "Connection Model Score"), "接続モデルスコア（コネクション品質）", _xlfn.REGEXTEST(C257, "Queue swap"), "キューのスワップ発生状態", _xlfn.REGEXTEST(C257, "NiFi Node Monitoring"), "NiFiノードの稼働状態監視", _xlfn.REGEXTEST(C257, "Host Clock Offset"), "ホストのクロックオフセット（時刻同期のズレ）", _xlfn.REGEXTEST(C257, "Memory Overcommit Validation"), "メモリオーバーコミット設定の検証", _xlfn.REGEXTEST(C257, "Gateway Logging"), "ゲートウェイのログ出力設定", _xlfn.REGEXTEST(C257, "CPU Balance"), "CPU使用率の分散バランス状態", _xlfn.REGEXTEST(C257, "Disk Balance"), "ディスク使用量の分散バランス状態", _xlfn.REGEXTEST(C257, "Network Inbound Balance"), "ネットワークインバウンド（受信）の分散バランス状態", _xlfn.REGEXTEST(C257, "Network Outbound Balance"), "ネットワークアウトバウンド（送信）の分散バランス状態", _xlfn.REGEXTEST(C257, "Replica Count Balance"), "レプリカ数の分散バランス状態", _xlfn.REGEXTEST(C257, "Disk Capacity"), "ディスク総容量の限界・使用容量", _xlfn.REGEXTEST(C257, "CPU Capacity"), "CPU総処理能力の限界・使用量", _xlfn.REGEXTEST(C257, "Network Inbound Capacity"), "ネットワークインバウンド（受信）帯域の限界・使用量", _xlfn.REGEXTEST(C257, "Network Outbound Capacity"), "ネットワークアウトバウンド（送信）帯域の限界・使用量", _xlfn.REGEXTEST(C257, "Leader Replica Count Balance"), "リーダーレプリカ数の分散バランス状態", _xlfn.REGEXTEST(C257, "Host DNS Resolution Duration"), "ホストのDNS名前解決の所要時間", _xlfn.REGEXTEST(C257, "TLS Certificate Expiry"), "TLS証明書の有効期限切れ", _xlfn.REGEXTEST(C257, "Host Entropy"), "ホストのエントロピー（乱数生成能力）の不足", _xlfn.REGEXTEST(C257, "File Descriptor"), "プロセスのファイルディスクリプタ使用率", _xlfn.REGEXTEST(C257, "Unexpected Exits"), "プロセスの異常終了（予期せぬ停止）", _xlfn.REGEXTEST(C257, "Swap Memory Thresholds"), "プロセスのスワップメモリ使用量", _xlfn.REGEXTEST(C257, "Swap Memory Usage Rate"), "スワップメモリ使用量の変化率（増加速度）", _xlfn.REGEXTEST(C257, "Log Directory Free Space.*Absolute"), "ログディレクトリの空き容量（絶対値）", _xlfn.REGEXTEST(C257, "Log Directory Free Space.*Percentage"), "ログディレクトリの空き容量割合（%）", _xlfn.REGEXTEST(C257, "Heap Dump Directory Free Space.*Absolute"), "ヒープダンプディレクトリの空き容量（絶対値）", _xlfn.REGEXTEST(C257, "Heap Dump Directory Free Space.*Percentage"), "ヒープダンプディレクトリの空き容量割合（%）", _xlfn.REGEXTEST(C257, "Data Directory Free Space.*Absolute"), "データディレクトリの空き容量（絶対値）", _xlfn.REGEXTEST(C257, "Data Directory Free Space.*Percentage"), "データディレクトリの空き容量割合（%）", _xlfn.REGEXTEST(C257, "Transaction Log Directory Free Space.*Absolute"), "トランザクションログディレクトリの空き容量（絶対値）", _xlfn.REGEXTEST(C257, "Logging Threshold|Logger Threshold"), "ログ出力レベルの閾値設定", _xlfn.REGEXTEST(C257, "Enable.*Alerts"), "ヘルスアラートの有効化状態", _xlfn.REGEXTEST(C257, "Triggers"), "カスタムアラート条件（トリガー設定）", _xlfn.REGEXTEST(C257, "Healthy Kafka Broker"), "Kafka Brokerの健全ノード割合（稼働率）", _xlfn.REGEXTEST(C257, "Healthy Kafka Connect"), "Kafka Connectの健全ノード割合（稼働率）", _xlfn.REGEXTEST(C257, "Healthy KRaft Controller"), "KRaft Controllerの健全ノード割合（稼働率）", _xlfn.REGEXTEST(C257, "Healthy Knox IDBroker"), "Knox IDBrokerの健全ノード割合（稼働率）", _xlfn.REGEXTEST(C257, "Healthy Knox Gateway"), "Knox Gatewayの健全ノード割合（稼働率）", _xlfn.REGEXTEST(C257, "Healthy ZooKeeper Server"), "ZooKeeper Serverの健全ノード割合（稼働率）", _xlfn.REGEXTEST(C257, "Healthy NodeManager"), "NodeManagerの健全ノード割合（稼働率）", _xlfn.REGEXTEST(C257, "Maximum Latency"), "リクエストの最大レイテンシ（処理遅延）", _xlfn.REGEXTEST(C257, "Garbage Collection Duration"), "Javaのガベージコレクション（GC）の所要時間", _xlfn.REGEXTEST(C257, "Spool Directory Usage"), "Rangerプラグインのスプールディレクトリ使用量", _xlfn.REGEXTEST(C257, "Process Directory Free Space Monitoring Absolute"), "プロセスディレクトリの空き容量（絶対値)", _xlfn.REGEXTEST(C257, "Process Directory Free Space.*Percentage"), "プロセスディレクトリの空き容量割合（%）", _xlfn.REGEXTEST(C257, "Parcel Directory Free Space.*Absolute"), "パーセルディレクトリの空き容量（絶対値）", _xlfn.REGEXTEST(C257, "Parcel Directory Free Space.*Percentage"), "パーセルディレクトリの空き容量割合（%）", _xlfn.REGEXTEST(C257, "Host Network Frame Error Percentage"), "ホストのネットワークフレームエラー割合（%）", _xlfn.REGEXTEST(C257, "Network Interfaces Slow Link Modes"), "ホストのネットワークインターフェースの低速リンクモード検出", _xlfn.REGEXTEST(C257, "Host Memory Swapping"), "ホストのメモリのスワップ発生状態", TRUE, "要手動確認")</f>
        <v>プロセスのスワップメモリ使用量</v>
      </c>
      <c r="H257" s="479" t="s">
        <v>757</v>
      </c>
    </row>
    <row r="258" spans="1:8" ht="33.6">
      <c r="A258" s="514"/>
      <c r="B258" s="473"/>
      <c r="C258" s="471" t="s">
        <v>755</v>
      </c>
      <c r="D258" s="471" t="s">
        <v>756</v>
      </c>
      <c r="E258" s="471" t="s">
        <v>787</v>
      </c>
      <c r="F258" s="471"/>
      <c r="G258" s="471" t="str" cm="1">
        <f t="array" ref="G258">_xlfn.IFS(C258 = "", "", _xlfn.REGEXTEST(C258, "Service Metric Migrator Minimum Consecutive Successful Checks"), "サービスメトリック移行ツールの連続正常チェック最小回数", _xlfn.REGEXTEST(C258, "Rebalancing"), "リバランシング（データ再配置）状態", _xlfn.REGEXTEST(C258, "Temporary Dump Directory"), "一時ダンプディレクトリの監視", _xlfn.REGEXTEST(C258, "Safemode Extension"), "セーフモード延長状態", _xlfn.REGEXTEST(C258, "Client Idle"), "クライアントのアイドル（待機）状態", _xlfn.REGEXTEST(C258, "Available Space Policy Balanced"), "空き容量ポリシーの分散バランス状態", _xlfn.REGEXTEST(C258, "Filesystem Checkpoint Transaction"), "ファイルシステムのチェックポイントトランザクション", _xlfn.REGEXTEST(C258, "Blocks With Corrupt Replicas Monitoring"), "破損レプリカを持つブロックの監視", _xlfn.REGEXTEST(C258, "Missing Block Monitoring"), "消失（ミッシング）ブロックの監視", _xlfn.REGEXTEST(C258, "Under-replicated Block Monitoring"), "レプリカ数不足ブロックの監視", _xlfn.REGEXTEST(C258, "HDFS Free Space Monitoring"), "HDFSの空き容量監視", _xlfn.REGEXTEST(C258, "DataNode Monitoring"), "DataNodeの稼働状態監視", _xlfn.REGEXTEST(C258, "Rules to Extract Events from Log Files"), "ログファイルからのイベント抽出ルール設定", _xlfn.REGEXTEST(C258, "Free Space Monitoring$"), "空き容量監視（一般設定）", _xlfn.REGEXTEST(C258, "Transceivers Usage"), "トランシーバー使用量（データ転送スレッド数）", _xlfn.REGEXTEST(C258, "Volume Failures"), "ボリューム障害（ディスクエラー）数", _xlfn.REGEXTEST(C258, "Block Count"), "ブロック総数", _xlfn.REGEXTEST(C258, "Audit Failure"), "監査（オーディット）ログの失敗イベント", _xlfn.REGEXTEST(C258, "Web Metric Collection Duration"), "Webメトリック収集の所要時間", _xlfn.REGEXTEST(C258, "Pause Duration"), "一時停止（ポーズ）の所要時間", _xlfn.REGEXTEST(C258, "Fsync Latency"), "Fsync（ディスク同期）のレイテンシ", _xlfn.REGEXTEST(C258, "Free Space Monitoring Absolute"), "空き容量（絶対値）", _xlfn.REGEXTEST(C258, "Free Space Monitoring Percentage"), "空き容量割合（%）", _xlfn.REGEXTEST(C258, "Age Monitoring"), "経過時間の監視", _xlfn.REGEXTEST(C258, "Transactions Monitoring"), "トランザクション数の監視", _xlfn.REGEXTEST(C258, "RPC Latency"), "RPC（遠隔手続き呼出し）のレイテンシ", _xlfn.REGEXTEST(C258, "Directory Failures"), "ディレクトリ障害数", _xlfn.REGEXTEST(C258, "Out-Of-Sync JournalNodes"), "同期ズレが発生しているJournalNode数", _xlfn.REGEXTEST(C258, "Safemode Threshold Percentage"), "セーフモード解除閾値の割合（%）", _xlfn.REGEXTEST(C258, "Kerberos Ticket Renewer Monitoring"), "Kerberosチケット更新プロセスの稼働状態監視", _xlfn.REGEXTEST(C258, "Load Balancer Monitoring"), "ロードバランサーの稼働状態監視", _xlfn.REGEXTEST(C258, "Navigator Audit Failure"), "Cloudera Navigator監査ログの失敗イベント", _xlfn.REGEXTEST(C258, "Schema Registry Server Monitoring"), "Schema Registry Serverの稼働状態監視", _xlfn.REGEXTEST(C258, "SRM Service Monitoring"), "SRMサービスの稼働状態監視", _xlfn.REGEXTEST(C258, "SRM Driver Monitoring"), "SRMドライバーの稼働状態監視", _xlfn.REGEXTEST(C258, "Loggin"), "ログ出力状態・設定監視", _xlfn.REGEXTEST(C258, "Server Monitoring"), "サーバーの稼働状態監視", _xlfn.REGEXTEST(C258, "Server Connection Count"), "サーバーの接続数（コネクション数）", _xlfn.REGEXTEST(C258, "Server Outstanding Requests"), "サーバーの未処理リクエスト数（滞留要求数）", _xlfn.REGEXTEST(C258, "Repository Status"), "リポジトリのステータス状態", _xlfn.REGEXTEST(C258, "Monitor Long Running Task"), "長時間実行タスク（ジョブ）の監視", _xlfn.REGEXTEST(C258, "Token requests per second"), "1秒あたりのトークンリクエスト数（要求レート）", _xlfn.REGEXTEST(C258, "Connection Model Score"), "接続モデルスコア（コネクション品質）", _xlfn.REGEXTEST(C258, "Queue swap"), "キューのスワップ発生状態", _xlfn.REGEXTEST(C258, "NiFi Node Monitoring"), "NiFiノードの稼働状態監視", _xlfn.REGEXTEST(C258, "Host Clock Offset"), "ホストのクロックオフセット（時刻同期のズレ）", _xlfn.REGEXTEST(C258, "Memory Overcommit Validation"), "メモリオーバーコミット設定の検証", _xlfn.REGEXTEST(C258, "Gateway Logging"), "ゲートウェイのログ出力設定", _xlfn.REGEXTEST(C258, "CPU Balance"), "CPU使用率の分散バランス状態", _xlfn.REGEXTEST(C258, "Disk Balance"), "ディスク使用量の分散バランス状態", _xlfn.REGEXTEST(C258, "Network Inbound Balance"), "ネットワークインバウンド（受信）の分散バランス状態", _xlfn.REGEXTEST(C258, "Network Outbound Balance"), "ネットワークアウトバウンド（送信）の分散バランス状態", _xlfn.REGEXTEST(C258, "Replica Count Balance"), "レプリカ数の分散バランス状態", _xlfn.REGEXTEST(C258, "Disk Capacity"), "ディスク総容量の限界・使用容量", _xlfn.REGEXTEST(C258, "CPU Capacity"), "CPU総処理能力の限界・使用量", _xlfn.REGEXTEST(C258, "Network Inbound Capacity"), "ネットワークインバウンド（受信）帯域の限界・使用量", _xlfn.REGEXTEST(C258, "Network Outbound Capacity"), "ネットワークアウトバウンド（送信）帯域の限界・使用量", _xlfn.REGEXTEST(C258, "Leader Replica Count Balance"), "リーダーレプリカ数の分散バランス状態", _xlfn.REGEXTEST(C258, "Host DNS Resolution Duration"), "ホストのDNS名前解決の所要時間", _xlfn.REGEXTEST(C258, "TLS Certificate Expiry"), "TLS証明書の有効期限切れ", _xlfn.REGEXTEST(C258, "Host Entropy"), "ホストのエントロピー（乱数生成能力）の不足", _xlfn.REGEXTEST(C258, "File Descriptor"), "プロセスのファイルディスクリプタ使用率", _xlfn.REGEXTEST(C258, "Unexpected Exits"), "プロセスの異常終了（予期せぬ停止）", _xlfn.REGEXTEST(C258, "Swap Memory Thresholds"), "プロセスのスワップメモリ使用量", _xlfn.REGEXTEST(C258, "Swap Memory Usage Rate"), "スワップメモリ使用量の変化率（増加速度）", _xlfn.REGEXTEST(C258, "Log Directory Free Space.*Absolute"), "ログディレクトリの空き容量（絶対値）", _xlfn.REGEXTEST(C258, "Log Directory Free Space.*Percentage"), "ログディレクトリの空き容量割合（%）", _xlfn.REGEXTEST(C258, "Heap Dump Directory Free Space.*Absolute"), "ヒープダンプディレクトリの空き容量（絶対値）", _xlfn.REGEXTEST(C258, "Heap Dump Directory Free Space.*Percentage"), "ヒープダンプディレクトリの空き容量割合（%）", _xlfn.REGEXTEST(C258, "Data Directory Free Space.*Absolute"), "データディレクトリの空き容量（絶対値）", _xlfn.REGEXTEST(C258, "Data Directory Free Space.*Percentage"), "データディレクトリの空き容量割合（%）", _xlfn.REGEXTEST(C258, "Transaction Log Directory Free Space.*Absolute"), "トランザクションログディレクトリの空き容量（絶対値）", _xlfn.REGEXTEST(C258, "Logging Threshold|Logger Threshold"), "ログ出力レベルの閾値設定", _xlfn.REGEXTEST(C258, "Enable.*Alerts"), "ヘルスアラートの有効化状態", _xlfn.REGEXTEST(C258, "Triggers"), "カスタムアラート条件（トリガー設定）", _xlfn.REGEXTEST(C258, "Healthy Kafka Broker"), "Kafka Brokerの健全ノード割合（稼働率）", _xlfn.REGEXTEST(C258, "Healthy Kafka Connect"), "Kafka Connectの健全ノード割合（稼働率）", _xlfn.REGEXTEST(C258, "Healthy KRaft Controller"), "KRaft Controllerの健全ノード割合（稼働率）", _xlfn.REGEXTEST(C258, "Healthy Knox IDBroker"), "Knox IDBrokerの健全ノード割合（稼働率）", _xlfn.REGEXTEST(C258, "Healthy Knox Gateway"), "Knox Gatewayの健全ノード割合（稼働率）", _xlfn.REGEXTEST(C258, "Healthy ZooKeeper Server"), "ZooKeeper Serverの健全ノード割合（稼働率）", _xlfn.REGEXTEST(C258, "Healthy NodeManager"), "NodeManagerの健全ノード割合（稼働率）", _xlfn.REGEXTEST(C258, "Maximum Latency"), "リクエストの最大レイテンシ（処理遅延）", _xlfn.REGEXTEST(C258, "Garbage Collection Duration"), "Javaのガベージコレクション（GC）の所要時間", _xlfn.REGEXTEST(C258, "Spool Directory Usage"), "Rangerプラグインのスプールディレクトリ使用量", _xlfn.REGEXTEST(C258, "Process Directory Free Space Monitoring Absolute"), "プロセスディレクトリの空き容量（絶対値)", _xlfn.REGEXTEST(C258, "Process Directory Free Space.*Percentage"), "プロセスディレクトリの空き容量割合（%）", _xlfn.REGEXTEST(C258, "Parcel Directory Free Space.*Absolute"), "パーセルディレクトリの空き容量（絶対値）", _xlfn.REGEXTEST(C258, "Parcel Directory Free Space.*Percentage"), "パーセルディレクトリの空き容量割合（%）", _xlfn.REGEXTEST(C258, "Host Network Frame Error Percentage"), "ホストのネットワークフレームエラー割合（%）", _xlfn.REGEXTEST(C258, "Network Interfaces Slow Link Modes"), "ホストのネットワークインターフェースの低速リンクモード検出", _xlfn.REGEXTEST(C258, "Host Memory Swapping"), "ホストのメモリのスワップ発生状態", TRUE, "要手動確認")</f>
        <v>プロセスのスワップメモリ使用量</v>
      </c>
      <c r="H258" s="479" t="s">
        <v>757</v>
      </c>
    </row>
    <row r="259" spans="1:8" ht="33.6">
      <c r="A259" s="514"/>
      <c r="B259" s="473"/>
      <c r="C259" s="471" t="s">
        <v>758</v>
      </c>
      <c r="D259" s="471" t="s">
        <v>759</v>
      </c>
      <c r="E259" s="471" t="s">
        <v>785</v>
      </c>
      <c r="F259" s="471"/>
      <c r="G259" s="471" t="str" cm="1">
        <f t="array" ref="G259">_xlfn.IFS(C259 = "", "", _xlfn.REGEXTEST(C259, "Service Metric Migrator Minimum Consecutive Successful Checks"), "サービスメトリック移行ツールの連続正常チェック最小回数", _xlfn.REGEXTEST(C259, "Rebalancing"), "リバランシング（データ再配置）状態", _xlfn.REGEXTEST(C259, "Temporary Dump Directory"), "一時ダンプディレクトリの監視", _xlfn.REGEXTEST(C259, "Safemode Extension"), "セーフモード延長状態", _xlfn.REGEXTEST(C259, "Client Idle"), "クライアントのアイドル（待機）状態", _xlfn.REGEXTEST(C259, "Available Space Policy Balanced"), "空き容量ポリシーの分散バランス状態", _xlfn.REGEXTEST(C259, "Filesystem Checkpoint Transaction"), "ファイルシステムのチェックポイントトランザクション", _xlfn.REGEXTEST(C259, "Blocks With Corrupt Replicas Monitoring"), "破損レプリカを持つブロックの監視", _xlfn.REGEXTEST(C259, "Missing Block Monitoring"), "消失（ミッシング）ブロックの監視", _xlfn.REGEXTEST(C259, "Under-replicated Block Monitoring"), "レプリカ数不足ブロックの監視", _xlfn.REGEXTEST(C259, "HDFS Free Space Monitoring"), "HDFSの空き容量監視", _xlfn.REGEXTEST(C259, "DataNode Monitoring"), "DataNodeの稼働状態監視", _xlfn.REGEXTEST(C259, "Rules to Extract Events from Log Files"), "ログファイルからのイベント抽出ルール設定", _xlfn.REGEXTEST(C259, "Free Space Monitoring$"), "空き容量監視（一般設定）", _xlfn.REGEXTEST(C259, "Transceivers Usage"), "トランシーバー使用量（データ転送スレッド数）", _xlfn.REGEXTEST(C259, "Volume Failures"), "ボリューム障害（ディスクエラー）数", _xlfn.REGEXTEST(C259, "Block Count"), "ブロック総数", _xlfn.REGEXTEST(C259, "Audit Failure"), "監査（オーディット）ログの失敗イベント", _xlfn.REGEXTEST(C259, "Web Metric Collection Duration"), "Webメトリック収集の所要時間", _xlfn.REGEXTEST(C259, "Pause Duration"), "一時停止（ポーズ）の所要時間", _xlfn.REGEXTEST(C259, "Fsync Latency"), "Fsync（ディスク同期）のレイテンシ", _xlfn.REGEXTEST(C259, "Free Space Monitoring Absolute"), "空き容量（絶対値）", _xlfn.REGEXTEST(C259, "Free Space Monitoring Percentage"), "空き容量割合（%）", _xlfn.REGEXTEST(C259, "Age Monitoring"), "経過時間の監視", _xlfn.REGEXTEST(C259, "Transactions Monitoring"), "トランザクション数の監視", _xlfn.REGEXTEST(C259, "RPC Latency"), "RPC（遠隔手続き呼出し）のレイテンシ", _xlfn.REGEXTEST(C259, "Directory Failures"), "ディレクトリ障害数", _xlfn.REGEXTEST(C259, "Out-Of-Sync JournalNodes"), "同期ズレが発生しているJournalNode数", _xlfn.REGEXTEST(C259, "Safemode Threshold Percentage"), "セーフモード解除閾値の割合（%）", _xlfn.REGEXTEST(C259, "Kerberos Ticket Renewer Monitoring"), "Kerberosチケット更新プロセスの稼働状態監視", _xlfn.REGEXTEST(C259, "Load Balancer Monitoring"), "ロードバランサーの稼働状態監視", _xlfn.REGEXTEST(C259, "Navigator Audit Failure"), "Cloudera Navigator監査ログの失敗イベント", _xlfn.REGEXTEST(C259, "Schema Registry Server Monitoring"), "Schema Registry Serverの稼働状態監視", _xlfn.REGEXTEST(C259, "SRM Service Monitoring"), "SRMサービスの稼働状態監視", _xlfn.REGEXTEST(C259, "SRM Driver Monitoring"), "SRMドライバーの稼働状態監視", _xlfn.REGEXTEST(C259, "Loggin"), "ログ出力状態・設定監視", _xlfn.REGEXTEST(C259, "Server Monitoring"), "サーバーの稼働状態監視", _xlfn.REGEXTEST(C259, "Server Connection Count"), "サーバーの接続数（コネクション数）", _xlfn.REGEXTEST(C259, "Server Outstanding Requests"), "サーバーの未処理リクエスト数（滞留要求数）", _xlfn.REGEXTEST(C259, "Repository Status"), "リポジトリのステータス状態", _xlfn.REGEXTEST(C259, "Monitor Long Running Task"), "長時間実行タスク（ジョブ）の監視", _xlfn.REGEXTEST(C259, "Token requests per second"), "1秒あたりのトークンリクエスト数（要求レート）", _xlfn.REGEXTEST(C259, "Connection Model Score"), "接続モデルスコア（コネクション品質）", _xlfn.REGEXTEST(C259, "Queue swap"), "キューのスワップ発生状態", _xlfn.REGEXTEST(C259, "NiFi Node Monitoring"), "NiFiノードの稼働状態監視", _xlfn.REGEXTEST(C259, "Host Clock Offset"), "ホストのクロックオフセット（時刻同期のズレ）", _xlfn.REGEXTEST(C259, "Memory Overcommit Validation"), "メモリオーバーコミット設定の検証", _xlfn.REGEXTEST(C259, "Gateway Logging"), "ゲートウェイのログ出力設定", _xlfn.REGEXTEST(C259, "CPU Balance"), "CPU使用率の分散バランス状態", _xlfn.REGEXTEST(C259, "Disk Balance"), "ディスク使用量の分散バランス状態", _xlfn.REGEXTEST(C259, "Network Inbound Balance"), "ネットワークインバウンド（受信）の分散バランス状態", _xlfn.REGEXTEST(C259, "Network Outbound Balance"), "ネットワークアウトバウンド（送信）の分散バランス状態", _xlfn.REGEXTEST(C259, "Replica Count Balance"), "レプリカ数の分散バランス状態", _xlfn.REGEXTEST(C259, "Disk Capacity"), "ディスク総容量の限界・使用容量", _xlfn.REGEXTEST(C259, "CPU Capacity"), "CPU総処理能力の限界・使用量", _xlfn.REGEXTEST(C259, "Network Inbound Capacity"), "ネットワークインバウンド（受信）帯域の限界・使用量", _xlfn.REGEXTEST(C259, "Network Outbound Capacity"), "ネットワークアウトバウンド（送信）帯域の限界・使用量", _xlfn.REGEXTEST(C259, "Leader Replica Count Balance"), "リーダーレプリカ数の分散バランス状態", _xlfn.REGEXTEST(C259, "Host DNS Resolution Duration"), "ホストのDNS名前解決の所要時間", _xlfn.REGEXTEST(C259, "TLS Certificate Expiry"), "TLS証明書の有効期限切れ", _xlfn.REGEXTEST(C259, "Host Entropy"), "ホストのエントロピー（乱数生成能力）の不足", _xlfn.REGEXTEST(C259, "File Descriptor"), "プロセスのファイルディスクリプタ使用率", _xlfn.REGEXTEST(C259, "Unexpected Exits"), "プロセスの異常終了（予期せぬ停止）", _xlfn.REGEXTEST(C259, "Swap Memory Thresholds"), "プロセスのスワップメモリ使用量", _xlfn.REGEXTEST(C259, "Swap Memory Usage Rate"), "スワップメモリ使用量の変化率（増加速度）", _xlfn.REGEXTEST(C259, "Log Directory Free Space.*Absolute"), "ログディレクトリの空き容量（絶対値）", _xlfn.REGEXTEST(C259, "Log Directory Free Space.*Percentage"), "ログディレクトリの空き容量割合（%）", _xlfn.REGEXTEST(C259, "Heap Dump Directory Free Space.*Absolute"), "ヒープダンプディレクトリの空き容量（絶対値）", _xlfn.REGEXTEST(C259, "Heap Dump Directory Free Space.*Percentage"), "ヒープダンプディレクトリの空き容量割合（%）", _xlfn.REGEXTEST(C259, "Data Directory Free Space.*Absolute"), "データディレクトリの空き容量（絶対値）", _xlfn.REGEXTEST(C259, "Data Directory Free Space.*Percentage"), "データディレクトリの空き容量割合（%）", _xlfn.REGEXTEST(C259, "Transaction Log Directory Free Space.*Absolute"), "トランザクションログディレクトリの空き容量（絶対値）", _xlfn.REGEXTEST(C259, "Logging Threshold|Logger Threshold"), "ログ出力レベルの閾値設定", _xlfn.REGEXTEST(C259, "Enable.*Alerts"), "ヘルスアラートの有効化状態", _xlfn.REGEXTEST(C259, "Triggers"), "カスタムアラート条件（トリガー設定）", _xlfn.REGEXTEST(C259, "Healthy Kafka Broker"), "Kafka Brokerの健全ノード割合（稼働率）", _xlfn.REGEXTEST(C259, "Healthy Kafka Connect"), "Kafka Connectの健全ノード割合（稼働率）", _xlfn.REGEXTEST(C259, "Healthy KRaft Controller"), "KRaft Controllerの健全ノード割合（稼働率）", _xlfn.REGEXTEST(C259, "Healthy Knox IDBroker"), "Knox IDBrokerの健全ノード割合（稼働率）", _xlfn.REGEXTEST(C259, "Healthy Knox Gateway"), "Knox Gatewayの健全ノード割合（稼働率）", _xlfn.REGEXTEST(C259, "Healthy ZooKeeper Server"), "ZooKeeper Serverの健全ノード割合（稼働率）", _xlfn.REGEXTEST(C259, "Healthy NodeManager"), "NodeManagerの健全ノード割合（稼働率）", _xlfn.REGEXTEST(C259, "Maximum Latency"), "リクエストの最大レイテンシ（処理遅延）", _xlfn.REGEXTEST(C259, "Garbage Collection Duration"), "Javaのガベージコレクション（GC）の所要時間", _xlfn.REGEXTEST(C259, "Spool Directory Usage"), "Rangerプラグインのスプールディレクトリ使用量", _xlfn.REGEXTEST(C259, "Process Directory Free Space Monitoring Absolute"), "プロセスディレクトリの空き容量（絶対値)", _xlfn.REGEXTEST(C259, "Process Directory Free Space.*Percentage"), "プロセスディレクトリの空き容量割合（%）", _xlfn.REGEXTEST(C259, "Parcel Directory Free Space.*Absolute"), "パーセルディレクトリの空き容量（絶対値）", _xlfn.REGEXTEST(C259, "Parcel Directory Free Space.*Percentage"), "パーセルディレクトリの空き容量割合（%）", _xlfn.REGEXTEST(C259, "Host Network Frame Error Percentage"), "ホストのネットワークフレームエラー割合（%）", _xlfn.REGEXTEST(C259, "Network Interfaces Slow Link Modes"), "ホストのネットワークインターフェースの低速リンクモード検出", _xlfn.REGEXTEST(C259, "Host Memory Swapping"), "ホストのメモリのスワップ発生状態", TRUE, "要手動確認")</f>
        <v>スワップメモリ使用量の変化率（増加速度）</v>
      </c>
      <c r="H259" s="479" t="s">
        <v>683</v>
      </c>
    </row>
    <row r="260" spans="1:8" ht="33.6">
      <c r="A260" s="514"/>
      <c r="B260" s="473"/>
      <c r="C260" s="471" t="s">
        <v>758</v>
      </c>
      <c r="D260" s="471" t="s">
        <v>759</v>
      </c>
      <c r="E260" s="471" t="s">
        <v>787</v>
      </c>
      <c r="F260" s="471"/>
      <c r="G260" s="471" t="str" cm="1">
        <f t="array" ref="G260">_xlfn.IFS(C260 = "", "", _xlfn.REGEXTEST(C260, "Service Metric Migrator Minimum Consecutive Successful Checks"), "サービスメトリック移行ツールの連続正常チェック最小回数", _xlfn.REGEXTEST(C260, "Rebalancing"), "リバランシング（データ再配置）状態", _xlfn.REGEXTEST(C260, "Temporary Dump Directory"), "一時ダンプディレクトリの監視", _xlfn.REGEXTEST(C260, "Safemode Extension"), "セーフモード延長状態", _xlfn.REGEXTEST(C260, "Client Idle"), "クライアントのアイドル（待機）状態", _xlfn.REGEXTEST(C260, "Available Space Policy Balanced"), "空き容量ポリシーの分散バランス状態", _xlfn.REGEXTEST(C260, "Filesystem Checkpoint Transaction"), "ファイルシステムのチェックポイントトランザクション", _xlfn.REGEXTEST(C260, "Blocks With Corrupt Replicas Monitoring"), "破損レプリカを持つブロックの監視", _xlfn.REGEXTEST(C260, "Missing Block Monitoring"), "消失（ミッシング）ブロックの監視", _xlfn.REGEXTEST(C260, "Under-replicated Block Monitoring"), "レプリカ数不足ブロックの監視", _xlfn.REGEXTEST(C260, "HDFS Free Space Monitoring"), "HDFSの空き容量監視", _xlfn.REGEXTEST(C260, "DataNode Monitoring"), "DataNodeの稼働状態監視", _xlfn.REGEXTEST(C260, "Rules to Extract Events from Log Files"), "ログファイルからのイベント抽出ルール設定", _xlfn.REGEXTEST(C260, "Free Space Monitoring$"), "空き容量監視（一般設定）", _xlfn.REGEXTEST(C260, "Transceivers Usage"), "トランシーバー使用量（データ転送スレッド数）", _xlfn.REGEXTEST(C260, "Volume Failures"), "ボリューム障害（ディスクエラー）数", _xlfn.REGEXTEST(C260, "Block Count"), "ブロック総数", _xlfn.REGEXTEST(C260, "Audit Failure"), "監査（オーディット）ログの失敗イベント", _xlfn.REGEXTEST(C260, "Web Metric Collection Duration"), "Webメトリック収集の所要時間", _xlfn.REGEXTEST(C260, "Pause Duration"), "一時停止（ポーズ）の所要時間", _xlfn.REGEXTEST(C260, "Fsync Latency"), "Fsync（ディスク同期）のレイテンシ", _xlfn.REGEXTEST(C260, "Free Space Monitoring Absolute"), "空き容量（絶対値）", _xlfn.REGEXTEST(C260, "Free Space Monitoring Percentage"), "空き容量割合（%）", _xlfn.REGEXTEST(C260, "Age Monitoring"), "経過時間の監視", _xlfn.REGEXTEST(C260, "Transactions Monitoring"), "トランザクション数の監視", _xlfn.REGEXTEST(C260, "RPC Latency"), "RPC（遠隔手続き呼出し）のレイテンシ", _xlfn.REGEXTEST(C260, "Directory Failures"), "ディレクトリ障害数", _xlfn.REGEXTEST(C260, "Out-Of-Sync JournalNodes"), "同期ズレが発生しているJournalNode数", _xlfn.REGEXTEST(C260, "Safemode Threshold Percentage"), "セーフモード解除閾値の割合（%）", _xlfn.REGEXTEST(C260, "Kerberos Ticket Renewer Monitoring"), "Kerberosチケット更新プロセスの稼働状態監視", _xlfn.REGEXTEST(C260, "Load Balancer Monitoring"), "ロードバランサーの稼働状態監視", _xlfn.REGEXTEST(C260, "Navigator Audit Failure"), "Cloudera Navigator監査ログの失敗イベント", _xlfn.REGEXTEST(C260, "Schema Registry Server Monitoring"), "Schema Registry Serverの稼働状態監視", _xlfn.REGEXTEST(C260, "SRM Service Monitoring"), "SRMサービスの稼働状態監視", _xlfn.REGEXTEST(C260, "SRM Driver Monitoring"), "SRMドライバーの稼働状態監視", _xlfn.REGEXTEST(C260, "Loggin"), "ログ出力状態・設定監視", _xlfn.REGEXTEST(C260, "Server Monitoring"), "サーバーの稼働状態監視", _xlfn.REGEXTEST(C260, "Server Connection Count"), "サーバーの接続数（コネクション数）", _xlfn.REGEXTEST(C260, "Server Outstanding Requests"), "サーバーの未処理リクエスト数（滞留要求数）", _xlfn.REGEXTEST(C260, "Repository Status"), "リポジトリのステータス状態", _xlfn.REGEXTEST(C260, "Monitor Long Running Task"), "長時間実行タスク（ジョブ）の監視", _xlfn.REGEXTEST(C260, "Token requests per second"), "1秒あたりのトークンリクエスト数（要求レート）", _xlfn.REGEXTEST(C260, "Connection Model Score"), "接続モデルスコア（コネクション品質）", _xlfn.REGEXTEST(C260, "Queue swap"), "キューのスワップ発生状態", _xlfn.REGEXTEST(C260, "NiFi Node Monitoring"), "NiFiノードの稼働状態監視", _xlfn.REGEXTEST(C260, "Host Clock Offset"), "ホストのクロックオフセット（時刻同期のズレ）", _xlfn.REGEXTEST(C260, "Memory Overcommit Validation"), "メモリオーバーコミット設定の検証", _xlfn.REGEXTEST(C260, "Gateway Logging"), "ゲートウェイのログ出力設定", _xlfn.REGEXTEST(C260, "CPU Balance"), "CPU使用率の分散バランス状態", _xlfn.REGEXTEST(C260, "Disk Balance"), "ディスク使用量の分散バランス状態", _xlfn.REGEXTEST(C260, "Network Inbound Balance"), "ネットワークインバウンド（受信）の分散バランス状態", _xlfn.REGEXTEST(C260, "Network Outbound Balance"), "ネットワークアウトバウンド（送信）の分散バランス状態", _xlfn.REGEXTEST(C260, "Replica Count Balance"), "レプリカ数の分散バランス状態", _xlfn.REGEXTEST(C260, "Disk Capacity"), "ディスク総容量の限界・使用容量", _xlfn.REGEXTEST(C260, "CPU Capacity"), "CPU総処理能力の限界・使用量", _xlfn.REGEXTEST(C260, "Network Inbound Capacity"), "ネットワークインバウンド（受信）帯域の限界・使用量", _xlfn.REGEXTEST(C260, "Network Outbound Capacity"), "ネットワークアウトバウンド（送信）帯域の限界・使用量", _xlfn.REGEXTEST(C260, "Leader Replica Count Balance"), "リーダーレプリカ数の分散バランス状態", _xlfn.REGEXTEST(C260, "Host DNS Resolution Duration"), "ホストのDNS名前解決の所要時間", _xlfn.REGEXTEST(C260, "TLS Certificate Expiry"), "TLS証明書の有効期限切れ", _xlfn.REGEXTEST(C260, "Host Entropy"), "ホストのエントロピー（乱数生成能力）の不足", _xlfn.REGEXTEST(C260, "File Descriptor"), "プロセスのファイルディスクリプタ使用率", _xlfn.REGEXTEST(C260, "Unexpected Exits"), "プロセスの異常終了（予期せぬ停止）", _xlfn.REGEXTEST(C260, "Swap Memory Thresholds"), "プロセスのスワップメモリ使用量", _xlfn.REGEXTEST(C260, "Swap Memory Usage Rate"), "スワップメモリ使用量の変化率（増加速度）", _xlfn.REGEXTEST(C260, "Log Directory Free Space.*Absolute"), "ログディレクトリの空き容量（絶対値）", _xlfn.REGEXTEST(C260, "Log Directory Free Space.*Percentage"), "ログディレクトリの空き容量割合（%）", _xlfn.REGEXTEST(C260, "Heap Dump Directory Free Space.*Absolute"), "ヒープダンプディレクトリの空き容量（絶対値）", _xlfn.REGEXTEST(C260, "Heap Dump Directory Free Space.*Percentage"), "ヒープダンプディレクトリの空き容量割合（%）", _xlfn.REGEXTEST(C260, "Data Directory Free Space.*Absolute"), "データディレクトリの空き容量（絶対値）", _xlfn.REGEXTEST(C260, "Data Directory Free Space.*Percentage"), "データディレクトリの空き容量割合（%）", _xlfn.REGEXTEST(C260, "Transaction Log Directory Free Space.*Absolute"), "トランザクションログディレクトリの空き容量（絶対値）", _xlfn.REGEXTEST(C260, "Logging Threshold|Logger Threshold"), "ログ出力レベルの閾値設定", _xlfn.REGEXTEST(C260, "Enable.*Alerts"), "ヘルスアラートの有効化状態", _xlfn.REGEXTEST(C260, "Triggers"), "カスタムアラート条件（トリガー設定）", _xlfn.REGEXTEST(C260, "Healthy Kafka Broker"), "Kafka Brokerの健全ノード割合（稼働率）", _xlfn.REGEXTEST(C260, "Healthy Kafka Connect"), "Kafka Connectの健全ノード割合（稼働率）", _xlfn.REGEXTEST(C260, "Healthy KRaft Controller"), "KRaft Controllerの健全ノード割合（稼働率）", _xlfn.REGEXTEST(C260, "Healthy Knox IDBroker"), "Knox IDBrokerの健全ノード割合（稼働率）", _xlfn.REGEXTEST(C260, "Healthy Knox Gateway"), "Knox Gatewayの健全ノード割合（稼働率）", _xlfn.REGEXTEST(C260, "Healthy ZooKeeper Server"), "ZooKeeper Serverの健全ノード割合（稼働率）", _xlfn.REGEXTEST(C260, "Healthy NodeManager"), "NodeManagerの健全ノード割合（稼働率）", _xlfn.REGEXTEST(C260, "Maximum Latency"), "リクエストの最大レイテンシ（処理遅延）", _xlfn.REGEXTEST(C260, "Garbage Collection Duration"), "Javaのガベージコレクション（GC）の所要時間", _xlfn.REGEXTEST(C260, "Spool Directory Usage"), "Rangerプラグインのスプールディレクトリ使用量", _xlfn.REGEXTEST(C260, "Process Directory Free Space Monitoring Absolute"), "プロセスディレクトリの空き容量（絶対値)", _xlfn.REGEXTEST(C260, "Process Directory Free Space.*Percentage"), "プロセスディレクトリの空き容量割合（%）", _xlfn.REGEXTEST(C260, "Parcel Directory Free Space.*Absolute"), "パーセルディレクトリの空き容量（絶対値）", _xlfn.REGEXTEST(C260, "Parcel Directory Free Space.*Percentage"), "パーセルディレクトリの空き容量割合（%）", _xlfn.REGEXTEST(C260, "Host Network Frame Error Percentage"), "ホストのネットワークフレームエラー割合（%）", _xlfn.REGEXTEST(C260, "Network Interfaces Slow Link Modes"), "ホストのネットワークインターフェースの低速リンクモード検出", _xlfn.REGEXTEST(C260, "Host Memory Swapping"), "ホストのメモリのスワップ発生状態", TRUE, "要手動確認")</f>
        <v>スワップメモリ使用量の変化率（増加速度）</v>
      </c>
      <c r="H260" s="479" t="s">
        <v>683</v>
      </c>
    </row>
    <row r="261" spans="1:8" ht="33.6">
      <c r="A261" s="514"/>
      <c r="B261" s="473"/>
      <c r="C261" s="471" t="s">
        <v>801</v>
      </c>
      <c r="D261" s="471" t="s">
        <v>764</v>
      </c>
      <c r="E261" s="471"/>
      <c r="F261" s="471"/>
      <c r="G261" s="471" t="str" cm="1">
        <f t="array" ref="G261">_xlfn.IFS(C261 = "", "", _xlfn.REGEXTEST(C261, "Service Metric Migrator Minimum Consecutive Successful Checks"), "サービスメトリック移行ツールの連続正常チェック最小回数", _xlfn.REGEXTEST(C261, "Rebalancing"), "リバランシング（データ再配置）状態", _xlfn.REGEXTEST(C261, "Temporary Dump Directory"), "一時ダンプディレクトリの監視", _xlfn.REGEXTEST(C261, "Safemode Extension"), "セーフモード延長状態", _xlfn.REGEXTEST(C261, "Client Idle"), "クライアントのアイドル（待機）状態", _xlfn.REGEXTEST(C261, "Available Space Policy Balanced"), "空き容量ポリシーの分散バランス状態", _xlfn.REGEXTEST(C261, "Filesystem Checkpoint Transaction"), "ファイルシステムのチェックポイントトランザクション", _xlfn.REGEXTEST(C261, "Blocks With Corrupt Replicas Monitoring"), "破損レプリカを持つブロックの監視", _xlfn.REGEXTEST(C261, "Missing Block Monitoring"), "消失（ミッシング）ブロックの監視", _xlfn.REGEXTEST(C261, "Under-replicated Block Monitoring"), "レプリカ数不足ブロックの監視", _xlfn.REGEXTEST(C261, "HDFS Free Space Monitoring"), "HDFSの空き容量監視", _xlfn.REGEXTEST(C261, "DataNode Monitoring"), "DataNodeの稼働状態監視", _xlfn.REGEXTEST(C261, "Rules to Extract Events from Log Files"), "ログファイルからのイベント抽出ルール設定", _xlfn.REGEXTEST(C261, "Free Space Monitoring$"), "空き容量監視（一般設定）", _xlfn.REGEXTEST(C261, "Transceivers Usage"), "トランシーバー使用量（データ転送スレッド数）", _xlfn.REGEXTEST(C261, "Volume Failures"), "ボリューム障害（ディスクエラー）数", _xlfn.REGEXTEST(C261, "Block Count"), "ブロック総数", _xlfn.REGEXTEST(C261, "Audit Failure"), "監査（オーディット）ログの失敗イベント", _xlfn.REGEXTEST(C261, "Web Metric Collection Duration"), "Webメトリック収集の所要時間", _xlfn.REGEXTEST(C261, "Pause Duration"), "一時停止（ポーズ）の所要時間", _xlfn.REGEXTEST(C261, "Fsync Latency"), "Fsync（ディスク同期）のレイテンシ", _xlfn.REGEXTEST(C261, "Free Space Monitoring Absolute"), "空き容量（絶対値）", _xlfn.REGEXTEST(C261, "Free Space Monitoring Percentage"), "空き容量割合（%）", _xlfn.REGEXTEST(C261, "Age Monitoring"), "経過時間の監視", _xlfn.REGEXTEST(C261, "Transactions Monitoring"), "トランザクション数の監視", _xlfn.REGEXTEST(C261, "RPC Latency"), "RPC（遠隔手続き呼出し）のレイテンシ", _xlfn.REGEXTEST(C261, "Directory Failures"), "ディレクトリ障害数", _xlfn.REGEXTEST(C261, "Out-Of-Sync JournalNodes"), "同期ズレが発生しているJournalNode数", _xlfn.REGEXTEST(C261, "Safemode Threshold Percentage"), "セーフモード解除閾値の割合（%）", _xlfn.REGEXTEST(C261, "Kerberos Ticket Renewer Monitoring"), "Kerberosチケット更新プロセスの稼働状態監視", _xlfn.REGEXTEST(C261, "Load Balancer Monitoring"), "ロードバランサーの稼働状態監視", _xlfn.REGEXTEST(C261, "Navigator Audit Failure"), "Cloudera Navigator監査ログの失敗イベント", _xlfn.REGEXTEST(C261, "Schema Registry Server Monitoring"), "Schema Registry Serverの稼働状態監視", _xlfn.REGEXTEST(C261, "SRM Service Monitoring"), "SRMサービスの稼働状態監視", _xlfn.REGEXTEST(C261, "SRM Driver Monitoring"), "SRMドライバーの稼働状態監視", _xlfn.REGEXTEST(C261, "Loggin"), "ログ出力状態・設定監視", _xlfn.REGEXTEST(C261, "Server Monitoring"), "サーバーの稼働状態監視", _xlfn.REGEXTEST(C261, "Server Connection Count"), "サーバーの接続数（コネクション数）", _xlfn.REGEXTEST(C261, "Server Outstanding Requests"), "サーバーの未処理リクエスト数（滞留要求数）", _xlfn.REGEXTEST(C261, "Repository Status"), "リポジトリのステータス状態", _xlfn.REGEXTEST(C261, "Monitor Long Running Task"), "長時間実行タスク（ジョブ）の監視", _xlfn.REGEXTEST(C261, "Token requests per second"), "1秒あたりのトークンリクエスト数（要求レート）", _xlfn.REGEXTEST(C261, "Connection Model Score"), "接続モデルスコア（コネクション品質）", _xlfn.REGEXTEST(C261, "Queue swap"), "キューのスワップ発生状態", _xlfn.REGEXTEST(C261, "NiFi Node Monitoring"), "NiFiノードの稼働状態監視", _xlfn.REGEXTEST(C261, "Host Clock Offset"), "ホストのクロックオフセット（時刻同期のズレ）", _xlfn.REGEXTEST(C261, "Memory Overcommit Validation"), "メモリオーバーコミット設定の検証", _xlfn.REGEXTEST(C261, "Gateway Logging"), "ゲートウェイのログ出力設定", _xlfn.REGEXTEST(C261, "CPU Balance"), "CPU使用率の分散バランス状態", _xlfn.REGEXTEST(C261, "Disk Balance"), "ディスク使用量の分散バランス状態", _xlfn.REGEXTEST(C261, "Network Inbound Balance"), "ネットワークインバウンド（受信）の分散バランス状態", _xlfn.REGEXTEST(C261, "Network Outbound Balance"), "ネットワークアウトバウンド（送信）の分散バランス状態", _xlfn.REGEXTEST(C261, "Replica Count Balance"), "レプリカ数の分散バランス状態", _xlfn.REGEXTEST(C261, "Disk Capacity"), "ディスク総容量の限界・使用容量", _xlfn.REGEXTEST(C261, "CPU Capacity"), "CPU総処理能力の限界・使用量", _xlfn.REGEXTEST(C261, "Network Inbound Capacity"), "ネットワークインバウンド（受信）帯域の限界・使用量", _xlfn.REGEXTEST(C261, "Network Outbound Capacity"), "ネットワークアウトバウンド（送信）帯域の限界・使用量", _xlfn.REGEXTEST(C261, "Leader Replica Count Balance"), "リーダーレプリカ数の分散バランス状態", _xlfn.REGEXTEST(C261, "Host DNS Resolution Duration"), "ホストのDNS名前解決の所要時間", _xlfn.REGEXTEST(C261, "TLS Certificate Expiry"), "TLS証明書の有効期限切れ", _xlfn.REGEXTEST(C261, "Host Entropy"), "ホストのエントロピー（乱数生成能力）の不足", _xlfn.REGEXTEST(C261, "File Descriptor"), "プロセスのファイルディスクリプタ使用率", _xlfn.REGEXTEST(C261, "Unexpected Exits"), "プロセスの異常終了（予期せぬ停止）", _xlfn.REGEXTEST(C261, "Swap Memory Thresholds"), "プロセスのスワップメモリ使用量", _xlfn.REGEXTEST(C261, "Swap Memory Usage Rate"), "スワップメモリ使用量の変化率（増加速度）", _xlfn.REGEXTEST(C261, "Log Directory Free Space.*Absolute"), "ログディレクトリの空き容量（絶対値）", _xlfn.REGEXTEST(C261, "Log Directory Free Space.*Percentage"), "ログディレクトリの空き容量割合（%）", _xlfn.REGEXTEST(C261, "Heap Dump Directory Free Space.*Absolute"), "ヒープダンプディレクトリの空き容量（絶対値）", _xlfn.REGEXTEST(C261, "Heap Dump Directory Free Space.*Percentage"), "ヒープダンプディレクトリの空き容量割合（%）", _xlfn.REGEXTEST(C261, "Data Directory Free Space.*Absolute"), "データディレクトリの空き容量（絶対値）", _xlfn.REGEXTEST(C261, "Data Directory Free Space.*Percentage"), "データディレクトリの空き容量割合（%）", _xlfn.REGEXTEST(C261, "Transaction Log Directory Free Space.*Absolute"), "トランザクションログディレクトリの空き容量（絶対値）", _xlfn.REGEXTEST(C261, "Logging Threshold|Logger Threshold"), "ログ出力レベルの閾値設定", _xlfn.REGEXTEST(C261, "Enable.*Alerts"), "ヘルスアラートの有効化状態", _xlfn.REGEXTEST(C261, "Triggers"), "カスタムアラート条件（トリガー設定）", _xlfn.REGEXTEST(C261, "Healthy Kafka Broker"), "Kafka Brokerの健全ノード割合（稼働率）", _xlfn.REGEXTEST(C261, "Healthy Kafka Connect"), "Kafka Connectの健全ノード割合（稼働率）", _xlfn.REGEXTEST(C261, "Healthy KRaft Controller"), "KRaft Controllerの健全ノード割合（稼働率）", _xlfn.REGEXTEST(C261, "Healthy Knox IDBroker"), "Knox IDBrokerの健全ノード割合（稼働率）", _xlfn.REGEXTEST(C261, "Healthy Knox Gateway"), "Knox Gatewayの健全ノード割合（稼働率）", _xlfn.REGEXTEST(C261, "Healthy ZooKeeper Server"), "ZooKeeper Serverの健全ノード割合（稼働率）", _xlfn.REGEXTEST(C261, "Healthy NodeManager"), "NodeManagerの健全ノード割合（稼働率）", _xlfn.REGEXTEST(C261, "Maximum Latency"), "リクエストの最大レイテンシ（処理遅延）", _xlfn.REGEXTEST(C261, "Garbage Collection Duration"), "Javaのガベージコレクション（GC）の所要時間", _xlfn.REGEXTEST(C261, "Spool Directory Usage"), "Rangerプラグインのスプールディレクトリ使用量", _xlfn.REGEXTEST(C261, "Process Directory Free Space Monitoring Absolute"), "プロセスディレクトリの空き容量（絶対値)", _xlfn.REGEXTEST(C261, "Process Directory Free Space.*Percentage"), "プロセスディレクトリの空き容量割合（%）", _xlfn.REGEXTEST(C261, "Parcel Directory Free Space.*Absolute"), "パーセルディレクトリの空き容量（絶対値）", _xlfn.REGEXTEST(C261, "Parcel Directory Free Space.*Percentage"), "パーセルディレクトリの空き容量割合（%）", _xlfn.REGEXTEST(C261, "Host Network Frame Error Percentage"), "ホストのネットワークフレームエラー割合（%）", _xlfn.REGEXTEST(C261, "Network Interfaces Slow Link Modes"), "ホストのネットワークインターフェースの低速リンクモード検出", _xlfn.REGEXTEST(C261, "Host Memory Swapping"), "ホストのメモリのスワップ発生状態", TRUE, "要手動確認")</f>
        <v>Rangerプラグインのスプールディレクトリ使用量</v>
      </c>
      <c r="H261" s="479" t="s">
        <v>949</v>
      </c>
    </row>
    <row r="262" spans="1:8" ht="33.6">
      <c r="A262" s="514"/>
      <c r="B262" s="470"/>
      <c r="C262" s="471" t="s">
        <v>736</v>
      </c>
      <c r="D262" s="471" t="s">
        <v>802</v>
      </c>
      <c r="E262" s="471"/>
      <c r="F262" s="471"/>
      <c r="G262" s="471" t="str" cm="1">
        <f t="array" ref="G262">_xlfn.IFS(C262 = "", "", _xlfn.REGEXTEST(C262, "Service Metric Migrator Minimum Consecutive Successful Checks"), "サービスメトリック移行ツールの連続正常チェック最小回数", _xlfn.REGEXTEST(C262, "Rebalancing"), "リバランシング（データ再配置）状態", _xlfn.REGEXTEST(C262, "Temporary Dump Directory"), "一時ダンプディレクトリの監視", _xlfn.REGEXTEST(C262, "Safemode Extension"), "セーフモード延長状態", _xlfn.REGEXTEST(C262, "Client Idle"), "クライアントのアイドル（待機）状態", _xlfn.REGEXTEST(C262, "Available Space Policy Balanced"), "空き容量ポリシーの分散バランス状態", _xlfn.REGEXTEST(C262, "Filesystem Checkpoint Transaction"), "ファイルシステムのチェックポイントトランザクション", _xlfn.REGEXTEST(C262, "Blocks With Corrupt Replicas Monitoring"), "破損レプリカを持つブロックの監視", _xlfn.REGEXTEST(C262, "Missing Block Monitoring"), "消失（ミッシング）ブロックの監視", _xlfn.REGEXTEST(C262, "Under-replicated Block Monitoring"), "レプリカ数不足ブロックの監視", _xlfn.REGEXTEST(C262, "HDFS Free Space Monitoring"), "HDFSの空き容量監視", _xlfn.REGEXTEST(C262, "DataNode Monitoring"), "DataNodeの稼働状態監視", _xlfn.REGEXTEST(C262, "Rules to Extract Events from Log Files"), "ログファイルからのイベント抽出ルール設定", _xlfn.REGEXTEST(C262, "Free Space Monitoring$"), "空き容量監視（一般設定）", _xlfn.REGEXTEST(C262, "Transceivers Usage"), "トランシーバー使用量（データ転送スレッド数）", _xlfn.REGEXTEST(C262, "Volume Failures"), "ボリューム障害（ディスクエラー）数", _xlfn.REGEXTEST(C262, "Block Count"), "ブロック総数", _xlfn.REGEXTEST(C262, "Audit Failure"), "監査（オーディット）ログの失敗イベント", _xlfn.REGEXTEST(C262, "Web Metric Collection Duration"), "Webメトリック収集の所要時間", _xlfn.REGEXTEST(C262, "Pause Duration"), "一時停止（ポーズ）の所要時間", _xlfn.REGEXTEST(C262, "Fsync Latency"), "Fsync（ディスク同期）のレイテンシ", _xlfn.REGEXTEST(C262, "Free Space Monitoring Absolute"), "空き容量（絶対値）", _xlfn.REGEXTEST(C262, "Free Space Monitoring Percentage"), "空き容量割合（%）", _xlfn.REGEXTEST(C262, "Age Monitoring"), "経過時間の監視", _xlfn.REGEXTEST(C262, "Transactions Monitoring"), "トランザクション数の監視", _xlfn.REGEXTEST(C262, "RPC Latency"), "RPC（遠隔手続き呼出し）のレイテンシ", _xlfn.REGEXTEST(C262, "Directory Failures"), "ディレクトリ障害数", _xlfn.REGEXTEST(C262, "Out-Of-Sync JournalNodes"), "同期ズレが発生しているJournalNode数", _xlfn.REGEXTEST(C262, "Safemode Threshold Percentage"), "セーフモード解除閾値の割合（%）", _xlfn.REGEXTEST(C262, "Kerberos Ticket Renewer Monitoring"), "Kerberosチケット更新プロセスの稼働状態監視", _xlfn.REGEXTEST(C262, "Load Balancer Monitoring"), "ロードバランサーの稼働状態監視", _xlfn.REGEXTEST(C262, "Navigator Audit Failure"), "Cloudera Navigator監査ログの失敗イベント", _xlfn.REGEXTEST(C262, "Schema Registry Server Monitoring"), "Schema Registry Serverの稼働状態監視", _xlfn.REGEXTEST(C262, "SRM Service Monitoring"), "SRMサービスの稼働状態監視", _xlfn.REGEXTEST(C262, "SRM Driver Monitoring"), "SRMドライバーの稼働状態監視", _xlfn.REGEXTEST(C262, "Loggin"), "ログ出力状態・設定監視", _xlfn.REGEXTEST(C262, "Server Monitoring"), "サーバーの稼働状態監視", _xlfn.REGEXTEST(C262, "Server Connection Count"), "サーバーの接続数（コネクション数）", _xlfn.REGEXTEST(C262, "Server Outstanding Requests"), "サーバーの未処理リクエスト数（滞留要求数）", _xlfn.REGEXTEST(C262, "Repository Status"), "リポジトリのステータス状態", _xlfn.REGEXTEST(C262, "Monitor Long Running Task"), "長時間実行タスク（ジョブ）の監視", _xlfn.REGEXTEST(C262, "Token requests per second"), "1秒あたりのトークンリクエスト数（要求レート）", _xlfn.REGEXTEST(C262, "Connection Model Score"), "接続モデルスコア（コネクション品質）", _xlfn.REGEXTEST(C262, "Queue swap"), "キューのスワップ発生状態", _xlfn.REGEXTEST(C262, "NiFi Node Monitoring"), "NiFiノードの稼働状態監視", _xlfn.REGEXTEST(C262, "Host Clock Offset"), "ホストのクロックオフセット（時刻同期のズレ）", _xlfn.REGEXTEST(C262, "Memory Overcommit Validation"), "メモリオーバーコミット設定の検証", _xlfn.REGEXTEST(C262, "Gateway Logging"), "ゲートウェイのログ出力設定", _xlfn.REGEXTEST(C262, "CPU Balance"), "CPU使用率の分散バランス状態", _xlfn.REGEXTEST(C262, "Disk Balance"), "ディスク使用量の分散バランス状態", _xlfn.REGEXTEST(C262, "Network Inbound Balance"), "ネットワークインバウンド（受信）の分散バランス状態", _xlfn.REGEXTEST(C262, "Network Outbound Balance"), "ネットワークアウトバウンド（送信）の分散バランス状態", _xlfn.REGEXTEST(C262, "Replica Count Balance"), "レプリカ数の分散バランス状態", _xlfn.REGEXTEST(C262, "Disk Capacity"), "ディスク総容量の限界・使用容量", _xlfn.REGEXTEST(C262, "CPU Capacity"), "CPU総処理能力の限界・使用量", _xlfn.REGEXTEST(C262, "Network Inbound Capacity"), "ネットワークインバウンド（受信）帯域の限界・使用量", _xlfn.REGEXTEST(C262, "Network Outbound Capacity"), "ネットワークアウトバウンド（送信）帯域の限界・使用量", _xlfn.REGEXTEST(C262, "Leader Replica Count Balance"), "リーダーレプリカ数の分散バランス状態", _xlfn.REGEXTEST(C262, "Host DNS Resolution Duration"), "ホストのDNS名前解決の所要時間", _xlfn.REGEXTEST(C262, "TLS Certificate Expiry"), "TLS証明書の有効期限切れ", _xlfn.REGEXTEST(C262, "Host Entropy"), "ホストのエントロピー（乱数生成能力）の不足", _xlfn.REGEXTEST(C262, "File Descriptor"), "プロセスのファイルディスクリプタ使用率", _xlfn.REGEXTEST(C262, "Unexpected Exits"), "プロセスの異常終了（予期せぬ停止）", _xlfn.REGEXTEST(C262, "Swap Memory Thresholds"), "プロセスのスワップメモリ使用量", _xlfn.REGEXTEST(C262, "Swap Memory Usage Rate"), "スワップメモリ使用量の変化率（増加速度）", _xlfn.REGEXTEST(C262, "Log Directory Free Space.*Absolute"), "ログディレクトリの空き容量（絶対値）", _xlfn.REGEXTEST(C262, "Log Directory Free Space.*Percentage"), "ログディレクトリの空き容量割合（%）", _xlfn.REGEXTEST(C262, "Heap Dump Directory Free Space.*Absolute"), "ヒープダンプディレクトリの空き容量（絶対値）", _xlfn.REGEXTEST(C262, "Heap Dump Directory Free Space.*Percentage"), "ヒープダンプディレクトリの空き容量割合（%）", _xlfn.REGEXTEST(C262, "Data Directory Free Space.*Absolute"), "データディレクトリの空き容量（絶対値）", _xlfn.REGEXTEST(C262, "Data Directory Free Space.*Percentage"), "データディレクトリの空き容量割合（%）", _xlfn.REGEXTEST(C262, "Transaction Log Directory Free Space.*Absolute"), "トランザクションログディレクトリの空き容量（絶対値）", _xlfn.REGEXTEST(C262, "Logging Threshold|Logger Threshold"), "ログ出力レベルの閾値設定", _xlfn.REGEXTEST(C262, "Enable.*Alerts"), "ヘルスアラートの有効化状態", _xlfn.REGEXTEST(C262, "Triggers"), "カスタムアラート条件（トリガー設定）", _xlfn.REGEXTEST(C262, "Healthy Kafka Broker"), "Kafka Brokerの健全ノード割合（稼働率）", _xlfn.REGEXTEST(C262, "Healthy Kafka Connect"), "Kafka Connectの健全ノード割合（稼働率）", _xlfn.REGEXTEST(C262, "Healthy KRaft Controller"), "KRaft Controllerの健全ノード割合（稼働率）", _xlfn.REGEXTEST(C262, "Healthy Knox IDBroker"), "Knox IDBrokerの健全ノード割合（稼働率）", _xlfn.REGEXTEST(C262, "Healthy Knox Gateway"), "Knox Gatewayの健全ノード割合（稼働率）", _xlfn.REGEXTEST(C262, "Healthy ZooKeeper Server"), "ZooKeeper Serverの健全ノード割合（稼働率）", _xlfn.REGEXTEST(C262, "Healthy NodeManager"), "NodeManagerの健全ノード割合（稼働率）", _xlfn.REGEXTEST(C262, "Maximum Latency"), "リクエストの最大レイテンシ（処理遅延）", _xlfn.REGEXTEST(C262, "Garbage Collection Duration"), "Javaのガベージコレクション（GC）の所要時間", _xlfn.REGEXTEST(C262, "Spool Directory Usage"), "Rangerプラグインのスプールディレクトリ使用量", _xlfn.REGEXTEST(C262, "Process Directory Free Space Monitoring Absolute"), "プロセスディレクトリの空き容量（絶対値)", _xlfn.REGEXTEST(C262, "Process Directory Free Space.*Percentage"), "プロセスディレクトリの空き容量割合（%）", _xlfn.REGEXTEST(C262, "Parcel Directory Free Space.*Absolute"), "パーセルディレクトリの空き容量（絶対値）", _xlfn.REGEXTEST(C262, "Parcel Directory Free Space.*Percentage"), "パーセルディレクトリの空き容量割合（%）", _xlfn.REGEXTEST(C262, "Host Network Frame Error Percentage"), "ホストのネットワークフレームエラー割合（%）", _xlfn.REGEXTEST(C262, "Network Interfaces Slow Link Modes"), "ホストのネットワークインターフェースの低速リンクモード検出", _xlfn.REGEXTEST(C262, "Host Memory Swapping"), "ホストのメモリのスワップ発生状態", TRUE, "要手動確認")</f>
        <v>プロセスのファイルディスクリプタ使用率</v>
      </c>
      <c r="H262" s="479" t="s">
        <v>740</v>
      </c>
    </row>
    <row r="263" spans="1:8" ht="16.899999999999999">
      <c r="A263" s="514"/>
      <c r="B263" s="472" t="s">
        <v>831</v>
      </c>
      <c r="C263" s="471" t="s">
        <v>771</v>
      </c>
      <c r="D263" s="471" t="s">
        <v>772</v>
      </c>
      <c r="E263" s="471" t="s">
        <v>773</v>
      </c>
      <c r="F263" s="471"/>
      <c r="G263" s="471" t="str" cm="1">
        <f t="array" ref="G263">_xlfn.IFS(C263 = "", "", _xlfn.REGEXTEST(C263, "Service Metric Migrator Minimum Consecutive Successful Checks"), "サービスメトリック移行ツールの連続正常チェック最小回数", _xlfn.REGEXTEST(C263, "Rebalancing"), "リバランシング（データ再配置）状態", _xlfn.REGEXTEST(C263, "Temporary Dump Directory"), "一時ダンプディレクトリの監視", _xlfn.REGEXTEST(C263, "Safemode Extension"), "セーフモード延長状態", _xlfn.REGEXTEST(C263, "Client Idle"), "クライアントのアイドル（待機）状態", _xlfn.REGEXTEST(C263, "Available Space Policy Balanced"), "空き容量ポリシーの分散バランス状態", _xlfn.REGEXTEST(C263, "Filesystem Checkpoint Transaction"), "ファイルシステムのチェックポイントトランザクション", _xlfn.REGEXTEST(C263, "Blocks With Corrupt Replicas Monitoring"), "破損レプリカを持つブロックの監視", _xlfn.REGEXTEST(C263, "Missing Block Monitoring"), "消失（ミッシング）ブロックの監視", _xlfn.REGEXTEST(C263, "Under-replicated Block Monitoring"), "レプリカ数不足ブロックの監視", _xlfn.REGEXTEST(C263, "HDFS Free Space Monitoring"), "HDFSの空き容量監視", _xlfn.REGEXTEST(C263, "DataNode Monitoring"), "DataNodeの稼働状態監視", _xlfn.REGEXTEST(C263, "Rules to Extract Events from Log Files"), "ログファイルからのイベント抽出ルール設定", _xlfn.REGEXTEST(C263, "Free Space Monitoring$"), "空き容量監視（一般設定）", _xlfn.REGEXTEST(C263, "Transceivers Usage"), "トランシーバー使用量（データ転送スレッド数）", _xlfn.REGEXTEST(C263, "Volume Failures"), "ボリューム障害（ディスクエラー）数", _xlfn.REGEXTEST(C263, "Block Count"), "ブロック総数", _xlfn.REGEXTEST(C263, "Audit Failure"), "監査（オーディット）ログの失敗イベント", _xlfn.REGEXTEST(C263, "Web Metric Collection Duration"), "Webメトリック収集の所要時間", _xlfn.REGEXTEST(C263, "Pause Duration"), "一時停止（ポーズ）の所要時間", _xlfn.REGEXTEST(C263, "Fsync Latency"), "Fsync（ディスク同期）のレイテンシ", _xlfn.REGEXTEST(C263, "Free Space Monitoring Absolute"), "空き容量（絶対値）", _xlfn.REGEXTEST(C263, "Free Space Monitoring Percentage"), "空き容量割合（%）", _xlfn.REGEXTEST(C263, "Age Monitoring"), "経過時間の監視", _xlfn.REGEXTEST(C263, "Transactions Monitoring"), "トランザクション数の監視", _xlfn.REGEXTEST(C263, "RPC Latency"), "RPC（遠隔手続き呼出し）のレイテンシ", _xlfn.REGEXTEST(C263, "Directory Failures"), "ディレクトリ障害数", _xlfn.REGEXTEST(C263, "Out-Of-Sync JournalNodes"), "同期ズレが発生しているJournalNode数", _xlfn.REGEXTEST(C263, "Safemode Threshold Percentage"), "セーフモード解除閾値の割合（%）", _xlfn.REGEXTEST(C263, "Kerberos Ticket Renewer Monitoring"), "Kerberosチケット更新プロセスの稼働状態監視", _xlfn.REGEXTEST(C263, "Load Balancer Monitoring"), "ロードバランサーの稼働状態監視", _xlfn.REGEXTEST(C263, "Navigator Audit Failure"), "Cloudera Navigator監査ログの失敗イベント", _xlfn.REGEXTEST(C263, "Schema Registry Server Monitoring"), "Schema Registry Serverの稼働状態監視", _xlfn.REGEXTEST(C263, "SRM Service Monitoring"), "SRMサービスの稼働状態監視", _xlfn.REGEXTEST(C263, "SRM Driver Monitoring"), "SRMドライバーの稼働状態監視", _xlfn.REGEXTEST(C263, "Loggin"), "ログ出力状態・設定監視", _xlfn.REGEXTEST(C263, "Server Monitoring"), "サーバーの稼働状態監視", _xlfn.REGEXTEST(C263, "Server Connection Count"), "サーバーの接続数（コネクション数）", _xlfn.REGEXTEST(C263, "Server Outstanding Requests"), "サーバーの未処理リクエスト数（滞留要求数）", _xlfn.REGEXTEST(C263, "Repository Status"), "リポジトリのステータス状態", _xlfn.REGEXTEST(C263, "Monitor Long Running Task"), "長時間実行タスク（ジョブ）の監視", _xlfn.REGEXTEST(C263, "Token requests per second"), "1秒あたりのトークンリクエスト数（要求レート）", _xlfn.REGEXTEST(C263, "Connection Model Score"), "接続モデルスコア（コネクション品質）", _xlfn.REGEXTEST(C263, "Queue swap"), "キューのスワップ発生状態", _xlfn.REGEXTEST(C263, "NiFi Node Monitoring"), "NiFiノードの稼働状態監視", _xlfn.REGEXTEST(C263, "Host Clock Offset"), "ホストのクロックオフセット（時刻同期のズレ）", _xlfn.REGEXTEST(C263, "Memory Overcommit Validation"), "メモリオーバーコミット設定の検証", _xlfn.REGEXTEST(C263, "Gateway Logging"), "ゲートウェイのログ出力設定", _xlfn.REGEXTEST(C263, "CPU Balance"), "CPU使用率の分散バランス状態", _xlfn.REGEXTEST(C263, "Disk Balance"), "ディスク使用量の分散バランス状態", _xlfn.REGEXTEST(C263, "Network Inbound Balance"), "ネットワークインバウンド（受信）の分散バランス状態", _xlfn.REGEXTEST(C263, "Network Outbound Balance"), "ネットワークアウトバウンド（送信）の分散バランス状態", _xlfn.REGEXTEST(C263, "Replica Count Balance"), "レプリカ数の分散バランス状態", _xlfn.REGEXTEST(C263, "Disk Capacity"), "ディスク総容量の限界・使用容量", _xlfn.REGEXTEST(C263, "CPU Capacity"), "CPU総処理能力の限界・使用量", _xlfn.REGEXTEST(C263, "Network Inbound Capacity"), "ネットワークインバウンド（受信）帯域の限界・使用量", _xlfn.REGEXTEST(C263, "Network Outbound Capacity"), "ネットワークアウトバウンド（送信）帯域の限界・使用量", _xlfn.REGEXTEST(C263, "Leader Replica Count Balance"), "リーダーレプリカ数の分散バランス状態", _xlfn.REGEXTEST(C263, "Host DNS Resolution Duration"), "ホストのDNS名前解決の所要時間", _xlfn.REGEXTEST(C263, "TLS Certificate Expiry"), "TLS証明書の有効期限切れ", _xlfn.REGEXTEST(C263, "Host Entropy"), "ホストのエントロピー（乱数生成能力）の不足", _xlfn.REGEXTEST(C263, "File Descriptor"), "プロセスのファイルディスクリプタ使用率", _xlfn.REGEXTEST(C263, "Unexpected Exits"), "プロセスの異常終了（予期せぬ停止）", _xlfn.REGEXTEST(C263, "Swap Memory Thresholds"), "プロセスのスワップメモリ使用量", _xlfn.REGEXTEST(C263, "Swap Memory Usage Rate"), "スワップメモリ使用量の変化率（増加速度）", _xlfn.REGEXTEST(C263, "Log Directory Free Space.*Absolute"), "ログディレクトリの空き容量（絶対値）", _xlfn.REGEXTEST(C263, "Log Directory Free Space.*Percentage"), "ログディレクトリの空き容量割合（%）", _xlfn.REGEXTEST(C263, "Heap Dump Directory Free Space.*Absolute"), "ヒープダンプディレクトリの空き容量（絶対値）", _xlfn.REGEXTEST(C263, "Heap Dump Directory Free Space.*Percentage"), "ヒープダンプディレクトリの空き容量割合（%）", _xlfn.REGEXTEST(C263, "Data Directory Free Space.*Absolute"), "データディレクトリの空き容量（絶対値）", _xlfn.REGEXTEST(C263, "Data Directory Free Space.*Percentage"), "データディレクトリの空き容量割合（%）", _xlfn.REGEXTEST(C263, "Transaction Log Directory Free Space.*Absolute"), "トランザクションログディレクトリの空き容量（絶対値）", _xlfn.REGEXTEST(C263, "Logging Threshold|Logger Threshold"), "ログ出力レベルの閾値設定", _xlfn.REGEXTEST(C263, "Enable.*Alerts"), "ヘルスアラートの有効化状態", _xlfn.REGEXTEST(C263, "Triggers"), "カスタムアラート条件（トリガー設定）", _xlfn.REGEXTEST(C263, "Healthy Kafka Broker"), "Kafka Brokerの健全ノード割合（稼働率）", _xlfn.REGEXTEST(C263, "Healthy Kafka Connect"), "Kafka Connectの健全ノード割合（稼働率）", _xlfn.REGEXTEST(C263, "Healthy KRaft Controller"), "KRaft Controllerの健全ノード割合（稼働率）", _xlfn.REGEXTEST(C263, "Healthy Knox IDBroker"), "Knox IDBrokerの健全ノード割合（稼働率）", _xlfn.REGEXTEST(C263, "Healthy Knox Gateway"), "Knox Gatewayの健全ノード割合（稼働率）", _xlfn.REGEXTEST(C263, "Healthy ZooKeeper Server"), "ZooKeeper Serverの健全ノード割合（稼働率）", _xlfn.REGEXTEST(C263, "Healthy NodeManager"), "NodeManagerの健全ノード割合（稼働率）", _xlfn.REGEXTEST(C263, "Maximum Latency"), "リクエストの最大レイテンシ（処理遅延）", _xlfn.REGEXTEST(C263, "Garbage Collection Duration"), "Javaのガベージコレクション（GC）の所要時間", _xlfn.REGEXTEST(C263, "Spool Directory Usage"), "Rangerプラグインのスプールディレクトリ使用量", _xlfn.REGEXTEST(C263, "Process Directory Free Space Monitoring Absolute"), "プロセスディレクトリの空き容量（絶対値)", _xlfn.REGEXTEST(C263, "Process Directory Free Space.*Percentage"), "プロセスディレクトリの空き容量割合（%）", _xlfn.REGEXTEST(C263, "Parcel Directory Free Space.*Absolute"), "パーセルディレクトリの空き容量（絶対値）", _xlfn.REGEXTEST(C263, "Parcel Directory Free Space.*Percentage"), "パーセルディレクトリの空き容量割合（%）", _xlfn.REGEXTEST(C263, "Host Network Frame Error Percentage"), "ホストのネットワークフレームエラー割合（%）", _xlfn.REGEXTEST(C263, "Network Interfaces Slow Link Modes"), "ホストのネットワークインターフェースの低速リンクモード検出", _xlfn.REGEXTEST(C263, "Host Memory Swapping"), "ホストのメモリのスワップ発生状態", TRUE, "要手動確認")</f>
        <v>ログ出力状態・設定監視</v>
      </c>
      <c r="H263" s="479" t="s">
        <v>775</v>
      </c>
    </row>
    <row r="264" spans="1:8" ht="16.899999999999999">
      <c r="A264" s="514"/>
      <c r="B264" s="473"/>
      <c r="C264" s="471" t="s">
        <v>788</v>
      </c>
      <c r="D264" s="471" t="s">
        <v>710</v>
      </c>
      <c r="E264" s="471" t="s">
        <v>832</v>
      </c>
      <c r="F264" s="471"/>
      <c r="G264" s="471" t="str" cm="1">
        <f t="array" ref="G264">_xlfn.IFS(C264 = "", "", _xlfn.REGEXTEST(C264, "Service Metric Migrator Minimum Consecutive Successful Checks"), "サービスメトリック移行ツールの連続正常チェック最小回数", _xlfn.REGEXTEST(C264, "Rebalancing"), "リバランシング（データ再配置）状態", _xlfn.REGEXTEST(C264, "Temporary Dump Directory"), "一時ダンプディレクトリの監視", _xlfn.REGEXTEST(C264, "Safemode Extension"), "セーフモード延長状態", _xlfn.REGEXTEST(C264, "Client Idle"), "クライアントのアイドル（待機）状態", _xlfn.REGEXTEST(C264, "Available Space Policy Balanced"), "空き容量ポリシーの分散バランス状態", _xlfn.REGEXTEST(C264, "Filesystem Checkpoint Transaction"), "ファイルシステムのチェックポイントトランザクション", _xlfn.REGEXTEST(C264, "Blocks With Corrupt Replicas Monitoring"), "破損レプリカを持つブロックの監視", _xlfn.REGEXTEST(C264, "Missing Block Monitoring"), "消失（ミッシング）ブロックの監視", _xlfn.REGEXTEST(C264, "Under-replicated Block Monitoring"), "レプリカ数不足ブロックの監視", _xlfn.REGEXTEST(C264, "HDFS Free Space Monitoring"), "HDFSの空き容量監視", _xlfn.REGEXTEST(C264, "DataNode Monitoring"), "DataNodeの稼働状態監視", _xlfn.REGEXTEST(C264, "Rules to Extract Events from Log Files"), "ログファイルからのイベント抽出ルール設定", _xlfn.REGEXTEST(C264, "Free Space Monitoring$"), "空き容量監視（一般設定）", _xlfn.REGEXTEST(C264, "Transceivers Usage"), "トランシーバー使用量（データ転送スレッド数）", _xlfn.REGEXTEST(C264, "Volume Failures"), "ボリューム障害（ディスクエラー）数", _xlfn.REGEXTEST(C264, "Block Count"), "ブロック総数", _xlfn.REGEXTEST(C264, "Audit Failure"), "監査（オーディット）ログの失敗イベント", _xlfn.REGEXTEST(C264, "Web Metric Collection Duration"), "Webメトリック収集の所要時間", _xlfn.REGEXTEST(C264, "Pause Duration"), "一時停止（ポーズ）の所要時間", _xlfn.REGEXTEST(C264, "Fsync Latency"), "Fsync（ディスク同期）のレイテンシ", _xlfn.REGEXTEST(C264, "Free Space Monitoring Absolute"), "空き容量（絶対値）", _xlfn.REGEXTEST(C264, "Free Space Monitoring Percentage"), "空き容量割合（%）", _xlfn.REGEXTEST(C264, "Age Monitoring"), "経過時間の監視", _xlfn.REGEXTEST(C264, "Transactions Monitoring"), "トランザクション数の監視", _xlfn.REGEXTEST(C264, "RPC Latency"), "RPC（遠隔手続き呼出し）のレイテンシ", _xlfn.REGEXTEST(C264, "Directory Failures"), "ディレクトリ障害数", _xlfn.REGEXTEST(C264, "Out-Of-Sync JournalNodes"), "同期ズレが発生しているJournalNode数", _xlfn.REGEXTEST(C264, "Safemode Threshold Percentage"), "セーフモード解除閾値の割合（%）", _xlfn.REGEXTEST(C264, "Kerberos Ticket Renewer Monitoring"), "Kerberosチケット更新プロセスの稼働状態監視", _xlfn.REGEXTEST(C264, "Load Balancer Monitoring"), "ロードバランサーの稼働状態監視", _xlfn.REGEXTEST(C264, "Navigator Audit Failure"), "Cloudera Navigator監査ログの失敗イベント", _xlfn.REGEXTEST(C264, "Schema Registry Server Monitoring"), "Schema Registry Serverの稼働状態監視", _xlfn.REGEXTEST(C264, "SRM Service Monitoring"), "SRMサービスの稼働状態監視", _xlfn.REGEXTEST(C264, "SRM Driver Monitoring"), "SRMドライバーの稼働状態監視", _xlfn.REGEXTEST(C264, "Loggin"), "ログ出力状態・設定監視", _xlfn.REGEXTEST(C264, "Server Monitoring"), "サーバーの稼働状態監視", _xlfn.REGEXTEST(C264, "Server Connection Count"), "サーバーの接続数（コネクション数）", _xlfn.REGEXTEST(C264, "Server Outstanding Requests"), "サーバーの未処理リクエスト数（滞留要求数）", _xlfn.REGEXTEST(C264, "Repository Status"), "リポジトリのステータス状態", _xlfn.REGEXTEST(C264, "Monitor Long Running Task"), "長時間実行タスク（ジョブ）の監視", _xlfn.REGEXTEST(C264, "Token requests per second"), "1秒あたりのトークンリクエスト数（要求レート）", _xlfn.REGEXTEST(C264, "Connection Model Score"), "接続モデルスコア（コネクション品質）", _xlfn.REGEXTEST(C264, "Queue swap"), "キューのスワップ発生状態", _xlfn.REGEXTEST(C264, "NiFi Node Monitoring"), "NiFiノードの稼働状態監視", _xlfn.REGEXTEST(C264, "Host Clock Offset"), "ホストのクロックオフセット（時刻同期のズレ）", _xlfn.REGEXTEST(C264, "Memory Overcommit Validation"), "メモリオーバーコミット設定の検証", _xlfn.REGEXTEST(C264, "Gateway Logging"), "ゲートウェイのログ出力設定", _xlfn.REGEXTEST(C264, "CPU Balance"), "CPU使用率の分散バランス状態", _xlfn.REGEXTEST(C264, "Disk Balance"), "ディスク使用量の分散バランス状態", _xlfn.REGEXTEST(C264, "Network Inbound Balance"), "ネットワークインバウンド（受信）の分散バランス状態", _xlfn.REGEXTEST(C264, "Network Outbound Balance"), "ネットワークアウトバウンド（送信）の分散バランス状態", _xlfn.REGEXTEST(C264, "Replica Count Balance"), "レプリカ数の分散バランス状態", _xlfn.REGEXTEST(C264, "Disk Capacity"), "ディスク総容量の限界・使用容量", _xlfn.REGEXTEST(C264, "CPU Capacity"), "CPU総処理能力の限界・使用量", _xlfn.REGEXTEST(C264, "Network Inbound Capacity"), "ネットワークインバウンド（受信）帯域の限界・使用量", _xlfn.REGEXTEST(C264, "Network Outbound Capacity"), "ネットワークアウトバウンド（送信）帯域の限界・使用量", _xlfn.REGEXTEST(C264, "Leader Replica Count Balance"), "リーダーレプリカ数の分散バランス状態", _xlfn.REGEXTEST(C264, "Host DNS Resolution Duration"), "ホストのDNS名前解決の所要時間", _xlfn.REGEXTEST(C264, "TLS Certificate Expiry"), "TLS証明書の有効期限切れ", _xlfn.REGEXTEST(C264, "Host Entropy"), "ホストのエントロピー（乱数生成能力）の不足", _xlfn.REGEXTEST(C264, "File Descriptor"), "プロセスのファイルディスクリプタ使用率", _xlfn.REGEXTEST(C264, "Unexpected Exits"), "プロセスの異常終了（予期せぬ停止）", _xlfn.REGEXTEST(C264, "Swap Memory Thresholds"), "プロセスのスワップメモリ使用量", _xlfn.REGEXTEST(C264, "Swap Memory Usage Rate"), "スワップメモリ使用量の変化率（増加速度）", _xlfn.REGEXTEST(C264, "Log Directory Free Space.*Absolute"), "ログディレクトリの空き容量（絶対値）", _xlfn.REGEXTEST(C264, "Log Directory Free Space.*Percentage"), "ログディレクトリの空き容量割合（%）", _xlfn.REGEXTEST(C264, "Heap Dump Directory Free Space.*Absolute"), "ヒープダンプディレクトリの空き容量（絶対値）", _xlfn.REGEXTEST(C264, "Heap Dump Directory Free Space.*Percentage"), "ヒープダンプディレクトリの空き容量割合（%）", _xlfn.REGEXTEST(C264, "Data Directory Free Space.*Absolute"), "データディレクトリの空き容量（絶対値）", _xlfn.REGEXTEST(C264, "Data Directory Free Space.*Percentage"), "データディレクトリの空き容量割合（%）", _xlfn.REGEXTEST(C264, "Transaction Log Directory Free Space.*Absolute"), "トランザクションログディレクトリの空き容量（絶対値）", _xlfn.REGEXTEST(C264, "Logging Threshold|Logger Threshold"), "ログ出力レベルの閾値設定", _xlfn.REGEXTEST(C264, "Enable.*Alerts"), "ヘルスアラートの有効化状態", _xlfn.REGEXTEST(C264, "Triggers"), "カスタムアラート条件（トリガー設定）", _xlfn.REGEXTEST(C264, "Healthy Kafka Broker"), "Kafka Brokerの健全ノード割合（稼働率）", _xlfn.REGEXTEST(C264, "Healthy Kafka Connect"), "Kafka Connectの健全ノード割合（稼働率）", _xlfn.REGEXTEST(C264, "Healthy KRaft Controller"), "KRaft Controllerの健全ノード割合（稼働率）", _xlfn.REGEXTEST(C264, "Healthy Knox IDBroker"), "Knox IDBrokerの健全ノード割合（稼働率）", _xlfn.REGEXTEST(C264, "Healthy Knox Gateway"), "Knox Gatewayの健全ノード割合（稼働率）", _xlfn.REGEXTEST(C264, "Healthy ZooKeeper Server"), "ZooKeeper Serverの健全ノード割合（稼働率）", _xlfn.REGEXTEST(C264, "Healthy NodeManager"), "NodeManagerの健全ノード割合（稼働率）", _xlfn.REGEXTEST(C264, "Maximum Latency"), "リクエストの最大レイテンシ（処理遅延）", _xlfn.REGEXTEST(C264, "Garbage Collection Duration"), "Javaのガベージコレクション（GC）の所要時間", _xlfn.REGEXTEST(C264, "Spool Directory Usage"), "Rangerプラグインのスプールディレクトリ使用量", _xlfn.REGEXTEST(C264, "Process Directory Free Space Monitoring Absolute"), "プロセスディレクトリの空き容量（絶対値)", _xlfn.REGEXTEST(C264, "Process Directory Free Space.*Percentage"), "プロセスディレクトリの空き容量割合（%）", _xlfn.REGEXTEST(C264, "Parcel Directory Free Space.*Absolute"), "パーセルディレクトリの空き容量（絶対値）", _xlfn.REGEXTEST(C264, "Parcel Directory Free Space.*Percentage"), "パーセルディレクトリの空き容量割合（%）", _xlfn.REGEXTEST(C264, "Host Network Frame Error Percentage"), "ホストのネットワークフレームエラー割合（%）", _xlfn.REGEXTEST(C264, "Network Interfaces Slow Link Modes"), "ホストのネットワークインターフェースの低速リンクモード検出", _xlfn.REGEXTEST(C264, "Host Memory Swapping"), "ホストのメモリのスワップ発生状態", TRUE, "要手動確認")</f>
        <v>ヘルスアラートの有効化状態</v>
      </c>
      <c r="H264" s="479" t="s">
        <v>790</v>
      </c>
    </row>
    <row r="265" spans="1:8" ht="16.899999999999999">
      <c r="A265" s="514"/>
      <c r="B265" s="473"/>
      <c r="C265" s="471" t="s">
        <v>791</v>
      </c>
      <c r="D265" s="471" t="s">
        <v>792</v>
      </c>
      <c r="E265" s="471" t="s">
        <v>832</v>
      </c>
      <c r="F265" s="471"/>
      <c r="G265" s="471" t="str" cm="1">
        <f t="array" ref="G265">_xlfn.IFS(C265 = "", "", _xlfn.REGEXTEST(C265, "Service Metric Migrator Minimum Consecutive Successful Checks"), "サービスメトリック移行ツールの連続正常チェック最小回数", _xlfn.REGEXTEST(C265, "Rebalancing"), "リバランシング（データ再配置）状態", _xlfn.REGEXTEST(C265, "Temporary Dump Directory"), "一時ダンプディレクトリの監視", _xlfn.REGEXTEST(C265, "Safemode Extension"), "セーフモード延長状態", _xlfn.REGEXTEST(C265, "Client Idle"), "クライアントのアイドル（待機）状態", _xlfn.REGEXTEST(C265, "Available Space Policy Balanced"), "空き容量ポリシーの分散バランス状態", _xlfn.REGEXTEST(C265, "Filesystem Checkpoint Transaction"), "ファイルシステムのチェックポイントトランザクション", _xlfn.REGEXTEST(C265, "Blocks With Corrupt Replicas Monitoring"), "破損レプリカを持つブロックの監視", _xlfn.REGEXTEST(C265, "Missing Block Monitoring"), "消失（ミッシング）ブロックの監視", _xlfn.REGEXTEST(C265, "Under-replicated Block Monitoring"), "レプリカ数不足ブロックの監視", _xlfn.REGEXTEST(C265, "HDFS Free Space Monitoring"), "HDFSの空き容量監視", _xlfn.REGEXTEST(C265, "DataNode Monitoring"), "DataNodeの稼働状態監視", _xlfn.REGEXTEST(C265, "Rules to Extract Events from Log Files"), "ログファイルからのイベント抽出ルール設定", _xlfn.REGEXTEST(C265, "Free Space Monitoring$"), "空き容量監視（一般設定）", _xlfn.REGEXTEST(C265, "Transceivers Usage"), "トランシーバー使用量（データ転送スレッド数）", _xlfn.REGEXTEST(C265, "Volume Failures"), "ボリューム障害（ディスクエラー）数", _xlfn.REGEXTEST(C265, "Block Count"), "ブロック総数", _xlfn.REGEXTEST(C265, "Audit Failure"), "監査（オーディット）ログの失敗イベント", _xlfn.REGEXTEST(C265, "Web Metric Collection Duration"), "Webメトリック収集の所要時間", _xlfn.REGEXTEST(C265, "Pause Duration"), "一時停止（ポーズ）の所要時間", _xlfn.REGEXTEST(C265, "Fsync Latency"), "Fsync（ディスク同期）のレイテンシ", _xlfn.REGEXTEST(C265, "Free Space Monitoring Absolute"), "空き容量（絶対値）", _xlfn.REGEXTEST(C265, "Free Space Monitoring Percentage"), "空き容量割合（%）", _xlfn.REGEXTEST(C265, "Age Monitoring"), "経過時間の監視", _xlfn.REGEXTEST(C265, "Transactions Monitoring"), "トランザクション数の監視", _xlfn.REGEXTEST(C265, "RPC Latency"), "RPC（遠隔手続き呼出し）のレイテンシ", _xlfn.REGEXTEST(C265, "Directory Failures"), "ディレクトリ障害数", _xlfn.REGEXTEST(C265, "Out-Of-Sync JournalNodes"), "同期ズレが発生しているJournalNode数", _xlfn.REGEXTEST(C265, "Safemode Threshold Percentage"), "セーフモード解除閾値の割合（%）", _xlfn.REGEXTEST(C265, "Kerberos Ticket Renewer Monitoring"), "Kerberosチケット更新プロセスの稼働状態監視", _xlfn.REGEXTEST(C265, "Load Balancer Monitoring"), "ロードバランサーの稼働状態監視", _xlfn.REGEXTEST(C265, "Navigator Audit Failure"), "Cloudera Navigator監査ログの失敗イベント", _xlfn.REGEXTEST(C265, "Schema Registry Server Monitoring"), "Schema Registry Serverの稼働状態監視", _xlfn.REGEXTEST(C265, "SRM Service Monitoring"), "SRMサービスの稼働状態監視", _xlfn.REGEXTEST(C265, "SRM Driver Monitoring"), "SRMドライバーの稼働状態監視", _xlfn.REGEXTEST(C265, "Loggin"), "ログ出力状態・設定監視", _xlfn.REGEXTEST(C265, "Server Monitoring"), "サーバーの稼働状態監視", _xlfn.REGEXTEST(C265, "Server Connection Count"), "サーバーの接続数（コネクション数）", _xlfn.REGEXTEST(C265, "Server Outstanding Requests"), "サーバーの未処理リクエスト数（滞留要求数）", _xlfn.REGEXTEST(C265, "Repository Status"), "リポジトリのステータス状態", _xlfn.REGEXTEST(C265, "Monitor Long Running Task"), "長時間実行タスク（ジョブ）の監視", _xlfn.REGEXTEST(C265, "Token requests per second"), "1秒あたりのトークンリクエスト数（要求レート）", _xlfn.REGEXTEST(C265, "Connection Model Score"), "接続モデルスコア（コネクション品質）", _xlfn.REGEXTEST(C265, "Queue swap"), "キューのスワップ発生状態", _xlfn.REGEXTEST(C265, "NiFi Node Monitoring"), "NiFiノードの稼働状態監視", _xlfn.REGEXTEST(C265, "Host Clock Offset"), "ホストのクロックオフセット（時刻同期のズレ）", _xlfn.REGEXTEST(C265, "Memory Overcommit Validation"), "メモリオーバーコミット設定の検証", _xlfn.REGEXTEST(C265, "Gateway Logging"), "ゲートウェイのログ出力設定", _xlfn.REGEXTEST(C265, "CPU Balance"), "CPU使用率の分散バランス状態", _xlfn.REGEXTEST(C265, "Disk Balance"), "ディスク使用量の分散バランス状態", _xlfn.REGEXTEST(C265, "Network Inbound Balance"), "ネットワークインバウンド（受信）の分散バランス状態", _xlfn.REGEXTEST(C265, "Network Outbound Balance"), "ネットワークアウトバウンド（送信）の分散バランス状態", _xlfn.REGEXTEST(C265, "Replica Count Balance"), "レプリカ数の分散バランス状態", _xlfn.REGEXTEST(C265, "Disk Capacity"), "ディスク総容量の限界・使用容量", _xlfn.REGEXTEST(C265, "CPU Capacity"), "CPU総処理能力の限界・使用量", _xlfn.REGEXTEST(C265, "Network Inbound Capacity"), "ネットワークインバウンド（受信）帯域の限界・使用量", _xlfn.REGEXTEST(C265, "Network Outbound Capacity"), "ネットワークアウトバウンド（送信）帯域の限界・使用量", _xlfn.REGEXTEST(C265, "Leader Replica Count Balance"), "リーダーレプリカ数の分散バランス状態", _xlfn.REGEXTEST(C265, "Host DNS Resolution Duration"), "ホストのDNS名前解決の所要時間", _xlfn.REGEXTEST(C265, "TLS Certificate Expiry"), "TLS証明書の有効期限切れ", _xlfn.REGEXTEST(C265, "Host Entropy"), "ホストのエントロピー（乱数生成能力）の不足", _xlfn.REGEXTEST(C265, "File Descriptor"), "プロセスのファイルディスクリプタ使用率", _xlfn.REGEXTEST(C265, "Unexpected Exits"), "プロセスの異常終了（予期せぬ停止）", _xlfn.REGEXTEST(C265, "Swap Memory Thresholds"), "プロセスのスワップメモリ使用量", _xlfn.REGEXTEST(C265, "Swap Memory Usage Rate"), "スワップメモリ使用量の変化率（増加速度）", _xlfn.REGEXTEST(C265, "Log Directory Free Space.*Absolute"), "ログディレクトリの空き容量（絶対値）", _xlfn.REGEXTEST(C265, "Log Directory Free Space.*Percentage"), "ログディレクトリの空き容量割合（%）", _xlfn.REGEXTEST(C265, "Heap Dump Directory Free Space.*Absolute"), "ヒープダンプディレクトリの空き容量（絶対値）", _xlfn.REGEXTEST(C265, "Heap Dump Directory Free Space.*Percentage"), "ヒープダンプディレクトリの空き容量割合（%）", _xlfn.REGEXTEST(C265, "Data Directory Free Space.*Absolute"), "データディレクトリの空き容量（絶対値）", _xlfn.REGEXTEST(C265, "Data Directory Free Space.*Percentage"), "データディレクトリの空き容量割合（%）", _xlfn.REGEXTEST(C265, "Transaction Log Directory Free Space.*Absolute"), "トランザクションログディレクトリの空き容量（絶対値）", _xlfn.REGEXTEST(C265, "Logging Threshold|Logger Threshold"), "ログ出力レベルの閾値設定", _xlfn.REGEXTEST(C265, "Enable.*Alerts"), "ヘルスアラートの有効化状態", _xlfn.REGEXTEST(C265, "Triggers"), "カスタムアラート条件（トリガー設定）", _xlfn.REGEXTEST(C265, "Healthy Kafka Broker"), "Kafka Brokerの健全ノード割合（稼働率）", _xlfn.REGEXTEST(C265, "Healthy Kafka Connect"), "Kafka Connectの健全ノード割合（稼働率）", _xlfn.REGEXTEST(C265, "Healthy KRaft Controller"), "KRaft Controllerの健全ノード割合（稼働率）", _xlfn.REGEXTEST(C265, "Healthy Knox IDBroker"), "Knox IDBrokerの健全ノード割合（稼働率）", _xlfn.REGEXTEST(C265, "Healthy Knox Gateway"), "Knox Gatewayの健全ノード割合（稼働率）", _xlfn.REGEXTEST(C265, "Healthy ZooKeeper Server"), "ZooKeeper Serverの健全ノード割合（稼働率）", _xlfn.REGEXTEST(C265, "Healthy NodeManager"), "NodeManagerの健全ノード割合（稼働率）", _xlfn.REGEXTEST(C265, "Maximum Latency"), "リクエストの最大レイテンシ（処理遅延）", _xlfn.REGEXTEST(C265, "Garbage Collection Duration"), "Javaのガベージコレクション（GC）の所要時間", _xlfn.REGEXTEST(C265, "Spool Directory Usage"), "Rangerプラグインのスプールディレクトリ使用量", _xlfn.REGEXTEST(C265, "Process Directory Free Space Monitoring Absolute"), "プロセスディレクトリの空き容量（絶対値)", _xlfn.REGEXTEST(C265, "Process Directory Free Space.*Percentage"), "プロセスディレクトリの空き容量割合（%）", _xlfn.REGEXTEST(C265, "Parcel Directory Free Space.*Absolute"), "パーセルディレクトリの空き容量（絶対値）", _xlfn.REGEXTEST(C265, "Parcel Directory Free Space.*Percentage"), "パーセルディレクトリの空き容量割合（%）", _xlfn.REGEXTEST(C265, "Host Network Frame Error Percentage"), "ホストのネットワークフレームエラー割合（%）", _xlfn.REGEXTEST(C265, "Network Interfaces Slow Link Modes"), "ホストのネットワークインターフェースの低速リンクモード検出", _xlfn.REGEXTEST(C265, "Host Memory Swapping"), "ホストのメモリのスワップ発生状態", TRUE, "要手動確認")</f>
        <v>カスタムアラート条件（トリガー設定）</v>
      </c>
      <c r="H265" s="479" t="s">
        <v>754</v>
      </c>
    </row>
    <row r="266" spans="1:8" ht="16.899999999999999">
      <c r="A266" s="514"/>
      <c r="B266" s="470"/>
      <c r="C266" s="471"/>
      <c r="D266" s="471"/>
      <c r="E266" s="471"/>
      <c r="F266" s="471"/>
      <c r="G266" s="471" t="str" cm="1">
        <f t="array" ref="G266">_xlfn.IFS(C266 = "", "", _xlfn.REGEXTEST(C266, "Service Metric Migrator Minimum Consecutive Successful Checks"), "サービスメトリック移行ツールの連続正常チェック最小回数", _xlfn.REGEXTEST(C266, "Rebalancing"), "リバランシング（データ再配置）状態", _xlfn.REGEXTEST(C266, "Temporary Dump Directory"), "一時ダンプディレクトリの監視", _xlfn.REGEXTEST(C266, "Safemode Extension"), "セーフモード延長状態", _xlfn.REGEXTEST(C266, "Client Idle"), "クライアントのアイドル（待機）状態", _xlfn.REGEXTEST(C266, "Available Space Policy Balanced"), "空き容量ポリシーの分散バランス状態", _xlfn.REGEXTEST(C266, "Filesystem Checkpoint Transaction"), "ファイルシステムのチェックポイントトランザクション", _xlfn.REGEXTEST(C266, "Blocks With Corrupt Replicas Monitoring"), "破損レプリカを持つブロックの監視", _xlfn.REGEXTEST(C266, "Missing Block Monitoring"), "消失（ミッシング）ブロックの監視", _xlfn.REGEXTEST(C266, "Under-replicated Block Monitoring"), "レプリカ数不足ブロックの監視", _xlfn.REGEXTEST(C266, "HDFS Free Space Monitoring"), "HDFSの空き容量監視", _xlfn.REGEXTEST(C266, "DataNode Monitoring"), "DataNodeの稼働状態監視", _xlfn.REGEXTEST(C266, "Rules to Extract Events from Log Files"), "ログファイルからのイベント抽出ルール設定", _xlfn.REGEXTEST(C266, "Free Space Monitoring$"), "空き容量監視（一般設定）", _xlfn.REGEXTEST(C266, "Transceivers Usage"), "トランシーバー使用量（データ転送スレッド数）", _xlfn.REGEXTEST(C266, "Volume Failures"), "ボリューム障害（ディスクエラー）数", _xlfn.REGEXTEST(C266, "Block Count"), "ブロック総数", _xlfn.REGEXTEST(C266, "Audit Failure"), "監査（オーディット）ログの失敗イベント", _xlfn.REGEXTEST(C266, "Web Metric Collection Duration"), "Webメトリック収集の所要時間", _xlfn.REGEXTEST(C266, "Pause Duration"), "一時停止（ポーズ）の所要時間", _xlfn.REGEXTEST(C266, "Fsync Latency"), "Fsync（ディスク同期）のレイテンシ", _xlfn.REGEXTEST(C266, "Free Space Monitoring Absolute"), "空き容量（絶対値）", _xlfn.REGEXTEST(C266, "Free Space Monitoring Percentage"), "空き容量割合（%）", _xlfn.REGEXTEST(C266, "Age Monitoring"), "経過時間の監視", _xlfn.REGEXTEST(C266, "Transactions Monitoring"), "トランザクション数の監視", _xlfn.REGEXTEST(C266, "RPC Latency"), "RPC（遠隔手続き呼出し）のレイテンシ", _xlfn.REGEXTEST(C266, "Directory Failures"), "ディレクトリ障害数", _xlfn.REGEXTEST(C266, "Out-Of-Sync JournalNodes"), "同期ズレが発生しているJournalNode数", _xlfn.REGEXTEST(C266, "Safemode Threshold Percentage"), "セーフモード解除閾値の割合（%）", _xlfn.REGEXTEST(C266, "Kerberos Ticket Renewer Monitoring"), "Kerberosチケット更新プロセスの稼働状態監視", _xlfn.REGEXTEST(C266, "Load Balancer Monitoring"), "ロードバランサーの稼働状態監視", _xlfn.REGEXTEST(C266, "Navigator Audit Failure"), "Cloudera Navigator監査ログの失敗イベント", _xlfn.REGEXTEST(C266, "Schema Registry Server Monitoring"), "Schema Registry Serverの稼働状態監視", _xlfn.REGEXTEST(C266, "SRM Service Monitoring"), "SRMサービスの稼働状態監視", _xlfn.REGEXTEST(C266, "SRM Driver Monitoring"), "SRMドライバーの稼働状態監視", _xlfn.REGEXTEST(C266, "Loggin"), "ログ出力状態・設定監視", _xlfn.REGEXTEST(C266, "Server Monitoring"), "サーバーの稼働状態監視", _xlfn.REGEXTEST(C266, "Server Connection Count"), "サーバーの接続数（コネクション数）", _xlfn.REGEXTEST(C266, "Server Outstanding Requests"), "サーバーの未処理リクエスト数（滞留要求数）", _xlfn.REGEXTEST(C266, "Repository Status"), "リポジトリのステータス状態", _xlfn.REGEXTEST(C266, "Monitor Long Running Task"), "長時間実行タスク（ジョブ）の監視", _xlfn.REGEXTEST(C266, "Token requests per second"), "1秒あたりのトークンリクエスト数（要求レート）", _xlfn.REGEXTEST(C266, "Connection Model Score"), "接続モデルスコア（コネクション品質）", _xlfn.REGEXTEST(C266, "Queue swap"), "キューのスワップ発生状態", _xlfn.REGEXTEST(C266, "NiFi Node Monitoring"), "NiFiノードの稼働状態監視", _xlfn.REGEXTEST(C266, "Host Clock Offset"), "ホストのクロックオフセット（時刻同期のズレ）", _xlfn.REGEXTEST(C266, "Memory Overcommit Validation"), "メモリオーバーコミット設定の検証", _xlfn.REGEXTEST(C266, "Gateway Logging"), "ゲートウェイのログ出力設定", _xlfn.REGEXTEST(C266, "CPU Balance"), "CPU使用率の分散バランス状態", _xlfn.REGEXTEST(C266, "Disk Balance"), "ディスク使用量の分散バランス状態", _xlfn.REGEXTEST(C266, "Network Inbound Balance"), "ネットワークインバウンド（受信）の分散バランス状態", _xlfn.REGEXTEST(C266, "Network Outbound Balance"), "ネットワークアウトバウンド（送信）の分散バランス状態", _xlfn.REGEXTEST(C266, "Replica Count Balance"), "レプリカ数の分散バランス状態", _xlfn.REGEXTEST(C266, "Disk Capacity"), "ディスク総容量の限界・使用容量", _xlfn.REGEXTEST(C266, "CPU Capacity"), "CPU総処理能力の限界・使用量", _xlfn.REGEXTEST(C266, "Network Inbound Capacity"), "ネットワークインバウンド（受信）帯域の限界・使用量", _xlfn.REGEXTEST(C266, "Network Outbound Capacity"), "ネットワークアウトバウンド（送信）帯域の限界・使用量", _xlfn.REGEXTEST(C266, "Leader Replica Count Balance"), "リーダーレプリカ数の分散バランス状態", _xlfn.REGEXTEST(C266, "Host DNS Resolution Duration"), "ホストのDNS名前解決の所要時間", _xlfn.REGEXTEST(C266, "TLS Certificate Expiry"), "TLS証明書の有効期限切れ", _xlfn.REGEXTEST(C266, "Host Entropy"), "ホストのエントロピー（乱数生成能力）の不足", _xlfn.REGEXTEST(C266, "File Descriptor"), "プロセスのファイルディスクリプタ使用率", _xlfn.REGEXTEST(C266, "Unexpected Exits"), "プロセスの異常終了（予期せぬ停止）", _xlfn.REGEXTEST(C266, "Swap Memory Thresholds"), "プロセスのスワップメモリ使用量", _xlfn.REGEXTEST(C266, "Swap Memory Usage Rate"), "スワップメモリ使用量の変化率（増加速度）", _xlfn.REGEXTEST(C266, "Log Directory Free Space.*Absolute"), "ログディレクトリの空き容量（絶対値）", _xlfn.REGEXTEST(C266, "Log Directory Free Space.*Percentage"), "ログディレクトリの空き容量割合（%）", _xlfn.REGEXTEST(C266, "Heap Dump Directory Free Space.*Absolute"), "ヒープダンプディレクトリの空き容量（絶対値）", _xlfn.REGEXTEST(C266, "Heap Dump Directory Free Space.*Percentage"), "ヒープダンプディレクトリの空き容量割合（%）", _xlfn.REGEXTEST(C266, "Data Directory Free Space.*Absolute"), "データディレクトリの空き容量（絶対値）", _xlfn.REGEXTEST(C266, "Data Directory Free Space.*Percentage"), "データディレクトリの空き容量割合（%）", _xlfn.REGEXTEST(C266, "Transaction Log Directory Free Space.*Absolute"), "トランザクションログディレクトリの空き容量（絶対値）", _xlfn.REGEXTEST(C266, "Logging Threshold|Logger Threshold"), "ログ出力レベルの閾値設定", _xlfn.REGEXTEST(C266, "Enable.*Alerts"), "ヘルスアラートの有効化状態", _xlfn.REGEXTEST(C266, "Triggers"), "カスタムアラート条件（トリガー設定）", _xlfn.REGEXTEST(C266, "Healthy Kafka Broker"), "Kafka Brokerの健全ノード割合（稼働率）", _xlfn.REGEXTEST(C266, "Healthy Kafka Connect"), "Kafka Connectの健全ノード割合（稼働率）", _xlfn.REGEXTEST(C266, "Healthy KRaft Controller"), "KRaft Controllerの健全ノード割合（稼働率）", _xlfn.REGEXTEST(C266, "Healthy Knox IDBroker"), "Knox IDBrokerの健全ノード割合（稼働率）", _xlfn.REGEXTEST(C266, "Healthy Knox Gateway"), "Knox Gatewayの健全ノード割合（稼働率）", _xlfn.REGEXTEST(C266, "Healthy ZooKeeper Server"), "ZooKeeper Serverの健全ノード割合（稼働率）", _xlfn.REGEXTEST(C266, "Healthy NodeManager"), "NodeManagerの健全ノード割合（稼働率）", _xlfn.REGEXTEST(C266, "Maximum Latency"), "リクエストの最大レイテンシ（処理遅延）", _xlfn.REGEXTEST(C266, "Garbage Collection Duration"), "Javaのガベージコレクション（GC）の所要時間", _xlfn.REGEXTEST(C266, "Spool Directory Usage"), "Rangerプラグインのスプールディレクトリ使用量", _xlfn.REGEXTEST(C266, "Process Directory Free Space Monitoring Absolute"), "プロセスディレクトリの空き容量（絶対値)", _xlfn.REGEXTEST(C266, "Process Directory Free Space.*Percentage"), "プロセスディレクトリの空き容量割合（%）", _xlfn.REGEXTEST(C266, "Parcel Directory Free Space.*Absolute"), "パーセルディレクトリの空き容量（絶対値）", _xlfn.REGEXTEST(C266, "Parcel Directory Free Space.*Percentage"), "パーセルディレクトリの空き容量割合（%）", _xlfn.REGEXTEST(C266, "Host Network Frame Error Percentage"), "ホストのネットワークフレームエラー割合（%）", _xlfn.REGEXTEST(C266, "Network Interfaces Slow Link Modes"), "ホストのネットワークインターフェースの低速リンクモード検出", _xlfn.REGEXTEST(C266, "Host Memory Swapping"), "ホストのメモリのスワップ発生状態", TRUE, "要手動確認")</f>
        <v/>
      </c>
      <c r="H266" s="479"/>
    </row>
    <row r="267" spans="1:8" ht="16.899999999999999">
      <c r="A267" s="514"/>
      <c r="B267" s="472" t="s">
        <v>1030</v>
      </c>
      <c r="C267" s="471" t="s">
        <v>1031</v>
      </c>
      <c r="D267" s="471" t="s">
        <v>1032</v>
      </c>
      <c r="E267" s="471" t="s">
        <v>1033</v>
      </c>
      <c r="F267" s="471"/>
      <c r="G267" s="471" t="str" cm="1">
        <f t="array" ref="G267">_xlfn.IFS(C267 = "", "", _xlfn.REGEXTEST(C267, "Service Metric Migrator Minimum Consecutive Successful Checks"), "サービスメトリック移行ツールの連続正常チェック最小回数", _xlfn.REGEXTEST(C267, "Rebalancing"), "リバランシング（データ再配置）状態", _xlfn.REGEXTEST(C267, "Temporary Dump Directory"), "一時ダンプディレクトリの監視", _xlfn.REGEXTEST(C267, "Safemode Extension"), "セーフモード延長状態", _xlfn.REGEXTEST(C267, "Client Idle"), "クライアントのアイドル（待機）状態", _xlfn.REGEXTEST(C267, "Available Space Policy Balanced"), "空き容量ポリシーの分散バランス状態", _xlfn.REGEXTEST(C267, "Filesystem Checkpoint Transaction"), "ファイルシステムのチェックポイントトランザクション", _xlfn.REGEXTEST(C267, "Blocks With Corrupt Replicas Monitoring"), "破損レプリカを持つブロックの監視", _xlfn.REGEXTEST(C267, "Missing Block Monitoring"), "消失（ミッシング）ブロックの監視", _xlfn.REGEXTEST(C267, "Under-replicated Block Monitoring"), "レプリカ数不足ブロックの監視", _xlfn.REGEXTEST(C267, "HDFS Free Space Monitoring"), "HDFSの空き容量監視", _xlfn.REGEXTEST(C267, "DataNode Monitoring"), "DataNodeの稼働状態監視", _xlfn.REGEXTEST(C267, "Rules to Extract Events from Log Files"), "ログファイルからのイベント抽出ルール設定", _xlfn.REGEXTEST(C267, "Free Space Monitoring$"), "空き容量監視（一般設定）", _xlfn.REGEXTEST(C267, "Transceivers Usage"), "トランシーバー使用量（データ転送スレッド数）", _xlfn.REGEXTEST(C267, "Volume Failures"), "ボリューム障害（ディスクエラー）数", _xlfn.REGEXTEST(C267, "Block Count"), "ブロック総数", _xlfn.REGEXTEST(C267, "Audit Failure"), "監査（オーディット）ログの失敗イベント", _xlfn.REGEXTEST(C267, "Web Metric Collection Duration"), "Webメトリック収集の所要時間", _xlfn.REGEXTEST(C267, "Pause Duration"), "一時停止（ポーズ）の所要時間", _xlfn.REGEXTEST(C267, "Fsync Latency"), "Fsync（ディスク同期）のレイテンシ", _xlfn.REGEXTEST(C267, "Free Space Monitoring Absolute"), "空き容量（絶対値）", _xlfn.REGEXTEST(C267, "Free Space Monitoring Percentage"), "空き容量割合（%）", _xlfn.REGEXTEST(C267, "Age Monitoring"), "経過時間の監視", _xlfn.REGEXTEST(C267, "Transactions Monitoring"), "トランザクション数の監視", _xlfn.REGEXTEST(C267, "RPC Latency"), "RPC（遠隔手続き呼出し）のレイテンシ", _xlfn.REGEXTEST(C267, "Directory Failures"), "ディレクトリ障害数", _xlfn.REGEXTEST(C267, "Out-Of-Sync JournalNodes"), "同期ズレが発生しているJournalNode数", _xlfn.REGEXTEST(C267, "Safemode Threshold Percentage"), "セーフモード解除閾値の割合（%）", _xlfn.REGEXTEST(C267, "Kerberos Ticket Renewer Monitoring"), "Kerberosチケット更新プロセスの稼働状態監視", _xlfn.REGEXTEST(C267, "Load Balancer Monitoring"), "ロードバランサーの稼働状態監視", _xlfn.REGEXTEST(C267, "Navigator Audit Failure"), "Cloudera Navigator監査ログの失敗イベント", _xlfn.REGEXTEST(C267, "Schema Registry Server Monitoring"), "Schema Registry Serverの稼働状態監視", _xlfn.REGEXTEST(C267, "SRM Service Monitoring"), "SRMサービスの稼働状態監視", _xlfn.REGEXTEST(C267, "SRM Driver Monitoring"), "SRMドライバーの稼働状態監視", _xlfn.REGEXTEST(C267, "Loggin"), "ログ出力状態・設定監視", _xlfn.REGEXTEST(C267, "Server Monitoring"), "サーバーの稼働状態監視", _xlfn.REGEXTEST(C267, "Server Connection Count"), "サーバーの接続数（コネクション数）", _xlfn.REGEXTEST(C267, "Server Outstanding Requests"), "サーバーの未処理リクエスト数（滞留要求数）", _xlfn.REGEXTEST(C267, "Repository Status"), "リポジトリのステータス状態", _xlfn.REGEXTEST(C267, "Monitor Long Running Task"), "長時間実行タスク（ジョブ）の監視", _xlfn.REGEXTEST(C267, "Token requests per second"), "1秒あたりのトークンリクエスト数（要求レート）", _xlfn.REGEXTEST(C267, "Connection Model Score"), "接続モデルスコア（コネクション品質）", _xlfn.REGEXTEST(C267, "Queue swap"), "キューのスワップ発生状態", _xlfn.REGEXTEST(C267, "NiFi Node Monitoring"), "NiFiノードの稼働状態監視", _xlfn.REGEXTEST(C267, "Host Clock Offset"), "ホストのクロックオフセット（時刻同期のズレ）", _xlfn.REGEXTEST(C267, "Memory Overcommit Validation"), "メモリオーバーコミット設定の検証", _xlfn.REGEXTEST(C267, "Gateway Logging"), "ゲートウェイのログ出力設定", _xlfn.REGEXTEST(C267, "CPU Balance"), "CPU使用率の分散バランス状態", _xlfn.REGEXTEST(C267, "Disk Balance"), "ディスク使用量の分散バランス状態", _xlfn.REGEXTEST(C267, "Network Inbound Balance"), "ネットワークインバウンド（受信）の分散バランス状態", _xlfn.REGEXTEST(C267, "Network Outbound Balance"), "ネットワークアウトバウンド（送信）の分散バランス状態", _xlfn.REGEXTEST(C267, "Replica Count Balance"), "レプリカ数の分散バランス状態", _xlfn.REGEXTEST(C267, "Disk Capacity"), "ディスク総容量の限界・使用容量", _xlfn.REGEXTEST(C267, "CPU Capacity"), "CPU総処理能力の限界・使用量", _xlfn.REGEXTEST(C267, "Network Inbound Capacity"), "ネットワークインバウンド（受信）帯域の限界・使用量", _xlfn.REGEXTEST(C267, "Network Outbound Capacity"), "ネットワークアウトバウンド（送信）帯域の限界・使用量", _xlfn.REGEXTEST(C267, "Leader Replica Count Balance"), "リーダーレプリカ数の分散バランス状態", _xlfn.REGEXTEST(C267, "Host DNS Resolution Duration"), "ホストのDNS名前解決の所要時間", _xlfn.REGEXTEST(C267, "TLS Certificate Expiry"), "TLS証明書の有効期限切れ", _xlfn.REGEXTEST(C267, "Host Entropy"), "ホストのエントロピー（乱数生成能力）の不足", _xlfn.REGEXTEST(C267, "File Descriptor"), "プロセスのファイルディスクリプタ使用率", _xlfn.REGEXTEST(C267, "Unexpected Exits"), "プロセスの異常終了（予期せぬ停止）", _xlfn.REGEXTEST(C267, "Swap Memory Thresholds"), "プロセスのスワップメモリ使用量", _xlfn.REGEXTEST(C267, "Swap Memory Usage Rate"), "スワップメモリ使用量の変化率（増加速度）", _xlfn.REGEXTEST(C267, "Log Directory Free Space.*Absolute"), "ログディレクトリの空き容量（絶対値）", _xlfn.REGEXTEST(C267, "Log Directory Free Space.*Percentage"), "ログディレクトリの空き容量割合（%）", _xlfn.REGEXTEST(C267, "Heap Dump Directory Free Space.*Absolute"), "ヒープダンプディレクトリの空き容量（絶対値）", _xlfn.REGEXTEST(C267, "Heap Dump Directory Free Space.*Percentage"), "ヒープダンプディレクトリの空き容量割合（%）", _xlfn.REGEXTEST(C267, "Data Directory Free Space.*Absolute"), "データディレクトリの空き容量（絶対値）", _xlfn.REGEXTEST(C267, "Data Directory Free Space.*Percentage"), "データディレクトリの空き容量割合（%）", _xlfn.REGEXTEST(C267, "Transaction Log Directory Free Space.*Absolute"), "トランザクションログディレクトリの空き容量（絶対値）", _xlfn.REGEXTEST(C267, "Logging Threshold|Logger Threshold"), "ログ出力レベルの閾値設定", _xlfn.REGEXTEST(C267, "Enable.*Alerts"), "ヘルスアラートの有効化状態", _xlfn.REGEXTEST(C267, "Triggers"), "カスタムアラート条件（トリガー設定）", _xlfn.REGEXTEST(C267, "Healthy Kafka Broker"), "Kafka Brokerの健全ノード割合（稼働率）", _xlfn.REGEXTEST(C267, "Healthy Kafka Connect"), "Kafka Connectの健全ノード割合（稼働率）", _xlfn.REGEXTEST(C267, "Healthy KRaft Controller"), "KRaft Controllerの健全ノード割合（稼働率）", _xlfn.REGEXTEST(C267, "Healthy Knox IDBroker"), "Knox IDBrokerの健全ノード割合（稼働率）", _xlfn.REGEXTEST(C267, "Healthy Knox Gateway"), "Knox Gatewayの健全ノード割合（稼働率）", _xlfn.REGEXTEST(C267, "Healthy ZooKeeper Server"), "ZooKeeper Serverの健全ノード割合（稼働率）", _xlfn.REGEXTEST(C267, "Healthy NodeManager"), "NodeManagerの健全ノード割合（稼働率）", _xlfn.REGEXTEST(C267, "Maximum Latency"), "リクエストの最大レイテンシ（処理遅延）", _xlfn.REGEXTEST(C267, "Garbage Collection Duration"), "Javaのガベージコレクション（GC）の所要時間", _xlfn.REGEXTEST(C267, "Spool Directory Usage"), "Rangerプラグインのスプールディレクトリ使用量", _xlfn.REGEXTEST(C267, "Process Directory Free Space Monitoring Absolute"), "プロセスディレクトリの空き容量（絶対値)", _xlfn.REGEXTEST(C267, "Process Directory Free Space.*Percentage"), "プロセスディレクトリの空き容量割合（%）", _xlfn.REGEXTEST(C267, "Parcel Directory Free Space.*Absolute"), "パーセルディレクトリの空き容量（絶対値）", _xlfn.REGEXTEST(C267, "Parcel Directory Free Space.*Percentage"), "パーセルディレクトリの空き容量割合（%）", _xlfn.REGEXTEST(C267, "Host Network Frame Error Percentage"), "ホストのネットワークフレームエラー割合（%）", _xlfn.REGEXTEST(C267, "Network Interfaces Slow Link Modes"), "ホストのネットワークインターフェースの低速リンクモード検出", _xlfn.REGEXTEST(C267, "Host Memory Swapping"), "ホストのメモリのスワップ発生状態", TRUE, "要手動確認")</f>
        <v>リバランシング（データ再配置）状態</v>
      </c>
      <c r="H267" s="479">
        <v>10</v>
      </c>
    </row>
    <row r="268" spans="1:8" ht="16.899999999999999">
      <c r="A268" s="514"/>
      <c r="B268" s="473"/>
      <c r="C268" s="471" t="s">
        <v>1034</v>
      </c>
      <c r="D268" s="471" t="s">
        <v>1035</v>
      </c>
      <c r="E268" s="471" t="s">
        <v>1036</v>
      </c>
      <c r="F268" s="471"/>
      <c r="G268" s="471" t="str" cm="1">
        <f t="array" ref="G268">_xlfn.IFS(C268 = "", "", _xlfn.REGEXTEST(C268, "Service Metric Migrator Minimum Consecutive Successful Checks"), "サービスメトリック移行ツールの連続正常チェック最小回数", _xlfn.REGEXTEST(C268, "Rebalancing"), "リバランシング（データ再配置）状態", _xlfn.REGEXTEST(C268, "Temporary Dump Directory"), "一時ダンプディレクトリの監視", _xlfn.REGEXTEST(C268, "Safemode Extension"), "セーフモード延長状態", _xlfn.REGEXTEST(C268, "Client Idle"), "クライアントのアイドル（待機）状態", _xlfn.REGEXTEST(C268, "Available Space Policy Balanced"), "空き容量ポリシーの分散バランス状態", _xlfn.REGEXTEST(C268, "Filesystem Checkpoint Transaction"), "ファイルシステムのチェックポイントトランザクション", _xlfn.REGEXTEST(C268, "Blocks With Corrupt Replicas Monitoring"), "破損レプリカを持つブロックの監視", _xlfn.REGEXTEST(C268, "Missing Block Monitoring"), "消失（ミッシング）ブロックの監視", _xlfn.REGEXTEST(C268, "Under-replicated Block Monitoring"), "レプリカ数不足ブロックの監視", _xlfn.REGEXTEST(C268, "HDFS Free Space Monitoring"), "HDFSの空き容量監視", _xlfn.REGEXTEST(C268, "DataNode Monitoring"), "DataNodeの稼働状態監視", _xlfn.REGEXTEST(C268, "Rules to Extract Events from Log Files"), "ログファイルからのイベント抽出ルール設定", _xlfn.REGEXTEST(C268, "Free Space Monitoring$"), "空き容量監視（一般設定）", _xlfn.REGEXTEST(C268, "Transceivers Usage"), "トランシーバー使用量（データ転送スレッド数）", _xlfn.REGEXTEST(C268, "Volume Failures"), "ボリューム障害（ディスクエラー）数", _xlfn.REGEXTEST(C268, "Block Count"), "ブロック総数", _xlfn.REGEXTEST(C268, "Audit Failure"), "監査（オーディット）ログの失敗イベント", _xlfn.REGEXTEST(C268, "Web Metric Collection Duration"), "Webメトリック収集の所要時間", _xlfn.REGEXTEST(C268, "Pause Duration"), "一時停止（ポーズ）の所要時間", _xlfn.REGEXTEST(C268, "Fsync Latency"), "Fsync（ディスク同期）のレイテンシ", _xlfn.REGEXTEST(C268, "Free Space Monitoring Absolute"), "空き容量（絶対値）", _xlfn.REGEXTEST(C268, "Free Space Monitoring Percentage"), "空き容量割合（%）", _xlfn.REGEXTEST(C268, "Age Monitoring"), "経過時間の監視", _xlfn.REGEXTEST(C268, "Transactions Monitoring"), "トランザクション数の監視", _xlfn.REGEXTEST(C268, "RPC Latency"), "RPC（遠隔手続き呼出し）のレイテンシ", _xlfn.REGEXTEST(C268, "Directory Failures"), "ディレクトリ障害数", _xlfn.REGEXTEST(C268, "Out-Of-Sync JournalNodes"), "同期ズレが発生しているJournalNode数", _xlfn.REGEXTEST(C268, "Safemode Threshold Percentage"), "セーフモード解除閾値の割合（%）", _xlfn.REGEXTEST(C268, "Kerberos Ticket Renewer Monitoring"), "Kerberosチケット更新プロセスの稼働状態監視", _xlfn.REGEXTEST(C268, "Load Balancer Monitoring"), "ロードバランサーの稼働状態監視", _xlfn.REGEXTEST(C268, "Navigator Audit Failure"), "Cloudera Navigator監査ログの失敗イベント", _xlfn.REGEXTEST(C268, "Schema Registry Server Monitoring"), "Schema Registry Serverの稼働状態監視", _xlfn.REGEXTEST(C268, "SRM Service Monitoring"), "SRMサービスの稼働状態監視", _xlfn.REGEXTEST(C268, "SRM Driver Monitoring"), "SRMドライバーの稼働状態監視", _xlfn.REGEXTEST(C268, "Loggin"), "ログ出力状態・設定監視", _xlfn.REGEXTEST(C268, "Server Monitoring"), "サーバーの稼働状態監視", _xlfn.REGEXTEST(C268, "Server Connection Count"), "サーバーの接続数（コネクション数）", _xlfn.REGEXTEST(C268, "Server Outstanding Requests"), "サーバーの未処理リクエスト数（滞留要求数）", _xlfn.REGEXTEST(C268, "Repository Status"), "リポジトリのステータス状態", _xlfn.REGEXTEST(C268, "Monitor Long Running Task"), "長時間実行タスク（ジョブ）の監視", _xlfn.REGEXTEST(C268, "Token requests per second"), "1秒あたりのトークンリクエスト数（要求レート）", _xlfn.REGEXTEST(C268, "Connection Model Score"), "接続モデルスコア（コネクション品質）", _xlfn.REGEXTEST(C268, "Queue swap"), "キューのスワップ発生状態", _xlfn.REGEXTEST(C268, "NiFi Node Monitoring"), "NiFiノードの稼働状態監視", _xlfn.REGEXTEST(C268, "Host Clock Offset"), "ホストのクロックオフセット（時刻同期のズレ）", _xlfn.REGEXTEST(C268, "Memory Overcommit Validation"), "メモリオーバーコミット設定の検証", _xlfn.REGEXTEST(C268, "Gateway Logging"), "ゲートウェイのログ出力設定", _xlfn.REGEXTEST(C268, "CPU Balance"), "CPU使用率の分散バランス状態", _xlfn.REGEXTEST(C268, "Disk Balance"), "ディスク使用量の分散バランス状態", _xlfn.REGEXTEST(C268, "Network Inbound Balance"), "ネットワークインバウンド（受信）の分散バランス状態", _xlfn.REGEXTEST(C268, "Network Outbound Balance"), "ネットワークアウトバウンド（送信）の分散バランス状態", _xlfn.REGEXTEST(C268, "Replica Count Balance"), "レプリカ数の分散バランス状態", _xlfn.REGEXTEST(C268, "Disk Capacity"), "ディスク総容量の限界・使用容量", _xlfn.REGEXTEST(C268, "CPU Capacity"), "CPU総処理能力の限界・使用量", _xlfn.REGEXTEST(C268, "Network Inbound Capacity"), "ネットワークインバウンド（受信）帯域の限界・使用量", _xlfn.REGEXTEST(C268, "Network Outbound Capacity"), "ネットワークアウトバウンド（送信）帯域の限界・使用量", _xlfn.REGEXTEST(C268, "Leader Replica Count Balance"), "リーダーレプリカ数の分散バランス状態", _xlfn.REGEXTEST(C268, "Host DNS Resolution Duration"), "ホストのDNS名前解決の所要時間", _xlfn.REGEXTEST(C268, "TLS Certificate Expiry"), "TLS証明書の有効期限切れ", _xlfn.REGEXTEST(C268, "Host Entropy"), "ホストのエントロピー（乱数生成能力）の不足", _xlfn.REGEXTEST(C268, "File Descriptor"), "プロセスのファイルディスクリプタ使用率", _xlfn.REGEXTEST(C268, "Unexpected Exits"), "プロセスの異常終了（予期せぬ停止）", _xlfn.REGEXTEST(C268, "Swap Memory Thresholds"), "プロセスのスワップメモリ使用量", _xlfn.REGEXTEST(C268, "Swap Memory Usage Rate"), "スワップメモリ使用量の変化率（増加速度）", _xlfn.REGEXTEST(C268, "Log Directory Free Space.*Absolute"), "ログディレクトリの空き容量（絶対値）", _xlfn.REGEXTEST(C268, "Log Directory Free Space.*Percentage"), "ログディレクトリの空き容量割合（%）", _xlfn.REGEXTEST(C268, "Heap Dump Directory Free Space.*Absolute"), "ヒープダンプディレクトリの空き容量（絶対値）", _xlfn.REGEXTEST(C268, "Heap Dump Directory Free Space.*Percentage"), "ヒープダンプディレクトリの空き容量割合（%）", _xlfn.REGEXTEST(C268, "Data Directory Free Space.*Absolute"), "データディレクトリの空き容量（絶対値）", _xlfn.REGEXTEST(C268, "Data Directory Free Space.*Percentage"), "データディレクトリの空き容量割合（%）", _xlfn.REGEXTEST(C268, "Transaction Log Directory Free Space.*Absolute"), "トランザクションログディレクトリの空き容量（絶対値）", _xlfn.REGEXTEST(C268, "Logging Threshold|Logger Threshold"), "ログ出力レベルの閾値設定", _xlfn.REGEXTEST(C268, "Enable.*Alerts"), "ヘルスアラートの有効化状態", _xlfn.REGEXTEST(C268, "Triggers"), "カスタムアラート条件（トリガー設定）", _xlfn.REGEXTEST(C268, "Healthy Kafka Broker"), "Kafka Brokerの健全ノード割合（稼働率）", _xlfn.REGEXTEST(C268, "Healthy Kafka Connect"), "Kafka Connectの健全ノード割合（稼働率）", _xlfn.REGEXTEST(C268, "Healthy KRaft Controller"), "KRaft Controllerの健全ノード割合（稼働率）", _xlfn.REGEXTEST(C268, "Healthy Knox IDBroker"), "Knox IDBrokerの健全ノード割合（稼働率）", _xlfn.REGEXTEST(C268, "Healthy Knox Gateway"), "Knox Gatewayの健全ノード割合（稼働率）", _xlfn.REGEXTEST(C268, "Healthy ZooKeeper Server"), "ZooKeeper Serverの健全ノード割合（稼働率）", _xlfn.REGEXTEST(C268, "Healthy NodeManager"), "NodeManagerの健全ノード割合（稼働率）", _xlfn.REGEXTEST(C268, "Maximum Latency"), "リクエストの最大レイテンシ（処理遅延）", _xlfn.REGEXTEST(C268, "Garbage Collection Duration"), "Javaのガベージコレクション（GC）の所要時間", _xlfn.REGEXTEST(C268, "Spool Directory Usage"), "Rangerプラグインのスプールディレクトリ使用量", _xlfn.REGEXTEST(C268, "Process Directory Free Space Monitoring Absolute"), "プロセスディレクトリの空き容量（絶対値)", _xlfn.REGEXTEST(C268, "Process Directory Free Space.*Percentage"), "プロセスディレクトリの空き容量割合（%）", _xlfn.REGEXTEST(C268, "Parcel Directory Free Space.*Absolute"), "パーセルディレクトリの空き容量（絶対値）", _xlfn.REGEXTEST(C268, "Parcel Directory Free Space.*Percentage"), "パーセルディレクトリの空き容量割合（%）", _xlfn.REGEXTEST(C268, "Host Network Frame Error Percentage"), "ホストのネットワークフレームエラー割合（%）", _xlfn.REGEXTEST(C268, "Network Interfaces Slow Link Modes"), "ホストのネットワークインターフェースの低速リンクモード検出", _xlfn.REGEXTEST(C268, "Host Memory Swapping"), "ホストのメモリのスワップ発生状態", TRUE, "要手動確認")</f>
        <v>一時ダンプディレクトリの監視</v>
      </c>
      <c r="H268" s="479" t="s">
        <v>1037</v>
      </c>
    </row>
    <row r="269" spans="1:8" ht="16.899999999999999">
      <c r="A269" s="514"/>
      <c r="B269" s="473"/>
      <c r="C269" s="471" t="s">
        <v>1038</v>
      </c>
      <c r="D269" s="471" t="s">
        <v>1039</v>
      </c>
      <c r="E269" s="471" t="s">
        <v>1040</v>
      </c>
      <c r="F269" s="471"/>
      <c r="G269" s="471" t="str" cm="1">
        <f t="array" ref="G269">_xlfn.IFS(C269 = "", "", _xlfn.REGEXTEST(C269, "Service Metric Migrator Minimum Consecutive Successful Checks"), "サービスメトリック移行ツールの連続正常チェック最小回数", _xlfn.REGEXTEST(C269, "Rebalancing"), "リバランシング（データ再配置）状態", _xlfn.REGEXTEST(C269, "Temporary Dump Directory"), "一時ダンプディレクトリの監視", _xlfn.REGEXTEST(C269, "Safemode Extension"), "セーフモード延長状態", _xlfn.REGEXTEST(C269, "Client Idle"), "クライアントのアイドル（待機）状態", _xlfn.REGEXTEST(C269, "Available Space Policy Balanced"), "空き容量ポリシーの分散バランス状態", _xlfn.REGEXTEST(C269, "Filesystem Checkpoint Transaction"), "ファイルシステムのチェックポイントトランザクション", _xlfn.REGEXTEST(C269, "Blocks With Corrupt Replicas Monitoring"), "破損レプリカを持つブロックの監視", _xlfn.REGEXTEST(C269, "Missing Block Monitoring"), "消失（ミッシング）ブロックの監視", _xlfn.REGEXTEST(C269, "Under-replicated Block Monitoring"), "レプリカ数不足ブロックの監視", _xlfn.REGEXTEST(C269, "HDFS Free Space Monitoring"), "HDFSの空き容量監視", _xlfn.REGEXTEST(C269, "DataNode Monitoring"), "DataNodeの稼働状態監視", _xlfn.REGEXTEST(C269, "Rules to Extract Events from Log Files"), "ログファイルからのイベント抽出ルール設定", _xlfn.REGEXTEST(C269, "Free Space Monitoring$"), "空き容量監視（一般設定）", _xlfn.REGEXTEST(C269, "Transceivers Usage"), "トランシーバー使用量（データ転送スレッド数）", _xlfn.REGEXTEST(C269, "Volume Failures"), "ボリューム障害（ディスクエラー）数", _xlfn.REGEXTEST(C269, "Block Count"), "ブロック総数", _xlfn.REGEXTEST(C269, "Audit Failure"), "監査（オーディット）ログの失敗イベント", _xlfn.REGEXTEST(C269, "Web Metric Collection Duration"), "Webメトリック収集の所要時間", _xlfn.REGEXTEST(C269, "Pause Duration"), "一時停止（ポーズ）の所要時間", _xlfn.REGEXTEST(C269, "Fsync Latency"), "Fsync（ディスク同期）のレイテンシ", _xlfn.REGEXTEST(C269, "Free Space Monitoring Absolute"), "空き容量（絶対値）", _xlfn.REGEXTEST(C269, "Free Space Monitoring Percentage"), "空き容量割合（%）", _xlfn.REGEXTEST(C269, "Age Monitoring"), "経過時間の監視", _xlfn.REGEXTEST(C269, "Transactions Monitoring"), "トランザクション数の監視", _xlfn.REGEXTEST(C269, "RPC Latency"), "RPC（遠隔手続き呼出し）のレイテンシ", _xlfn.REGEXTEST(C269, "Directory Failures"), "ディレクトリ障害数", _xlfn.REGEXTEST(C269, "Out-Of-Sync JournalNodes"), "同期ズレが発生しているJournalNode数", _xlfn.REGEXTEST(C269, "Safemode Threshold Percentage"), "セーフモード解除閾値の割合（%）", _xlfn.REGEXTEST(C269, "Kerberos Ticket Renewer Monitoring"), "Kerberosチケット更新プロセスの稼働状態監視", _xlfn.REGEXTEST(C269, "Load Balancer Monitoring"), "ロードバランサーの稼働状態監視", _xlfn.REGEXTEST(C269, "Navigator Audit Failure"), "Cloudera Navigator監査ログの失敗イベント", _xlfn.REGEXTEST(C269, "Schema Registry Server Monitoring"), "Schema Registry Serverの稼働状態監視", _xlfn.REGEXTEST(C269, "SRM Service Monitoring"), "SRMサービスの稼働状態監視", _xlfn.REGEXTEST(C269, "SRM Driver Monitoring"), "SRMドライバーの稼働状態監視", _xlfn.REGEXTEST(C269, "Loggin"), "ログ出力状態・設定監視", _xlfn.REGEXTEST(C269, "Server Monitoring"), "サーバーの稼働状態監視", _xlfn.REGEXTEST(C269, "Server Connection Count"), "サーバーの接続数（コネクション数）", _xlfn.REGEXTEST(C269, "Server Outstanding Requests"), "サーバーの未処理リクエスト数（滞留要求数）", _xlfn.REGEXTEST(C269, "Repository Status"), "リポジトリのステータス状態", _xlfn.REGEXTEST(C269, "Monitor Long Running Task"), "長時間実行タスク（ジョブ）の監視", _xlfn.REGEXTEST(C269, "Token requests per second"), "1秒あたりのトークンリクエスト数（要求レート）", _xlfn.REGEXTEST(C269, "Connection Model Score"), "接続モデルスコア（コネクション品質）", _xlfn.REGEXTEST(C269, "Queue swap"), "キューのスワップ発生状態", _xlfn.REGEXTEST(C269, "NiFi Node Monitoring"), "NiFiノードの稼働状態監視", _xlfn.REGEXTEST(C269, "Host Clock Offset"), "ホストのクロックオフセット（時刻同期のズレ）", _xlfn.REGEXTEST(C269, "Memory Overcommit Validation"), "メモリオーバーコミット設定の検証", _xlfn.REGEXTEST(C269, "Gateway Logging"), "ゲートウェイのログ出力設定", _xlfn.REGEXTEST(C269, "CPU Balance"), "CPU使用率の分散バランス状態", _xlfn.REGEXTEST(C269, "Disk Balance"), "ディスク使用量の分散バランス状態", _xlfn.REGEXTEST(C269, "Network Inbound Balance"), "ネットワークインバウンド（受信）の分散バランス状態", _xlfn.REGEXTEST(C269, "Network Outbound Balance"), "ネットワークアウトバウンド（送信）の分散バランス状態", _xlfn.REGEXTEST(C269, "Replica Count Balance"), "レプリカ数の分散バランス状態", _xlfn.REGEXTEST(C269, "Disk Capacity"), "ディスク総容量の限界・使用容量", _xlfn.REGEXTEST(C269, "CPU Capacity"), "CPU総処理能力の限界・使用量", _xlfn.REGEXTEST(C269, "Network Inbound Capacity"), "ネットワークインバウンド（受信）帯域の限界・使用量", _xlfn.REGEXTEST(C269, "Network Outbound Capacity"), "ネットワークアウトバウンド（送信）帯域の限界・使用量", _xlfn.REGEXTEST(C269, "Leader Replica Count Balance"), "リーダーレプリカ数の分散バランス状態", _xlfn.REGEXTEST(C269, "Host DNS Resolution Duration"), "ホストのDNS名前解決の所要時間", _xlfn.REGEXTEST(C269, "TLS Certificate Expiry"), "TLS証明書の有効期限切れ", _xlfn.REGEXTEST(C269, "Host Entropy"), "ホストのエントロピー（乱数生成能力）の不足", _xlfn.REGEXTEST(C269, "File Descriptor"), "プロセスのファイルディスクリプタ使用率", _xlfn.REGEXTEST(C269, "Unexpected Exits"), "プロセスの異常終了（予期せぬ停止）", _xlfn.REGEXTEST(C269, "Swap Memory Thresholds"), "プロセスのスワップメモリ使用量", _xlfn.REGEXTEST(C269, "Swap Memory Usage Rate"), "スワップメモリ使用量の変化率（増加速度）", _xlfn.REGEXTEST(C269, "Log Directory Free Space.*Absolute"), "ログディレクトリの空き容量（絶対値）", _xlfn.REGEXTEST(C269, "Log Directory Free Space.*Percentage"), "ログディレクトリの空き容量割合（%）", _xlfn.REGEXTEST(C269, "Heap Dump Directory Free Space.*Absolute"), "ヒープダンプディレクトリの空き容量（絶対値）", _xlfn.REGEXTEST(C269, "Heap Dump Directory Free Space.*Percentage"), "ヒープダンプディレクトリの空き容量割合（%）", _xlfn.REGEXTEST(C269, "Data Directory Free Space.*Absolute"), "データディレクトリの空き容量（絶対値）", _xlfn.REGEXTEST(C269, "Data Directory Free Space.*Percentage"), "データディレクトリの空き容量割合（%）", _xlfn.REGEXTEST(C269, "Transaction Log Directory Free Space.*Absolute"), "トランザクションログディレクトリの空き容量（絶対値）", _xlfn.REGEXTEST(C269, "Logging Threshold|Logger Threshold"), "ログ出力レベルの閾値設定", _xlfn.REGEXTEST(C269, "Enable.*Alerts"), "ヘルスアラートの有効化状態", _xlfn.REGEXTEST(C269, "Triggers"), "カスタムアラート条件（トリガー設定）", _xlfn.REGEXTEST(C269, "Healthy Kafka Broker"), "Kafka Brokerの健全ノード割合（稼働率）", _xlfn.REGEXTEST(C269, "Healthy Kafka Connect"), "Kafka Connectの健全ノード割合（稼働率）", _xlfn.REGEXTEST(C269, "Healthy KRaft Controller"), "KRaft Controllerの健全ノード割合（稼働率）", _xlfn.REGEXTEST(C269, "Healthy Knox IDBroker"), "Knox IDBrokerの健全ノード割合（稼働率）", _xlfn.REGEXTEST(C269, "Healthy Knox Gateway"), "Knox Gatewayの健全ノード割合（稼働率）", _xlfn.REGEXTEST(C269, "Healthy ZooKeeper Server"), "ZooKeeper Serverの健全ノード割合（稼働率）", _xlfn.REGEXTEST(C269, "Healthy NodeManager"), "NodeManagerの健全ノード割合（稼働率）", _xlfn.REGEXTEST(C269, "Maximum Latency"), "リクエストの最大レイテンシ（処理遅延）", _xlfn.REGEXTEST(C269, "Garbage Collection Duration"), "Javaのガベージコレクション（GC）の所要時間", _xlfn.REGEXTEST(C269, "Spool Directory Usage"), "Rangerプラグインのスプールディレクトリ使用量", _xlfn.REGEXTEST(C269, "Process Directory Free Space Monitoring Absolute"), "プロセスディレクトリの空き容量（絶対値)", _xlfn.REGEXTEST(C269, "Process Directory Free Space.*Percentage"), "プロセスディレクトリの空き容量割合（%）", _xlfn.REGEXTEST(C269, "Parcel Directory Free Space.*Absolute"), "パーセルディレクトリの空き容量（絶対値）", _xlfn.REGEXTEST(C269, "Parcel Directory Free Space.*Percentage"), "パーセルディレクトリの空き容量割合（%）", _xlfn.REGEXTEST(C269, "Host Network Frame Error Percentage"), "ホストのネットワークフレームエラー割合（%）", _xlfn.REGEXTEST(C269, "Network Interfaces Slow Link Modes"), "ホストのネットワークインターフェースの低速リンクモード検出", _xlfn.REGEXTEST(C269, "Host Memory Swapping"), "ホストのメモリのスワップ発生状態", TRUE, "要手動確認")</f>
        <v>セーフモード延長状態</v>
      </c>
      <c r="H269" s="479" t="s">
        <v>1041</v>
      </c>
    </row>
    <row r="270" spans="1:8" ht="16.899999999999999">
      <c r="A270" s="514"/>
      <c r="B270" s="473"/>
      <c r="C270" s="471" t="s">
        <v>1042</v>
      </c>
      <c r="D270" s="471" t="s">
        <v>1043</v>
      </c>
      <c r="E270" s="471" t="s">
        <v>1044</v>
      </c>
      <c r="F270" s="471"/>
      <c r="G270" s="471" t="str" cm="1">
        <f t="array" ref="G270">_xlfn.IFS(C270 = "", "", _xlfn.REGEXTEST(C270, "Service Metric Migrator Minimum Consecutive Successful Checks"), "サービスメトリック移行ツールの連続正常チェック最小回数", _xlfn.REGEXTEST(C270, "Rebalancing"), "リバランシング（データ再配置）状態", _xlfn.REGEXTEST(C270, "Temporary Dump Directory"), "一時ダンプディレクトリの監視", _xlfn.REGEXTEST(C270, "Safemode Extension"), "セーフモード延長状態", _xlfn.REGEXTEST(C270, "Client Idle"), "クライアントのアイドル（待機）状態", _xlfn.REGEXTEST(C270, "Available Space Policy Balanced"), "空き容量ポリシーの分散バランス状態", _xlfn.REGEXTEST(C270, "Filesystem Checkpoint Transaction"), "ファイルシステムのチェックポイントトランザクション", _xlfn.REGEXTEST(C270, "Blocks With Corrupt Replicas Monitoring"), "破損レプリカを持つブロックの監視", _xlfn.REGEXTEST(C270, "Missing Block Monitoring"), "消失（ミッシング）ブロックの監視", _xlfn.REGEXTEST(C270, "Under-replicated Block Monitoring"), "レプリカ数不足ブロックの監視", _xlfn.REGEXTEST(C270, "HDFS Free Space Monitoring"), "HDFSの空き容量監視", _xlfn.REGEXTEST(C270, "DataNode Monitoring"), "DataNodeの稼働状態監視", _xlfn.REGEXTEST(C270, "Rules to Extract Events from Log Files"), "ログファイルからのイベント抽出ルール設定", _xlfn.REGEXTEST(C270, "Free Space Monitoring$"), "空き容量監視（一般設定）", _xlfn.REGEXTEST(C270, "Transceivers Usage"), "トランシーバー使用量（データ転送スレッド数）", _xlfn.REGEXTEST(C270, "Volume Failures"), "ボリューム障害（ディスクエラー）数", _xlfn.REGEXTEST(C270, "Block Count"), "ブロック総数", _xlfn.REGEXTEST(C270, "Audit Failure"), "監査（オーディット）ログの失敗イベント", _xlfn.REGEXTEST(C270, "Web Metric Collection Duration"), "Webメトリック収集の所要時間", _xlfn.REGEXTEST(C270, "Pause Duration"), "一時停止（ポーズ）の所要時間", _xlfn.REGEXTEST(C270, "Fsync Latency"), "Fsync（ディスク同期）のレイテンシ", _xlfn.REGEXTEST(C270, "Free Space Monitoring Absolute"), "空き容量（絶対値）", _xlfn.REGEXTEST(C270, "Free Space Monitoring Percentage"), "空き容量割合（%）", _xlfn.REGEXTEST(C270, "Age Monitoring"), "経過時間の監視", _xlfn.REGEXTEST(C270, "Transactions Monitoring"), "トランザクション数の監視", _xlfn.REGEXTEST(C270, "RPC Latency"), "RPC（遠隔手続き呼出し）のレイテンシ", _xlfn.REGEXTEST(C270, "Directory Failures"), "ディレクトリ障害数", _xlfn.REGEXTEST(C270, "Out-Of-Sync JournalNodes"), "同期ズレが発生しているJournalNode数", _xlfn.REGEXTEST(C270, "Safemode Threshold Percentage"), "セーフモード解除閾値の割合（%）", _xlfn.REGEXTEST(C270, "Kerberos Ticket Renewer Monitoring"), "Kerberosチケット更新プロセスの稼働状態監視", _xlfn.REGEXTEST(C270, "Load Balancer Monitoring"), "ロードバランサーの稼働状態監視", _xlfn.REGEXTEST(C270, "Navigator Audit Failure"), "Cloudera Navigator監査ログの失敗イベント", _xlfn.REGEXTEST(C270, "Schema Registry Server Monitoring"), "Schema Registry Serverの稼働状態監視", _xlfn.REGEXTEST(C270, "SRM Service Monitoring"), "SRMサービスの稼働状態監視", _xlfn.REGEXTEST(C270, "SRM Driver Monitoring"), "SRMドライバーの稼働状態監視", _xlfn.REGEXTEST(C270, "Loggin"), "ログ出力状態・設定監視", _xlfn.REGEXTEST(C270, "Server Monitoring"), "サーバーの稼働状態監視", _xlfn.REGEXTEST(C270, "Server Connection Count"), "サーバーの接続数（コネクション数）", _xlfn.REGEXTEST(C270, "Server Outstanding Requests"), "サーバーの未処理リクエスト数（滞留要求数）", _xlfn.REGEXTEST(C270, "Repository Status"), "リポジトリのステータス状態", _xlfn.REGEXTEST(C270, "Monitor Long Running Task"), "長時間実行タスク（ジョブ）の監視", _xlfn.REGEXTEST(C270, "Token requests per second"), "1秒あたりのトークンリクエスト数（要求レート）", _xlfn.REGEXTEST(C270, "Connection Model Score"), "接続モデルスコア（コネクション品質）", _xlfn.REGEXTEST(C270, "Queue swap"), "キューのスワップ発生状態", _xlfn.REGEXTEST(C270, "NiFi Node Monitoring"), "NiFiノードの稼働状態監視", _xlfn.REGEXTEST(C270, "Host Clock Offset"), "ホストのクロックオフセット（時刻同期のズレ）", _xlfn.REGEXTEST(C270, "Memory Overcommit Validation"), "メモリオーバーコミット設定の検証", _xlfn.REGEXTEST(C270, "Gateway Logging"), "ゲートウェイのログ出力設定", _xlfn.REGEXTEST(C270, "CPU Balance"), "CPU使用率の分散バランス状態", _xlfn.REGEXTEST(C270, "Disk Balance"), "ディスク使用量の分散バランス状態", _xlfn.REGEXTEST(C270, "Network Inbound Balance"), "ネットワークインバウンド（受信）の分散バランス状態", _xlfn.REGEXTEST(C270, "Network Outbound Balance"), "ネットワークアウトバウンド（送信）の分散バランス状態", _xlfn.REGEXTEST(C270, "Replica Count Balance"), "レプリカ数の分散バランス状態", _xlfn.REGEXTEST(C270, "Disk Capacity"), "ディスク総容量の限界・使用容量", _xlfn.REGEXTEST(C270, "CPU Capacity"), "CPU総処理能力の限界・使用量", _xlfn.REGEXTEST(C270, "Network Inbound Capacity"), "ネットワークインバウンド（受信）帯域の限界・使用量", _xlfn.REGEXTEST(C270, "Network Outbound Capacity"), "ネットワークアウトバウンド（送信）帯域の限界・使用量", _xlfn.REGEXTEST(C270, "Leader Replica Count Balance"), "リーダーレプリカ数の分散バランス状態", _xlfn.REGEXTEST(C270, "Host DNS Resolution Duration"), "ホストのDNS名前解決の所要時間", _xlfn.REGEXTEST(C270, "TLS Certificate Expiry"), "TLS証明書の有効期限切れ", _xlfn.REGEXTEST(C270, "Host Entropy"), "ホストのエントロピー（乱数生成能力）の不足", _xlfn.REGEXTEST(C270, "File Descriptor"), "プロセスのファイルディスクリプタ使用率", _xlfn.REGEXTEST(C270, "Unexpected Exits"), "プロセスの異常終了（予期せぬ停止）", _xlfn.REGEXTEST(C270, "Swap Memory Thresholds"), "プロセスのスワップメモリ使用量", _xlfn.REGEXTEST(C270, "Swap Memory Usage Rate"), "スワップメモリ使用量の変化率（増加速度）", _xlfn.REGEXTEST(C270, "Log Directory Free Space.*Absolute"), "ログディレクトリの空き容量（絶対値）", _xlfn.REGEXTEST(C270, "Log Directory Free Space.*Percentage"), "ログディレクトリの空き容量割合（%）", _xlfn.REGEXTEST(C270, "Heap Dump Directory Free Space.*Absolute"), "ヒープダンプディレクトリの空き容量（絶対値）", _xlfn.REGEXTEST(C270, "Heap Dump Directory Free Space.*Percentage"), "ヒープダンプディレクトリの空き容量割合（%）", _xlfn.REGEXTEST(C270, "Data Directory Free Space.*Absolute"), "データディレクトリの空き容量（絶対値）", _xlfn.REGEXTEST(C270, "Data Directory Free Space.*Percentage"), "データディレクトリの空き容量割合（%）", _xlfn.REGEXTEST(C270, "Transaction Log Directory Free Space.*Absolute"), "トランザクションログディレクトリの空き容量（絶対値）", _xlfn.REGEXTEST(C270, "Logging Threshold|Logger Threshold"), "ログ出力レベルの閾値設定", _xlfn.REGEXTEST(C270, "Enable.*Alerts"), "ヘルスアラートの有効化状態", _xlfn.REGEXTEST(C270, "Triggers"), "カスタムアラート条件（トリガー設定）", _xlfn.REGEXTEST(C270, "Healthy Kafka Broker"), "Kafka Brokerの健全ノード割合（稼働率）", _xlfn.REGEXTEST(C270, "Healthy Kafka Connect"), "Kafka Connectの健全ノード割合（稼働率）", _xlfn.REGEXTEST(C270, "Healthy KRaft Controller"), "KRaft Controllerの健全ノード割合（稼働率）", _xlfn.REGEXTEST(C270, "Healthy Knox IDBroker"), "Knox IDBrokerの健全ノード割合（稼働率）", _xlfn.REGEXTEST(C270, "Healthy Knox Gateway"), "Knox Gatewayの健全ノード割合（稼働率）", _xlfn.REGEXTEST(C270, "Healthy ZooKeeper Server"), "ZooKeeper Serverの健全ノード割合（稼働率）", _xlfn.REGEXTEST(C270, "Healthy NodeManager"), "NodeManagerの健全ノード割合（稼働率）", _xlfn.REGEXTEST(C270, "Maximum Latency"), "リクエストの最大レイテンシ（処理遅延）", _xlfn.REGEXTEST(C270, "Garbage Collection Duration"), "Javaのガベージコレクション（GC）の所要時間", _xlfn.REGEXTEST(C270, "Spool Directory Usage"), "Rangerプラグインのスプールディレクトリ使用量", _xlfn.REGEXTEST(C270, "Process Directory Free Space Monitoring Absolute"), "プロセスディレクトリの空き容量（絶対値)", _xlfn.REGEXTEST(C270, "Process Directory Free Space.*Percentage"), "プロセスディレクトリの空き容量割合（%）", _xlfn.REGEXTEST(C270, "Parcel Directory Free Space.*Absolute"), "パーセルディレクトリの空き容量（絶対値）", _xlfn.REGEXTEST(C270, "Parcel Directory Free Space.*Percentage"), "パーセルディレクトリの空き容量割合（%）", _xlfn.REGEXTEST(C270, "Host Network Frame Error Percentage"), "ホストのネットワークフレームエラー割合（%）", _xlfn.REGEXTEST(C270, "Network Interfaces Slow Link Modes"), "ホストのネットワークインターフェースの低速リンクモード検出", _xlfn.REGEXTEST(C270, "Host Memory Swapping"), "ホストのメモリのスワップ発生状態", TRUE, "要手動確認")</f>
        <v>クライアントのアイドル（待機）状態</v>
      </c>
      <c r="H270" s="479">
        <v>8000</v>
      </c>
    </row>
    <row r="271" spans="1:8" ht="33.6">
      <c r="A271" s="514"/>
      <c r="B271" s="473"/>
      <c r="C271" s="471" t="s">
        <v>1045</v>
      </c>
      <c r="D271" s="471" t="s">
        <v>1046</v>
      </c>
      <c r="E271" s="471" t="s">
        <v>1047</v>
      </c>
      <c r="F271" s="471"/>
      <c r="G271" s="471" t="str" cm="1">
        <f t="array" ref="G271">_xlfn.IFS(C271 = "", "", _xlfn.REGEXTEST(C271, "Service Metric Migrator Minimum Consecutive Successful Checks"), "サービスメトリック移行ツールの連続正常チェック最小回数", _xlfn.REGEXTEST(C271, "Rebalancing"), "リバランシング（データ再配置）状態", _xlfn.REGEXTEST(C271, "Temporary Dump Directory"), "一時ダンプディレクトリの監視", _xlfn.REGEXTEST(C271, "Safemode Extension"), "セーフモード延長状態", _xlfn.REGEXTEST(C271, "Client Idle"), "クライアントのアイドル（待機）状態", _xlfn.REGEXTEST(C271, "Available Space Policy Balanced"), "空き容量ポリシーの分散バランス状態", _xlfn.REGEXTEST(C271, "Filesystem Checkpoint Transaction"), "ファイルシステムのチェックポイントトランザクション", _xlfn.REGEXTEST(C271, "Blocks With Corrupt Replicas Monitoring"), "破損レプリカを持つブロックの監視", _xlfn.REGEXTEST(C271, "Missing Block Monitoring"), "消失（ミッシング）ブロックの監視", _xlfn.REGEXTEST(C271, "Under-replicated Block Monitoring"), "レプリカ数不足ブロックの監視", _xlfn.REGEXTEST(C271, "HDFS Free Space Monitoring"), "HDFSの空き容量監視", _xlfn.REGEXTEST(C271, "DataNode Monitoring"), "DataNodeの稼働状態監視", _xlfn.REGEXTEST(C271, "Rules to Extract Events from Log Files"), "ログファイルからのイベント抽出ルール設定", _xlfn.REGEXTEST(C271, "Free Space Monitoring$"), "空き容量監視（一般設定）", _xlfn.REGEXTEST(C271, "Transceivers Usage"), "トランシーバー使用量（データ転送スレッド数）", _xlfn.REGEXTEST(C271, "Volume Failures"), "ボリューム障害（ディスクエラー）数", _xlfn.REGEXTEST(C271, "Block Count"), "ブロック総数", _xlfn.REGEXTEST(C271, "Audit Failure"), "監査（オーディット）ログの失敗イベント", _xlfn.REGEXTEST(C271, "Web Metric Collection Duration"), "Webメトリック収集の所要時間", _xlfn.REGEXTEST(C271, "Pause Duration"), "一時停止（ポーズ）の所要時間", _xlfn.REGEXTEST(C271, "Fsync Latency"), "Fsync（ディスク同期）のレイテンシ", _xlfn.REGEXTEST(C271, "Free Space Monitoring Absolute"), "空き容量（絶対値）", _xlfn.REGEXTEST(C271, "Free Space Monitoring Percentage"), "空き容量割合（%）", _xlfn.REGEXTEST(C271, "Age Monitoring"), "経過時間の監視", _xlfn.REGEXTEST(C271, "Transactions Monitoring"), "トランザクション数の監視", _xlfn.REGEXTEST(C271, "RPC Latency"), "RPC（遠隔手続き呼出し）のレイテンシ", _xlfn.REGEXTEST(C271, "Directory Failures"), "ディレクトリ障害数", _xlfn.REGEXTEST(C271, "Out-Of-Sync JournalNodes"), "同期ズレが発生しているJournalNode数", _xlfn.REGEXTEST(C271, "Safemode Threshold Percentage"), "セーフモード解除閾値の割合（%）", _xlfn.REGEXTEST(C271, "Kerberos Ticket Renewer Monitoring"), "Kerberosチケット更新プロセスの稼働状態監視", _xlfn.REGEXTEST(C271, "Load Balancer Monitoring"), "ロードバランサーの稼働状態監視", _xlfn.REGEXTEST(C271, "Navigator Audit Failure"), "Cloudera Navigator監査ログの失敗イベント", _xlfn.REGEXTEST(C271, "Schema Registry Server Monitoring"), "Schema Registry Serverの稼働状態監視", _xlfn.REGEXTEST(C271, "SRM Service Monitoring"), "SRMサービスの稼働状態監視", _xlfn.REGEXTEST(C271, "SRM Driver Monitoring"), "SRMドライバーの稼働状態監視", _xlfn.REGEXTEST(C271, "Loggin"), "ログ出力状態・設定監視", _xlfn.REGEXTEST(C271, "Server Monitoring"), "サーバーの稼働状態監視", _xlfn.REGEXTEST(C271, "Server Connection Count"), "サーバーの接続数（コネクション数）", _xlfn.REGEXTEST(C271, "Server Outstanding Requests"), "サーバーの未処理リクエスト数（滞留要求数）", _xlfn.REGEXTEST(C271, "Repository Status"), "リポジトリのステータス状態", _xlfn.REGEXTEST(C271, "Monitor Long Running Task"), "長時間実行タスク（ジョブ）の監視", _xlfn.REGEXTEST(C271, "Token requests per second"), "1秒あたりのトークンリクエスト数（要求レート）", _xlfn.REGEXTEST(C271, "Connection Model Score"), "接続モデルスコア（コネクション品質）", _xlfn.REGEXTEST(C271, "Queue swap"), "キューのスワップ発生状態", _xlfn.REGEXTEST(C271, "NiFi Node Monitoring"), "NiFiノードの稼働状態監視", _xlfn.REGEXTEST(C271, "Host Clock Offset"), "ホストのクロックオフセット（時刻同期のズレ）", _xlfn.REGEXTEST(C271, "Memory Overcommit Validation"), "メモリオーバーコミット設定の検証", _xlfn.REGEXTEST(C271, "Gateway Logging"), "ゲートウェイのログ出力設定", _xlfn.REGEXTEST(C271, "CPU Balance"), "CPU使用率の分散バランス状態", _xlfn.REGEXTEST(C271, "Disk Balance"), "ディスク使用量の分散バランス状態", _xlfn.REGEXTEST(C271, "Network Inbound Balance"), "ネットワークインバウンド（受信）の分散バランス状態", _xlfn.REGEXTEST(C271, "Network Outbound Balance"), "ネットワークアウトバウンド（送信）の分散バランス状態", _xlfn.REGEXTEST(C271, "Replica Count Balance"), "レプリカ数の分散バランス状態", _xlfn.REGEXTEST(C271, "Disk Capacity"), "ディスク総容量の限界・使用容量", _xlfn.REGEXTEST(C271, "CPU Capacity"), "CPU総処理能力の限界・使用量", _xlfn.REGEXTEST(C271, "Network Inbound Capacity"), "ネットワークインバウンド（受信）帯域の限界・使用量", _xlfn.REGEXTEST(C271, "Network Outbound Capacity"), "ネットワークアウトバウンド（送信）帯域の限界・使用量", _xlfn.REGEXTEST(C271, "Leader Replica Count Balance"), "リーダーレプリカ数の分散バランス状態", _xlfn.REGEXTEST(C271, "Host DNS Resolution Duration"), "ホストのDNS名前解決の所要時間", _xlfn.REGEXTEST(C271, "TLS Certificate Expiry"), "TLS証明書の有効期限切れ", _xlfn.REGEXTEST(C271, "Host Entropy"), "ホストのエントロピー（乱数生成能力）の不足", _xlfn.REGEXTEST(C271, "File Descriptor"), "プロセスのファイルディスクリプタ使用率", _xlfn.REGEXTEST(C271, "Unexpected Exits"), "プロセスの異常終了（予期せぬ停止）", _xlfn.REGEXTEST(C271, "Swap Memory Thresholds"), "プロセスのスワップメモリ使用量", _xlfn.REGEXTEST(C271, "Swap Memory Usage Rate"), "スワップメモリ使用量の変化率（増加速度）", _xlfn.REGEXTEST(C271, "Log Directory Free Space.*Absolute"), "ログディレクトリの空き容量（絶対値）", _xlfn.REGEXTEST(C271, "Log Directory Free Space.*Percentage"), "ログディレクトリの空き容量割合（%）", _xlfn.REGEXTEST(C271, "Heap Dump Directory Free Space.*Absolute"), "ヒープダンプディレクトリの空き容量（絶対値）", _xlfn.REGEXTEST(C271, "Heap Dump Directory Free Space.*Percentage"), "ヒープダンプディレクトリの空き容量割合（%）", _xlfn.REGEXTEST(C271, "Data Directory Free Space.*Absolute"), "データディレクトリの空き容量（絶対値）", _xlfn.REGEXTEST(C271, "Data Directory Free Space.*Percentage"), "データディレクトリの空き容量割合（%）", _xlfn.REGEXTEST(C271, "Transaction Log Directory Free Space.*Absolute"), "トランザクションログディレクトリの空き容量（絶対値）", _xlfn.REGEXTEST(C271, "Logging Threshold|Logger Threshold"), "ログ出力レベルの閾値設定", _xlfn.REGEXTEST(C271, "Enable.*Alerts"), "ヘルスアラートの有効化状態", _xlfn.REGEXTEST(C271, "Triggers"), "カスタムアラート条件（トリガー設定）", _xlfn.REGEXTEST(C271, "Healthy Kafka Broker"), "Kafka Brokerの健全ノード割合（稼働率）", _xlfn.REGEXTEST(C271, "Healthy Kafka Connect"), "Kafka Connectの健全ノード割合（稼働率）", _xlfn.REGEXTEST(C271, "Healthy KRaft Controller"), "KRaft Controllerの健全ノード割合（稼働率）", _xlfn.REGEXTEST(C271, "Healthy Knox IDBroker"), "Knox IDBrokerの健全ノード割合（稼働率）", _xlfn.REGEXTEST(C271, "Healthy Knox Gateway"), "Knox Gatewayの健全ノード割合（稼働率）", _xlfn.REGEXTEST(C271, "Healthy ZooKeeper Server"), "ZooKeeper Serverの健全ノード割合（稼働率）", _xlfn.REGEXTEST(C271, "Healthy NodeManager"), "NodeManagerの健全ノード割合（稼働率）", _xlfn.REGEXTEST(C271, "Maximum Latency"), "リクエストの最大レイテンシ（処理遅延）", _xlfn.REGEXTEST(C271, "Garbage Collection Duration"), "Javaのガベージコレクション（GC）の所要時間", _xlfn.REGEXTEST(C271, "Spool Directory Usage"), "Rangerプラグインのスプールディレクトリ使用量", _xlfn.REGEXTEST(C271, "Process Directory Free Space Monitoring Absolute"), "プロセスディレクトリの空き容量（絶対値)", _xlfn.REGEXTEST(C271, "Process Directory Free Space.*Percentage"), "プロセスディレクトリの空き容量割合（%）", _xlfn.REGEXTEST(C271, "Parcel Directory Free Space.*Absolute"), "パーセルディレクトリの空き容量（絶対値）", _xlfn.REGEXTEST(C271, "Parcel Directory Free Space.*Percentage"), "パーセルディレクトリの空き容量割合（%）", _xlfn.REGEXTEST(C271, "Host Network Frame Error Percentage"), "ホストのネットワークフレームエラー割合（%）", _xlfn.REGEXTEST(C271, "Network Interfaces Slow Link Modes"), "ホストのネットワークインターフェースの低速リンクモード検出", _xlfn.REGEXTEST(C271, "Host Memory Swapping"), "ホストのメモリのスワップ発生状態", TRUE, "要手動確認")</f>
        <v>空き容量ポリシーの分散バランス状態</v>
      </c>
      <c r="H271" s="479" t="s">
        <v>1048</v>
      </c>
    </row>
    <row r="272" spans="1:8" ht="16.899999999999999">
      <c r="A272" s="514"/>
      <c r="B272" s="473"/>
      <c r="C272" s="471" t="s">
        <v>1049</v>
      </c>
      <c r="D272" s="471" t="s">
        <v>1050</v>
      </c>
      <c r="E272" s="471" t="s">
        <v>1040</v>
      </c>
      <c r="F272" s="471"/>
      <c r="G272" s="471" t="str" cm="1">
        <f t="array" ref="G272">_xlfn.IFS(C272 = "", "", _xlfn.REGEXTEST(C272, "Service Metric Migrator Minimum Consecutive Successful Checks"), "サービスメトリック移行ツールの連続正常チェック最小回数", _xlfn.REGEXTEST(C272, "Rebalancing"), "リバランシング（データ再配置）状態", _xlfn.REGEXTEST(C272, "Temporary Dump Directory"), "一時ダンプディレクトリの監視", _xlfn.REGEXTEST(C272, "Safemode Extension"), "セーフモード延長状態", _xlfn.REGEXTEST(C272, "Client Idle"), "クライアントのアイドル（待機）状態", _xlfn.REGEXTEST(C272, "Available Space Policy Balanced"), "空き容量ポリシーの分散バランス状態", _xlfn.REGEXTEST(C272, "Filesystem Checkpoint Transaction"), "ファイルシステムのチェックポイントトランザクション", _xlfn.REGEXTEST(C272, "Blocks With Corrupt Replicas Monitoring"), "破損レプリカを持つブロックの監視", _xlfn.REGEXTEST(C272, "Missing Block Monitoring"), "消失（ミッシング）ブロックの監視", _xlfn.REGEXTEST(C272, "Under-replicated Block Monitoring"), "レプリカ数不足ブロックの監視", _xlfn.REGEXTEST(C272, "HDFS Free Space Monitoring"), "HDFSの空き容量監視", _xlfn.REGEXTEST(C272, "DataNode Monitoring"), "DataNodeの稼働状態監視", _xlfn.REGEXTEST(C272, "Rules to Extract Events from Log Files"), "ログファイルからのイベント抽出ルール設定", _xlfn.REGEXTEST(C272, "Free Space Monitoring$"), "空き容量監視（一般設定）", _xlfn.REGEXTEST(C272, "Transceivers Usage"), "トランシーバー使用量（データ転送スレッド数）", _xlfn.REGEXTEST(C272, "Volume Failures"), "ボリューム障害（ディスクエラー）数", _xlfn.REGEXTEST(C272, "Block Count"), "ブロック総数", _xlfn.REGEXTEST(C272, "Audit Failure"), "監査（オーディット）ログの失敗イベント", _xlfn.REGEXTEST(C272, "Web Metric Collection Duration"), "Webメトリック収集の所要時間", _xlfn.REGEXTEST(C272, "Pause Duration"), "一時停止（ポーズ）の所要時間", _xlfn.REGEXTEST(C272, "Fsync Latency"), "Fsync（ディスク同期）のレイテンシ", _xlfn.REGEXTEST(C272, "Free Space Monitoring Absolute"), "空き容量（絶対値）", _xlfn.REGEXTEST(C272, "Free Space Monitoring Percentage"), "空き容量割合（%）", _xlfn.REGEXTEST(C272, "Age Monitoring"), "経過時間の監視", _xlfn.REGEXTEST(C272, "Transactions Monitoring"), "トランザクション数の監視", _xlfn.REGEXTEST(C272, "RPC Latency"), "RPC（遠隔手続き呼出し）のレイテンシ", _xlfn.REGEXTEST(C272, "Directory Failures"), "ディレクトリ障害数", _xlfn.REGEXTEST(C272, "Out-Of-Sync JournalNodes"), "同期ズレが発生しているJournalNode数", _xlfn.REGEXTEST(C272, "Safemode Threshold Percentage"), "セーフモード解除閾値の割合（%）", _xlfn.REGEXTEST(C272, "Kerberos Ticket Renewer Monitoring"), "Kerberosチケット更新プロセスの稼働状態監視", _xlfn.REGEXTEST(C272, "Load Balancer Monitoring"), "ロードバランサーの稼働状態監視", _xlfn.REGEXTEST(C272, "Navigator Audit Failure"), "Cloudera Navigator監査ログの失敗イベント", _xlfn.REGEXTEST(C272, "Schema Registry Server Monitoring"), "Schema Registry Serverの稼働状態監視", _xlfn.REGEXTEST(C272, "SRM Service Monitoring"), "SRMサービスの稼働状態監視", _xlfn.REGEXTEST(C272, "SRM Driver Monitoring"), "SRMドライバーの稼働状態監視", _xlfn.REGEXTEST(C272, "Loggin"), "ログ出力状態・設定監視", _xlfn.REGEXTEST(C272, "Server Monitoring"), "サーバーの稼働状態監視", _xlfn.REGEXTEST(C272, "Server Connection Count"), "サーバーの接続数（コネクション数）", _xlfn.REGEXTEST(C272, "Server Outstanding Requests"), "サーバーの未処理リクエスト数（滞留要求数）", _xlfn.REGEXTEST(C272, "Repository Status"), "リポジトリのステータス状態", _xlfn.REGEXTEST(C272, "Monitor Long Running Task"), "長時間実行タスク（ジョブ）の監視", _xlfn.REGEXTEST(C272, "Token requests per second"), "1秒あたりのトークンリクエスト数（要求レート）", _xlfn.REGEXTEST(C272, "Connection Model Score"), "接続モデルスコア（コネクション品質）", _xlfn.REGEXTEST(C272, "Queue swap"), "キューのスワップ発生状態", _xlfn.REGEXTEST(C272, "NiFi Node Monitoring"), "NiFiノードの稼働状態監視", _xlfn.REGEXTEST(C272, "Host Clock Offset"), "ホストのクロックオフセット（時刻同期のズレ）", _xlfn.REGEXTEST(C272, "Memory Overcommit Validation"), "メモリオーバーコミット設定の検証", _xlfn.REGEXTEST(C272, "Gateway Logging"), "ゲートウェイのログ出力設定", _xlfn.REGEXTEST(C272, "CPU Balance"), "CPU使用率の分散バランス状態", _xlfn.REGEXTEST(C272, "Disk Balance"), "ディスク使用量の分散バランス状態", _xlfn.REGEXTEST(C272, "Network Inbound Balance"), "ネットワークインバウンド（受信）の分散バランス状態", _xlfn.REGEXTEST(C272, "Network Outbound Balance"), "ネットワークアウトバウンド（送信）の分散バランス状態", _xlfn.REGEXTEST(C272, "Replica Count Balance"), "レプリカ数の分散バランス状態", _xlfn.REGEXTEST(C272, "Disk Capacity"), "ディスク総容量の限界・使用容量", _xlfn.REGEXTEST(C272, "CPU Capacity"), "CPU総処理能力の限界・使用量", _xlfn.REGEXTEST(C272, "Network Inbound Capacity"), "ネットワークインバウンド（受信）帯域の限界・使用量", _xlfn.REGEXTEST(C272, "Network Outbound Capacity"), "ネットワークアウトバウンド（送信）帯域の限界・使用量", _xlfn.REGEXTEST(C272, "Leader Replica Count Balance"), "リーダーレプリカ数の分散バランス状態", _xlfn.REGEXTEST(C272, "Host DNS Resolution Duration"), "ホストのDNS名前解決の所要時間", _xlfn.REGEXTEST(C272, "TLS Certificate Expiry"), "TLS証明書の有効期限切れ", _xlfn.REGEXTEST(C272, "Host Entropy"), "ホストのエントロピー（乱数生成能力）の不足", _xlfn.REGEXTEST(C272, "File Descriptor"), "プロセスのファイルディスクリプタ使用率", _xlfn.REGEXTEST(C272, "Unexpected Exits"), "プロセスの異常終了（予期せぬ停止）", _xlfn.REGEXTEST(C272, "Swap Memory Thresholds"), "プロセスのスワップメモリ使用量", _xlfn.REGEXTEST(C272, "Swap Memory Usage Rate"), "スワップメモリ使用量の変化率（増加速度）", _xlfn.REGEXTEST(C272, "Log Directory Free Space.*Absolute"), "ログディレクトリの空き容量（絶対値）", _xlfn.REGEXTEST(C272, "Log Directory Free Space.*Percentage"), "ログディレクトリの空き容量割合（%）", _xlfn.REGEXTEST(C272, "Heap Dump Directory Free Space.*Absolute"), "ヒープダンプディレクトリの空き容量（絶対値）", _xlfn.REGEXTEST(C272, "Heap Dump Directory Free Space.*Percentage"), "ヒープダンプディレクトリの空き容量割合（%）", _xlfn.REGEXTEST(C272, "Data Directory Free Space.*Absolute"), "データディレクトリの空き容量（絶対値）", _xlfn.REGEXTEST(C272, "Data Directory Free Space.*Percentage"), "データディレクトリの空き容量割合（%）", _xlfn.REGEXTEST(C272, "Transaction Log Directory Free Space.*Absolute"), "トランザクションログディレクトリの空き容量（絶対値）", _xlfn.REGEXTEST(C272, "Logging Threshold|Logger Threshold"), "ログ出力レベルの閾値設定", _xlfn.REGEXTEST(C272, "Enable.*Alerts"), "ヘルスアラートの有効化状態", _xlfn.REGEXTEST(C272, "Triggers"), "カスタムアラート条件（トリガー設定）", _xlfn.REGEXTEST(C272, "Healthy Kafka Broker"), "Kafka Brokerの健全ノード割合（稼働率）", _xlfn.REGEXTEST(C272, "Healthy Kafka Connect"), "Kafka Connectの健全ノード割合（稼働率）", _xlfn.REGEXTEST(C272, "Healthy KRaft Controller"), "KRaft Controllerの健全ノード割合（稼働率）", _xlfn.REGEXTEST(C272, "Healthy Knox IDBroker"), "Knox IDBrokerの健全ノード割合（稼働率）", _xlfn.REGEXTEST(C272, "Healthy Knox Gateway"), "Knox Gatewayの健全ノード割合（稼働率）", _xlfn.REGEXTEST(C272, "Healthy ZooKeeper Server"), "ZooKeeper Serverの健全ノード割合（稼働率）", _xlfn.REGEXTEST(C272, "Healthy NodeManager"), "NodeManagerの健全ノード割合（稼働率）", _xlfn.REGEXTEST(C272, "Maximum Latency"), "リクエストの最大レイテンシ（処理遅延）", _xlfn.REGEXTEST(C272, "Garbage Collection Duration"), "Javaのガベージコレクション（GC）の所要時間", _xlfn.REGEXTEST(C272, "Spool Directory Usage"), "Rangerプラグインのスプールディレクトリ使用量", _xlfn.REGEXTEST(C272, "Process Directory Free Space Monitoring Absolute"), "プロセスディレクトリの空き容量（絶対値)", _xlfn.REGEXTEST(C272, "Process Directory Free Space.*Percentage"), "プロセスディレクトリの空き容量割合（%）", _xlfn.REGEXTEST(C272, "Parcel Directory Free Space.*Absolute"), "パーセルディレクトリの空き容量（絶対値）", _xlfn.REGEXTEST(C272, "Parcel Directory Free Space.*Percentage"), "パーセルディレクトリの空き容量割合（%）", _xlfn.REGEXTEST(C272, "Host Network Frame Error Percentage"), "ホストのネットワークフレームエラー割合（%）", _xlfn.REGEXTEST(C272, "Network Interfaces Slow Link Modes"), "ホストのネットワークインターフェースの低速リンクモード検出", _xlfn.REGEXTEST(C272, "Host Memory Swapping"), "ホストのメモリのスワップ発生状態", TRUE, "要手動確認")</f>
        <v>ファイルシステムのチェックポイントトランザクション</v>
      </c>
      <c r="H272" s="479">
        <v>1000000</v>
      </c>
    </row>
    <row r="273" spans="1:8" ht="16.899999999999999">
      <c r="A273" s="514"/>
      <c r="B273" s="473"/>
      <c r="C273" s="471" t="s">
        <v>1051</v>
      </c>
      <c r="D273" s="471" t="s">
        <v>772</v>
      </c>
      <c r="E273" s="471" t="s">
        <v>1033</v>
      </c>
      <c r="F273" s="471"/>
      <c r="G273" s="471" t="str" cm="1">
        <f t="array" ref="G273">_xlfn.IFS(C273 = "", "", _xlfn.REGEXTEST(C273, "Service Metric Migrator Minimum Consecutive Successful Checks"), "サービスメトリック移行ツールの連続正常チェック最小回数", _xlfn.REGEXTEST(C273, "Rebalancing"), "リバランシング（データ再配置）状態", _xlfn.REGEXTEST(C273, "Temporary Dump Directory"), "一時ダンプディレクトリの監視", _xlfn.REGEXTEST(C273, "Safemode Extension"), "セーフモード延長状態", _xlfn.REGEXTEST(C273, "Client Idle"), "クライアントのアイドル（待機）状態", _xlfn.REGEXTEST(C273, "Available Space Policy Balanced"), "空き容量ポリシーの分散バランス状態", _xlfn.REGEXTEST(C273, "Filesystem Checkpoint Transaction"), "ファイルシステムのチェックポイントトランザクション", _xlfn.REGEXTEST(C273, "Blocks With Corrupt Replicas Monitoring"), "破損レプリカを持つブロックの監視", _xlfn.REGEXTEST(C273, "Missing Block Monitoring"), "消失（ミッシング）ブロックの監視", _xlfn.REGEXTEST(C273, "Under-replicated Block Monitoring"), "レプリカ数不足ブロックの監視", _xlfn.REGEXTEST(C273, "HDFS Free Space Monitoring"), "HDFSの空き容量監視", _xlfn.REGEXTEST(C273, "DataNode Monitoring"), "DataNodeの稼働状態監視", _xlfn.REGEXTEST(C273, "Rules to Extract Events from Log Files"), "ログファイルからのイベント抽出ルール設定", _xlfn.REGEXTEST(C273, "Free Space Monitoring$"), "空き容量監視（一般設定）", _xlfn.REGEXTEST(C273, "Transceivers Usage"), "トランシーバー使用量（データ転送スレッド数）", _xlfn.REGEXTEST(C273, "Volume Failures"), "ボリューム障害（ディスクエラー）数", _xlfn.REGEXTEST(C273, "Block Count"), "ブロック総数", _xlfn.REGEXTEST(C273, "Audit Failure"), "監査（オーディット）ログの失敗イベント", _xlfn.REGEXTEST(C273, "Web Metric Collection Duration"), "Webメトリック収集の所要時間", _xlfn.REGEXTEST(C273, "Pause Duration"), "一時停止（ポーズ）の所要時間", _xlfn.REGEXTEST(C273, "Fsync Latency"), "Fsync（ディスク同期）のレイテンシ", _xlfn.REGEXTEST(C273, "Free Space Monitoring Absolute"), "空き容量（絶対値）", _xlfn.REGEXTEST(C273, "Free Space Monitoring Percentage"), "空き容量割合（%）", _xlfn.REGEXTEST(C273, "Age Monitoring"), "経過時間の監視", _xlfn.REGEXTEST(C273, "Transactions Monitoring"), "トランザクション数の監視", _xlfn.REGEXTEST(C273, "RPC Latency"), "RPC（遠隔手続き呼出し）のレイテンシ", _xlfn.REGEXTEST(C273, "Directory Failures"), "ディレクトリ障害数", _xlfn.REGEXTEST(C273, "Out-Of-Sync JournalNodes"), "同期ズレが発生しているJournalNode数", _xlfn.REGEXTEST(C273, "Safemode Threshold Percentage"), "セーフモード解除閾値の割合（%）", _xlfn.REGEXTEST(C273, "Kerberos Ticket Renewer Monitoring"), "Kerberosチケット更新プロセスの稼働状態監視", _xlfn.REGEXTEST(C273, "Load Balancer Monitoring"), "ロードバランサーの稼働状態監視", _xlfn.REGEXTEST(C273, "Navigator Audit Failure"), "Cloudera Navigator監査ログの失敗イベント", _xlfn.REGEXTEST(C273, "Schema Registry Server Monitoring"), "Schema Registry Serverの稼働状態監視", _xlfn.REGEXTEST(C273, "SRM Service Monitoring"), "SRMサービスの稼働状態監視", _xlfn.REGEXTEST(C273, "SRM Driver Monitoring"), "SRMドライバーの稼働状態監視", _xlfn.REGEXTEST(C273, "Loggin"), "ログ出力状態・設定監視", _xlfn.REGEXTEST(C273, "Server Monitoring"), "サーバーの稼働状態監視", _xlfn.REGEXTEST(C273, "Server Connection Count"), "サーバーの接続数（コネクション数）", _xlfn.REGEXTEST(C273, "Server Outstanding Requests"), "サーバーの未処理リクエスト数（滞留要求数）", _xlfn.REGEXTEST(C273, "Repository Status"), "リポジトリのステータス状態", _xlfn.REGEXTEST(C273, "Monitor Long Running Task"), "長時間実行タスク（ジョブ）の監視", _xlfn.REGEXTEST(C273, "Token requests per second"), "1秒あたりのトークンリクエスト数（要求レート）", _xlfn.REGEXTEST(C273, "Connection Model Score"), "接続モデルスコア（コネクション品質）", _xlfn.REGEXTEST(C273, "Queue swap"), "キューのスワップ発生状態", _xlfn.REGEXTEST(C273, "NiFi Node Monitoring"), "NiFiノードの稼働状態監視", _xlfn.REGEXTEST(C273, "Host Clock Offset"), "ホストのクロックオフセット（時刻同期のズレ）", _xlfn.REGEXTEST(C273, "Memory Overcommit Validation"), "メモリオーバーコミット設定の検証", _xlfn.REGEXTEST(C273, "Gateway Logging"), "ゲートウェイのログ出力設定", _xlfn.REGEXTEST(C273, "CPU Balance"), "CPU使用率の分散バランス状態", _xlfn.REGEXTEST(C273, "Disk Balance"), "ディスク使用量の分散バランス状態", _xlfn.REGEXTEST(C273, "Network Inbound Balance"), "ネットワークインバウンド（受信）の分散バランス状態", _xlfn.REGEXTEST(C273, "Network Outbound Balance"), "ネットワークアウトバウンド（送信）の分散バランス状態", _xlfn.REGEXTEST(C273, "Replica Count Balance"), "レプリカ数の分散バランス状態", _xlfn.REGEXTEST(C273, "Disk Capacity"), "ディスク総容量の限界・使用容量", _xlfn.REGEXTEST(C273, "CPU Capacity"), "CPU総処理能力の限界・使用量", _xlfn.REGEXTEST(C273, "Network Inbound Capacity"), "ネットワークインバウンド（受信）帯域の限界・使用量", _xlfn.REGEXTEST(C273, "Network Outbound Capacity"), "ネットワークアウトバウンド（送信）帯域の限界・使用量", _xlfn.REGEXTEST(C273, "Leader Replica Count Balance"), "リーダーレプリカ数の分散バランス状態", _xlfn.REGEXTEST(C273, "Host DNS Resolution Duration"), "ホストのDNS名前解決の所要時間", _xlfn.REGEXTEST(C273, "TLS Certificate Expiry"), "TLS証明書の有効期限切れ", _xlfn.REGEXTEST(C273, "Host Entropy"), "ホストのエントロピー（乱数生成能力）の不足", _xlfn.REGEXTEST(C273, "File Descriptor"), "プロセスのファイルディスクリプタ使用率", _xlfn.REGEXTEST(C273, "Unexpected Exits"), "プロセスの異常終了（予期せぬ停止）", _xlfn.REGEXTEST(C273, "Swap Memory Thresholds"), "プロセスのスワップメモリ使用量", _xlfn.REGEXTEST(C273, "Swap Memory Usage Rate"), "スワップメモリ使用量の変化率（増加速度）", _xlfn.REGEXTEST(C273, "Log Directory Free Space.*Absolute"), "ログディレクトリの空き容量（絶対値）", _xlfn.REGEXTEST(C273, "Log Directory Free Space.*Percentage"), "ログディレクトリの空き容量割合（%）", _xlfn.REGEXTEST(C273, "Heap Dump Directory Free Space.*Absolute"), "ヒープダンプディレクトリの空き容量（絶対値）", _xlfn.REGEXTEST(C273, "Heap Dump Directory Free Space.*Percentage"), "ヒープダンプディレクトリの空き容量割合（%）", _xlfn.REGEXTEST(C273, "Data Directory Free Space.*Absolute"), "データディレクトリの空き容量（絶対値）", _xlfn.REGEXTEST(C273, "Data Directory Free Space.*Percentage"), "データディレクトリの空き容量割合（%）", _xlfn.REGEXTEST(C273, "Transaction Log Directory Free Space.*Absolute"), "トランザクションログディレクトリの空き容量（絶対値）", _xlfn.REGEXTEST(C273, "Logging Threshold|Logger Threshold"), "ログ出力レベルの閾値設定", _xlfn.REGEXTEST(C273, "Enable.*Alerts"), "ヘルスアラートの有効化状態", _xlfn.REGEXTEST(C273, "Triggers"), "カスタムアラート条件（トリガー設定）", _xlfn.REGEXTEST(C273, "Healthy Kafka Broker"), "Kafka Brokerの健全ノード割合（稼働率）", _xlfn.REGEXTEST(C273, "Healthy Kafka Connect"), "Kafka Connectの健全ノード割合（稼働率）", _xlfn.REGEXTEST(C273, "Healthy KRaft Controller"), "KRaft Controllerの健全ノード割合（稼働率）", _xlfn.REGEXTEST(C273, "Healthy Knox IDBroker"), "Knox IDBrokerの健全ノード割合（稼働率）", _xlfn.REGEXTEST(C273, "Healthy Knox Gateway"), "Knox Gatewayの健全ノード割合（稼働率）", _xlfn.REGEXTEST(C273, "Healthy ZooKeeper Server"), "ZooKeeper Serverの健全ノード割合（稼働率）", _xlfn.REGEXTEST(C273, "Healthy NodeManager"), "NodeManagerの健全ノード割合（稼働率）", _xlfn.REGEXTEST(C273, "Maximum Latency"), "リクエストの最大レイテンシ（処理遅延）", _xlfn.REGEXTEST(C273, "Garbage Collection Duration"), "Javaのガベージコレクション（GC）の所要時間", _xlfn.REGEXTEST(C273, "Spool Directory Usage"), "Rangerプラグインのスプールディレクトリ使用量", _xlfn.REGEXTEST(C273, "Process Directory Free Space Monitoring Absolute"), "プロセスディレクトリの空き容量（絶対値)", _xlfn.REGEXTEST(C273, "Process Directory Free Space.*Percentage"), "プロセスディレクトリの空き容量割合（%）", _xlfn.REGEXTEST(C273, "Parcel Directory Free Space.*Absolute"), "パーセルディレクトリの空き容量（絶対値）", _xlfn.REGEXTEST(C273, "Parcel Directory Free Space.*Percentage"), "パーセルディレクトリの空き容量割合（%）", _xlfn.REGEXTEST(C273, "Host Network Frame Error Percentage"), "ホストのネットワークフレームエラー割合（%）", _xlfn.REGEXTEST(C273, "Network Interfaces Slow Link Modes"), "ホストのネットワークインターフェースの低速リンクモード検出", _xlfn.REGEXTEST(C273, "Host Memory Swapping"), "ホストのメモリのスワップ発生状態", TRUE, "要手動確認")</f>
        <v>ログ出力状態・設定監視</v>
      </c>
      <c r="H273" s="479" t="s">
        <v>775</v>
      </c>
    </row>
    <row r="274" spans="1:8" ht="16.899999999999999">
      <c r="A274" s="514"/>
      <c r="B274" s="473"/>
      <c r="C274" s="471" t="s">
        <v>1052</v>
      </c>
      <c r="D274" s="471" t="s">
        <v>772</v>
      </c>
      <c r="E274" s="471" t="s">
        <v>1047</v>
      </c>
      <c r="F274" s="471"/>
      <c r="G274" s="471" t="str" cm="1">
        <f t="array" ref="G274">_xlfn.IFS(C274 = "", "", _xlfn.REGEXTEST(C274, "Service Metric Migrator Minimum Consecutive Successful Checks"), "サービスメトリック移行ツールの連続正常チェック最小回数", _xlfn.REGEXTEST(C274, "Rebalancing"), "リバランシング（データ再配置）状態", _xlfn.REGEXTEST(C274, "Temporary Dump Directory"), "一時ダンプディレクトリの監視", _xlfn.REGEXTEST(C274, "Safemode Extension"), "セーフモード延長状態", _xlfn.REGEXTEST(C274, "Client Idle"), "クライアントのアイドル（待機）状態", _xlfn.REGEXTEST(C274, "Available Space Policy Balanced"), "空き容量ポリシーの分散バランス状態", _xlfn.REGEXTEST(C274, "Filesystem Checkpoint Transaction"), "ファイルシステムのチェックポイントトランザクション", _xlfn.REGEXTEST(C274, "Blocks With Corrupt Replicas Monitoring"), "破損レプリカを持つブロックの監視", _xlfn.REGEXTEST(C274, "Missing Block Monitoring"), "消失（ミッシング）ブロックの監視", _xlfn.REGEXTEST(C274, "Under-replicated Block Monitoring"), "レプリカ数不足ブロックの監視", _xlfn.REGEXTEST(C274, "HDFS Free Space Monitoring"), "HDFSの空き容量監視", _xlfn.REGEXTEST(C274, "DataNode Monitoring"), "DataNodeの稼働状態監視", _xlfn.REGEXTEST(C274, "Rules to Extract Events from Log Files"), "ログファイルからのイベント抽出ルール設定", _xlfn.REGEXTEST(C274, "Free Space Monitoring$"), "空き容量監視（一般設定）", _xlfn.REGEXTEST(C274, "Transceivers Usage"), "トランシーバー使用量（データ転送スレッド数）", _xlfn.REGEXTEST(C274, "Volume Failures"), "ボリューム障害（ディスクエラー）数", _xlfn.REGEXTEST(C274, "Block Count"), "ブロック総数", _xlfn.REGEXTEST(C274, "Audit Failure"), "監査（オーディット）ログの失敗イベント", _xlfn.REGEXTEST(C274, "Web Metric Collection Duration"), "Webメトリック収集の所要時間", _xlfn.REGEXTEST(C274, "Pause Duration"), "一時停止（ポーズ）の所要時間", _xlfn.REGEXTEST(C274, "Fsync Latency"), "Fsync（ディスク同期）のレイテンシ", _xlfn.REGEXTEST(C274, "Free Space Monitoring Absolute"), "空き容量（絶対値）", _xlfn.REGEXTEST(C274, "Free Space Monitoring Percentage"), "空き容量割合（%）", _xlfn.REGEXTEST(C274, "Age Monitoring"), "経過時間の監視", _xlfn.REGEXTEST(C274, "Transactions Monitoring"), "トランザクション数の監視", _xlfn.REGEXTEST(C274, "RPC Latency"), "RPC（遠隔手続き呼出し）のレイテンシ", _xlfn.REGEXTEST(C274, "Directory Failures"), "ディレクトリ障害数", _xlfn.REGEXTEST(C274, "Out-Of-Sync JournalNodes"), "同期ズレが発生しているJournalNode数", _xlfn.REGEXTEST(C274, "Safemode Threshold Percentage"), "セーフモード解除閾値の割合（%）", _xlfn.REGEXTEST(C274, "Kerberos Ticket Renewer Monitoring"), "Kerberosチケット更新プロセスの稼働状態監視", _xlfn.REGEXTEST(C274, "Load Balancer Monitoring"), "ロードバランサーの稼働状態監視", _xlfn.REGEXTEST(C274, "Navigator Audit Failure"), "Cloudera Navigator監査ログの失敗イベント", _xlfn.REGEXTEST(C274, "Schema Registry Server Monitoring"), "Schema Registry Serverの稼働状態監視", _xlfn.REGEXTEST(C274, "SRM Service Monitoring"), "SRMサービスの稼働状態監視", _xlfn.REGEXTEST(C274, "SRM Driver Monitoring"), "SRMドライバーの稼働状態監視", _xlfn.REGEXTEST(C274, "Loggin"), "ログ出力状態・設定監視", _xlfn.REGEXTEST(C274, "Server Monitoring"), "サーバーの稼働状態監視", _xlfn.REGEXTEST(C274, "Server Connection Count"), "サーバーの接続数（コネクション数）", _xlfn.REGEXTEST(C274, "Server Outstanding Requests"), "サーバーの未処理リクエスト数（滞留要求数）", _xlfn.REGEXTEST(C274, "Repository Status"), "リポジトリのステータス状態", _xlfn.REGEXTEST(C274, "Monitor Long Running Task"), "長時間実行タスク（ジョブ）の監視", _xlfn.REGEXTEST(C274, "Token requests per second"), "1秒あたりのトークンリクエスト数（要求レート）", _xlfn.REGEXTEST(C274, "Connection Model Score"), "接続モデルスコア（コネクション品質）", _xlfn.REGEXTEST(C274, "Queue swap"), "キューのスワップ発生状態", _xlfn.REGEXTEST(C274, "NiFi Node Monitoring"), "NiFiノードの稼働状態監視", _xlfn.REGEXTEST(C274, "Host Clock Offset"), "ホストのクロックオフセット（時刻同期のズレ）", _xlfn.REGEXTEST(C274, "Memory Overcommit Validation"), "メモリオーバーコミット設定の検証", _xlfn.REGEXTEST(C274, "Gateway Logging"), "ゲートウェイのログ出力設定", _xlfn.REGEXTEST(C274, "CPU Balance"), "CPU使用率の分散バランス状態", _xlfn.REGEXTEST(C274, "Disk Balance"), "ディスク使用量の分散バランス状態", _xlfn.REGEXTEST(C274, "Network Inbound Balance"), "ネットワークインバウンド（受信）の分散バランス状態", _xlfn.REGEXTEST(C274, "Network Outbound Balance"), "ネットワークアウトバウンド（送信）の分散バランス状態", _xlfn.REGEXTEST(C274, "Replica Count Balance"), "レプリカ数の分散バランス状態", _xlfn.REGEXTEST(C274, "Disk Capacity"), "ディスク総容量の限界・使用容量", _xlfn.REGEXTEST(C274, "CPU Capacity"), "CPU総処理能力の限界・使用量", _xlfn.REGEXTEST(C274, "Network Inbound Capacity"), "ネットワークインバウンド（受信）帯域の限界・使用量", _xlfn.REGEXTEST(C274, "Network Outbound Capacity"), "ネットワークアウトバウンド（送信）帯域の限界・使用量", _xlfn.REGEXTEST(C274, "Leader Replica Count Balance"), "リーダーレプリカ数の分散バランス状態", _xlfn.REGEXTEST(C274, "Host DNS Resolution Duration"), "ホストのDNS名前解決の所要時間", _xlfn.REGEXTEST(C274, "TLS Certificate Expiry"), "TLS証明書の有効期限切れ", _xlfn.REGEXTEST(C274, "Host Entropy"), "ホストのエントロピー（乱数生成能力）の不足", _xlfn.REGEXTEST(C274, "File Descriptor"), "プロセスのファイルディスクリプタ使用率", _xlfn.REGEXTEST(C274, "Unexpected Exits"), "プロセスの異常終了（予期せぬ停止）", _xlfn.REGEXTEST(C274, "Swap Memory Thresholds"), "プロセスのスワップメモリ使用量", _xlfn.REGEXTEST(C274, "Swap Memory Usage Rate"), "スワップメモリ使用量の変化率（増加速度）", _xlfn.REGEXTEST(C274, "Log Directory Free Space.*Absolute"), "ログディレクトリの空き容量（絶対値）", _xlfn.REGEXTEST(C274, "Log Directory Free Space.*Percentage"), "ログディレクトリの空き容量割合（%）", _xlfn.REGEXTEST(C274, "Heap Dump Directory Free Space.*Absolute"), "ヒープダンプディレクトリの空き容量（絶対値）", _xlfn.REGEXTEST(C274, "Heap Dump Directory Free Space.*Percentage"), "ヒープダンプディレクトリの空き容量割合（%）", _xlfn.REGEXTEST(C274, "Data Directory Free Space.*Absolute"), "データディレクトリの空き容量（絶対値）", _xlfn.REGEXTEST(C274, "Data Directory Free Space.*Percentage"), "データディレクトリの空き容量割合（%）", _xlfn.REGEXTEST(C274, "Transaction Log Directory Free Space.*Absolute"), "トランザクションログディレクトリの空き容量（絶対値）", _xlfn.REGEXTEST(C274, "Logging Threshold|Logger Threshold"), "ログ出力レベルの閾値設定", _xlfn.REGEXTEST(C274, "Enable.*Alerts"), "ヘルスアラートの有効化状態", _xlfn.REGEXTEST(C274, "Triggers"), "カスタムアラート条件（トリガー設定）", _xlfn.REGEXTEST(C274, "Healthy Kafka Broker"), "Kafka Brokerの健全ノード割合（稼働率）", _xlfn.REGEXTEST(C274, "Healthy Kafka Connect"), "Kafka Connectの健全ノード割合（稼働率）", _xlfn.REGEXTEST(C274, "Healthy KRaft Controller"), "KRaft Controllerの健全ノード割合（稼働率）", _xlfn.REGEXTEST(C274, "Healthy Knox IDBroker"), "Knox IDBrokerの健全ノード割合（稼働率）", _xlfn.REGEXTEST(C274, "Healthy Knox Gateway"), "Knox Gatewayの健全ノード割合（稼働率）", _xlfn.REGEXTEST(C274, "Healthy ZooKeeper Server"), "ZooKeeper Serverの健全ノード割合（稼働率）", _xlfn.REGEXTEST(C274, "Healthy NodeManager"), "NodeManagerの健全ノード割合（稼働率）", _xlfn.REGEXTEST(C274, "Maximum Latency"), "リクエストの最大レイテンシ（処理遅延）", _xlfn.REGEXTEST(C274, "Garbage Collection Duration"), "Javaのガベージコレクション（GC）の所要時間", _xlfn.REGEXTEST(C274, "Spool Directory Usage"), "Rangerプラグインのスプールディレクトリ使用量", _xlfn.REGEXTEST(C274, "Process Directory Free Space Monitoring Absolute"), "プロセスディレクトリの空き容量（絶対値)", _xlfn.REGEXTEST(C274, "Process Directory Free Space.*Percentage"), "プロセスディレクトリの空き容量割合（%）", _xlfn.REGEXTEST(C274, "Parcel Directory Free Space.*Absolute"), "パーセルディレクトリの空き容量（絶対値）", _xlfn.REGEXTEST(C274, "Parcel Directory Free Space.*Percentage"), "パーセルディレクトリの空き容量割合（%）", _xlfn.REGEXTEST(C274, "Host Network Frame Error Percentage"), "ホストのネットワークフレームエラー割合（%）", _xlfn.REGEXTEST(C274, "Network Interfaces Slow Link Modes"), "ホストのネットワークインターフェースの低速リンクモード検出", _xlfn.REGEXTEST(C274, "Host Memory Swapping"), "ホストのメモリのスワップ発生状態", TRUE, "要手動確認")</f>
        <v>ログ出力状態・設定監視</v>
      </c>
      <c r="H274" s="479" t="s">
        <v>775</v>
      </c>
    </row>
    <row r="275" spans="1:8" ht="16.899999999999999">
      <c r="A275" s="514"/>
      <c r="B275" s="473"/>
      <c r="C275" s="471" t="s">
        <v>1053</v>
      </c>
      <c r="D275" s="471" t="s">
        <v>772</v>
      </c>
      <c r="E275" s="471" t="s">
        <v>1054</v>
      </c>
      <c r="F275" s="471"/>
      <c r="G275" s="471" t="str" cm="1">
        <f t="array" ref="G275">_xlfn.IFS(C275 = "", "", _xlfn.REGEXTEST(C275, "Service Metric Migrator Minimum Consecutive Successful Checks"), "サービスメトリック移行ツールの連続正常チェック最小回数", _xlfn.REGEXTEST(C275, "Rebalancing"), "リバランシング（データ再配置）状態", _xlfn.REGEXTEST(C275, "Temporary Dump Directory"), "一時ダンプディレクトリの監視", _xlfn.REGEXTEST(C275, "Safemode Extension"), "セーフモード延長状態", _xlfn.REGEXTEST(C275, "Client Idle"), "クライアントのアイドル（待機）状態", _xlfn.REGEXTEST(C275, "Available Space Policy Balanced"), "空き容量ポリシーの分散バランス状態", _xlfn.REGEXTEST(C275, "Filesystem Checkpoint Transaction"), "ファイルシステムのチェックポイントトランザクション", _xlfn.REGEXTEST(C275, "Blocks With Corrupt Replicas Monitoring"), "破損レプリカを持つブロックの監視", _xlfn.REGEXTEST(C275, "Missing Block Monitoring"), "消失（ミッシング）ブロックの監視", _xlfn.REGEXTEST(C275, "Under-replicated Block Monitoring"), "レプリカ数不足ブロックの監視", _xlfn.REGEXTEST(C275, "HDFS Free Space Monitoring"), "HDFSの空き容量監視", _xlfn.REGEXTEST(C275, "DataNode Monitoring"), "DataNodeの稼働状態監視", _xlfn.REGEXTEST(C275, "Rules to Extract Events from Log Files"), "ログファイルからのイベント抽出ルール設定", _xlfn.REGEXTEST(C275, "Free Space Monitoring$"), "空き容量監視（一般設定）", _xlfn.REGEXTEST(C275, "Transceivers Usage"), "トランシーバー使用量（データ転送スレッド数）", _xlfn.REGEXTEST(C275, "Volume Failures"), "ボリューム障害（ディスクエラー）数", _xlfn.REGEXTEST(C275, "Block Count"), "ブロック総数", _xlfn.REGEXTEST(C275, "Audit Failure"), "監査（オーディット）ログの失敗イベント", _xlfn.REGEXTEST(C275, "Web Metric Collection Duration"), "Webメトリック収集の所要時間", _xlfn.REGEXTEST(C275, "Pause Duration"), "一時停止（ポーズ）の所要時間", _xlfn.REGEXTEST(C275, "Fsync Latency"), "Fsync（ディスク同期）のレイテンシ", _xlfn.REGEXTEST(C275, "Free Space Monitoring Absolute"), "空き容量（絶対値）", _xlfn.REGEXTEST(C275, "Free Space Monitoring Percentage"), "空き容量割合（%）", _xlfn.REGEXTEST(C275, "Age Monitoring"), "経過時間の監視", _xlfn.REGEXTEST(C275, "Transactions Monitoring"), "トランザクション数の監視", _xlfn.REGEXTEST(C275, "RPC Latency"), "RPC（遠隔手続き呼出し）のレイテンシ", _xlfn.REGEXTEST(C275, "Directory Failures"), "ディレクトリ障害数", _xlfn.REGEXTEST(C275, "Out-Of-Sync JournalNodes"), "同期ズレが発生しているJournalNode数", _xlfn.REGEXTEST(C275, "Safemode Threshold Percentage"), "セーフモード解除閾値の割合（%）", _xlfn.REGEXTEST(C275, "Kerberos Ticket Renewer Monitoring"), "Kerberosチケット更新プロセスの稼働状態監視", _xlfn.REGEXTEST(C275, "Load Balancer Monitoring"), "ロードバランサーの稼働状態監視", _xlfn.REGEXTEST(C275, "Navigator Audit Failure"), "Cloudera Navigator監査ログの失敗イベント", _xlfn.REGEXTEST(C275, "Schema Registry Server Monitoring"), "Schema Registry Serverの稼働状態監視", _xlfn.REGEXTEST(C275, "SRM Service Monitoring"), "SRMサービスの稼働状態監視", _xlfn.REGEXTEST(C275, "SRM Driver Monitoring"), "SRMドライバーの稼働状態監視", _xlfn.REGEXTEST(C275, "Loggin"), "ログ出力状態・設定監視", _xlfn.REGEXTEST(C275, "Server Monitoring"), "サーバーの稼働状態監視", _xlfn.REGEXTEST(C275, "Server Connection Count"), "サーバーの接続数（コネクション数）", _xlfn.REGEXTEST(C275, "Server Outstanding Requests"), "サーバーの未処理リクエスト数（滞留要求数）", _xlfn.REGEXTEST(C275, "Repository Status"), "リポジトリのステータス状態", _xlfn.REGEXTEST(C275, "Monitor Long Running Task"), "長時間実行タスク（ジョブ）の監視", _xlfn.REGEXTEST(C275, "Token requests per second"), "1秒あたりのトークンリクエスト数（要求レート）", _xlfn.REGEXTEST(C275, "Connection Model Score"), "接続モデルスコア（コネクション品質）", _xlfn.REGEXTEST(C275, "Queue swap"), "キューのスワップ発生状態", _xlfn.REGEXTEST(C275, "NiFi Node Monitoring"), "NiFiノードの稼働状態監視", _xlfn.REGEXTEST(C275, "Host Clock Offset"), "ホストのクロックオフセット（時刻同期のズレ）", _xlfn.REGEXTEST(C275, "Memory Overcommit Validation"), "メモリオーバーコミット設定の検証", _xlfn.REGEXTEST(C275, "Gateway Logging"), "ゲートウェイのログ出力設定", _xlfn.REGEXTEST(C275, "CPU Balance"), "CPU使用率の分散バランス状態", _xlfn.REGEXTEST(C275, "Disk Balance"), "ディスク使用量の分散バランス状態", _xlfn.REGEXTEST(C275, "Network Inbound Balance"), "ネットワークインバウンド（受信）の分散バランス状態", _xlfn.REGEXTEST(C275, "Network Outbound Balance"), "ネットワークアウトバウンド（送信）の分散バランス状態", _xlfn.REGEXTEST(C275, "Replica Count Balance"), "レプリカ数の分散バランス状態", _xlfn.REGEXTEST(C275, "Disk Capacity"), "ディスク総容量の限界・使用容量", _xlfn.REGEXTEST(C275, "CPU Capacity"), "CPU総処理能力の限界・使用量", _xlfn.REGEXTEST(C275, "Network Inbound Capacity"), "ネットワークインバウンド（受信）帯域の限界・使用量", _xlfn.REGEXTEST(C275, "Network Outbound Capacity"), "ネットワークアウトバウンド（送信）帯域の限界・使用量", _xlfn.REGEXTEST(C275, "Leader Replica Count Balance"), "リーダーレプリカ数の分散バランス状態", _xlfn.REGEXTEST(C275, "Host DNS Resolution Duration"), "ホストのDNS名前解決の所要時間", _xlfn.REGEXTEST(C275, "TLS Certificate Expiry"), "TLS証明書の有効期限切れ", _xlfn.REGEXTEST(C275, "Host Entropy"), "ホストのエントロピー（乱数生成能力）の不足", _xlfn.REGEXTEST(C275, "File Descriptor"), "プロセスのファイルディスクリプタ使用率", _xlfn.REGEXTEST(C275, "Unexpected Exits"), "プロセスの異常終了（予期せぬ停止）", _xlfn.REGEXTEST(C275, "Swap Memory Thresholds"), "プロセスのスワップメモリ使用量", _xlfn.REGEXTEST(C275, "Swap Memory Usage Rate"), "スワップメモリ使用量の変化率（増加速度）", _xlfn.REGEXTEST(C275, "Log Directory Free Space.*Absolute"), "ログディレクトリの空き容量（絶対値）", _xlfn.REGEXTEST(C275, "Log Directory Free Space.*Percentage"), "ログディレクトリの空き容量割合（%）", _xlfn.REGEXTEST(C275, "Heap Dump Directory Free Space.*Absolute"), "ヒープダンプディレクトリの空き容量（絶対値）", _xlfn.REGEXTEST(C275, "Heap Dump Directory Free Space.*Percentage"), "ヒープダンプディレクトリの空き容量割合（%）", _xlfn.REGEXTEST(C275, "Data Directory Free Space.*Absolute"), "データディレクトリの空き容量（絶対値）", _xlfn.REGEXTEST(C275, "Data Directory Free Space.*Percentage"), "データディレクトリの空き容量割合（%）", _xlfn.REGEXTEST(C275, "Transaction Log Directory Free Space.*Absolute"), "トランザクションログディレクトリの空き容量（絶対値）", _xlfn.REGEXTEST(C275, "Logging Threshold|Logger Threshold"), "ログ出力レベルの閾値設定", _xlfn.REGEXTEST(C275, "Enable.*Alerts"), "ヘルスアラートの有効化状態", _xlfn.REGEXTEST(C275, "Triggers"), "カスタムアラート条件（トリガー設定）", _xlfn.REGEXTEST(C275, "Healthy Kafka Broker"), "Kafka Brokerの健全ノード割合（稼働率）", _xlfn.REGEXTEST(C275, "Healthy Kafka Connect"), "Kafka Connectの健全ノード割合（稼働率）", _xlfn.REGEXTEST(C275, "Healthy KRaft Controller"), "KRaft Controllerの健全ノード割合（稼働率）", _xlfn.REGEXTEST(C275, "Healthy Knox IDBroker"), "Knox IDBrokerの健全ノード割合（稼働率）", _xlfn.REGEXTEST(C275, "Healthy Knox Gateway"), "Knox Gatewayの健全ノード割合（稼働率）", _xlfn.REGEXTEST(C275, "Healthy ZooKeeper Server"), "ZooKeeper Serverの健全ノード割合（稼働率）", _xlfn.REGEXTEST(C275, "Healthy NodeManager"), "NodeManagerの健全ノード割合（稼働率）", _xlfn.REGEXTEST(C275, "Maximum Latency"), "リクエストの最大レイテンシ（処理遅延）", _xlfn.REGEXTEST(C275, "Garbage Collection Duration"), "Javaのガベージコレクション（GC）の所要時間", _xlfn.REGEXTEST(C275, "Spool Directory Usage"), "Rangerプラグインのスプールディレクトリ使用量", _xlfn.REGEXTEST(C275, "Process Directory Free Space Monitoring Absolute"), "プロセスディレクトリの空き容量（絶対値)", _xlfn.REGEXTEST(C275, "Process Directory Free Space.*Percentage"), "プロセスディレクトリの空き容量割合（%）", _xlfn.REGEXTEST(C275, "Parcel Directory Free Space.*Absolute"), "パーセルディレクトリの空き容量（絶対値）", _xlfn.REGEXTEST(C275, "Parcel Directory Free Space.*Percentage"), "パーセルディレクトリの空き容量割合（%）", _xlfn.REGEXTEST(C275, "Host Network Frame Error Percentage"), "ホストのネットワークフレームエラー割合（%）", _xlfn.REGEXTEST(C275, "Network Interfaces Slow Link Modes"), "ホストのネットワークインターフェースの低速リンクモード検出", _xlfn.REGEXTEST(C275, "Host Memory Swapping"), "ホストのメモリのスワップ発生状態", TRUE, "要手動確認")</f>
        <v>ログ出力状態・設定監視</v>
      </c>
      <c r="H275" s="479" t="s">
        <v>775</v>
      </c>
    </row>
    <row r="276" spans="1:8" ht="16.899999999999999">
      <c r="A276" s="514"/>
      <c r="B276" s="473"/>
      <c r="C276" s="471" t="s">
        <v>771</v>
      </c>
      <c r="D276" s="471" t="s">
        <v>772</v>
      </c>
      <c r="E276" s="471" t="s">
        <v>773</v>
      </c>
      <c r="F276" s="471"/>
      <c r="G276" s="471" t="str" cm="1">
        <f t="array" ref="G276">_xlfn.IFS(C276 = "", "", _xlfn.REGEXTEST(C276, "Service Metric Migrator Minimum Consecutive Successful Checks"), "サービスメトリック移行ツールの連続正常チェック最小回数", _xlfn.REGEXTEST(C276, "Rebalancing"), "リバランシング（データ再配置）状態", _xlfn.REGEXTEST(C276, "Temporary Dump Directory"), "一時ダンプディレクトリの監視", _xlfn.REGEXTEST(C276, "Safemode Extension"), "セーフモード延長状態", _xlfn.REGEXTEST(C276, "Client Idle"), "クライアントのアイドル（待機）状態", _xlfn.REGEXTEST(C276, "Available Space Policy Balanced"), "空き容量ポリシーの分散バランス状態", _xlfn.REGEXTEST(C276, "Filesystem Checkpoint Transaction"), "ファイルシステムのチェックポイントトランザクション", _xlfn.REGEXTEST(C276, "Blocks With Corrupt Replicas Monitoring"), "破損レプリカを持つブロックの監視", _xlfn.REGEXTEST(C276, "Missing Block Monitoring"), "消失（ミッシング）ブロックの監視", _xlfn.REGEXTEST(C276, "Under-replicated Block Monitoring"), "レプリカ数不足ブロックの監視", _xlfn.REGEXTEST(C276, "HDFS Free Space Monitoring"), "HDFSの空き容量監視", _xlfn.REGEXTEST(C276, "DataNode Monitoring"), "DataNodeの稼働状態監視", _xlfn.REGEXTEST(C276, "Rules to Extract Events from Log Files"), "ログファイルからのイベント抽出ルール設定", _xlfn.REGEXTEST(C276, "Free Space Monitoring$"), "空き容量監視（一般設定）", _xlfn.REGEXTEST(C276, "Transceivers Usage"), "トランシーバー使用量（データ転送スレッド数）", _xlfn.REGEXTEST(C276, "Volume Failures"), "ボリューム障害（ディスクエラー）数", _xlfn.REGEXTEST(C276, "Block Count"), "ブロック総数", _xlfn.REGEXTEST(C276, "Audit Failure"), "監査（オーディット）ログの失敗イベント", _xlfn.REGEXTEST(C276, "Web Metric Collection Duration"), "Webメトリック収集の所要時間", _xlfn.REGEXTEST(C276, "Pause Duration"), "一時停止（ポーズ）の所要時間", _xlfn.REGEXTEST(C276, "Fsync Latency"), "Fsync（ディスク同期）のレイテンシ", _xlfn.REGEXTEST(C276, "Free Space Monitoring Absolute"), "空き容量（絶対値）", _xlfn.REGEXTEST(C276, "Free Space Monitoring Percentage"), "空き容量割合（%）", _xlfn.REGEXTEST(C276, "Age Monitoring"), "経過時間の監視", _xlfn.REGEXTEST(C276, "Transactions Monitoring"), "トランザクション数の監視", _xlfn.REGEXTEST(C276, "RPC Latency"), "RPC（遠隔手続き呼出し）のレイテンシ", _xlfn.REGEXTEST(C276, "Directory Failures"), "ディレクトリ障害数", _xlfn.REGEXTEST(C276, "Out-Of-Sync JournalNodes"), "同期ズレが発生しているJournalNode数", _xlfn.REGEXTEST(C276, "Safemode Threshold Percentage"), "セーフモード解除閾値の割合（%）", _xlfn.REGEXTEST(C276, "Kerberos Ticket Renewer Monitoring"), "Kerberosチケット更新プロセスの稼働状態監視", _xlfn.REGEXTEST(C276, "Load Balancer Monitoring"), "ロードバランサーの稼働状態監視", _xlfn.REGEXTEST(C276, "Navigator Audit Failure"), "Cloudera Navigator監査ログの失敗イベント", _xlfn.REGEXTEST(C276, "Schema Registry Server Monitoring"), "Schema Registry Serverの稼働状態監視", _xlfn.REGEXTEST(C276, "SRM Service Monitoring"), "SRMサービスの稼働状態監視", _xlfn.REGEXTEST(C276, "SRM Driver Monitoring"), "SRMドライバーの稼働状態監視", _xlfn.REGEXTEST(C276, "Loggin"), "ログ出力状態・設定監視", _xlfn.REGEXTEST(C276, "Server Monitoring"), "サーバーの稼働状態監視", _xlfn.REGEXTEST(C276, "Server Connection Count"), "サーバーの接続数（コネクション数）", _xlfn.REGEXTEST(C276, "Server Outstanding Requests"), "サーバーの未処理リクエスト数（滞留要求数）", _xlfn.REGEXTEST(C276, "Repository Status"), "リポジトリのステータス状態", _xlfn.REGEXTEST(C276, "Monitor Long Running Task"), "長時間実行タスク（ジョブ）の監視", _xlfn.REGEXTEST(C276, "Token requests per second"), "1秒あたりのトークンリクエスト数（要求レート）", _xlfn.REGEXTEST(C276, "Connection Model Score"), "接続モデルスコア（コネクション品質）", _xlfn.REGEXTEST(C276, "Queue swap"), "キューのスワップ発生状態", _xlfn.REGEXTEST(C276, "NiFi Node Monitoring"), "NiFiノードの稼働状態監視", _xlfn.REGEXTEST(C276, "Host Clock Offset"), "ホストのクロックオフセット（時刻同期のズレ）", _xlfn.REGEXTEST(C276, "Memory Overcommit Validation"), "メモリオーバーコミット設定の検証", _xlfn.REGEXTEST(C276, "Gateway Logging"), "ゲートウェイのログ出力設定", _xlfn.REGEXTEST(C276, "CPU Balance"), "CPU使用率の分散バランス状態", _xlfn.REGEXTEST(C276, "Disk Balance"), "ディスク使用量の分散バランス状態", _xlfn.REGEXTEST(C276, "Network Inbound Balance"), "ネットワークインバウンド（受信）の分散バランス状態", _xlfn.REGEXTEST(C276, "Network Outbound Balance"), "ネットワークアウトバウンド（送信）の分散バランス状態", _xlfn.REGEXTEST(C276, "Replica Count Balance"), "レプリカ数の分散バランス状態", _xlfn.REGEXTEST(C276, "Disk Capacity"), "ディスク総容量の限界・使用容量", _xlfn.REGEXTEST(C276, "CPU Capacity"), "CPU総処理能力の限界・使用量", _xlfn.REGEXTEST(C276, "Network Inbound Capacity"), "ネットワークインバウンド（受信）帯域の限界・使用量", _xlfn.REGEXTEST(C276, "Network Outbound Capacity"), "ネットワークアウトバウンド（送信）帯域の限界・使用量", _xlfn.REGEXTEST(C276, "Leader Replica Count Balance"), "リーダーレプリカ数の分散バランス状態", _xlfn.REGEXTEST(C276, "Host DNS Resolution Duration"), "ホストのDNS名前解決の所要時間", _xlfn.REGEXTEST(C276, "TLS Certificate Expiry"), "TLS証明書の有効期限切れ", _xlfn.REGEXTEST(C276, "Host Entropy"), "ホストのエントロピー（乱数生成能力）の不足", _xlfn.REGEXTEST(C276, "File Descriptor"), "プロセスのファイルディスクリプタ使用率", _xlfn.REGEXTEST(C276, "Unexpected Exits"), "プロセスの異常終了（予期せぬ停止）", _xlfn.REGEXTEST(C276, "Swap Memory Thresholds"), "プロセスのスワップメモリ使用量", _xlfn.REGEXTEST(C276, "Swap Memory Usage Rate"), "スワップメモリ使用量の変化率（増加速度）", _xlfn.REGEXTEST(C276, "Log Directory Free Space.*Absolute"), "ログディレクトリの空き容量（絶対値）", _xlfn.REGEXTEST(C276, "Log Directory Free Space.*Percentage"), "ログディレクトリの空き容量割合（%）", _xlfn.REGEXTEST(C276, "Heap Dump Directory Free Space.*Absolute"), "ヒープダンプディレクトリの空き容量（絶対値）", _xlfn.REGEXTEST(C276, "Heap Dump Directory Free Space.*Percentage"), "ヒープダンプディレクトリの空き容量割合（%）", _xlfn.REGEXTEST(C276, "Data Directory Free Space.*Absolute"), "データディレクトリの空き容量（絶対値）", _xlfn.REGEXTEST(C276, "Data Directory Free Space.*Percentage"), "データディレクトリの空き容量割合（%）", _xlfn.REGEXTEST(C276, "Transaction Log Directory Free Space.*Absolute"), "トランザクションログディレクトリの空き容量（絶対値）", _xlfn.REGEXTEST(C276, "Logging Threshold|Logger Threshold"), "ログ出力レベルの閾値設定", _xlfn.REGEXTEST(C276, "Enable.*Alerts"), "ヘルスアラートの有効化状態", _xlfn.REGEXTEST(C276, "Triggers"), "カスタムアラート条件（トリガー設定）", _xlfn.REGEXTEST(C276, "Healthy Kafka Broker"), "Kafka Brokerの健全ノード割合（稼働率）", _xlfn.REGEXTEST(C276, "Healthy Kafka Connect"), "Kafka Connectの健全ノード割合（稼働率）", _xlfn.REGEXTEST(C276, "Healthy KRaft Controller"), "KRaft Controllerの健全ノード割合（稼働率）", _xlfn.REGEXTEST(C276, "Healthy Knox IDBroker"), "Knox IDBrokerの健全ノード割合（稼働率）", _xlfn.REGEXTEST(C276, "Healthy Knox Gateway"), "Knox Gatewayの健全ノード割合（稼働率）", _xlfn.REGEXTEST(C276, "Healthy ZooKeeper Server"), "ZooKeeper Serverの健全ノード割合（稼働率）", _xlfn.REGEXTEST(C276, "Healthy NodeManager"), "NodeManagerの健全ノード割合（稼働率）", _xlfn.REGEXTEST(C276, "Maximum Latency"), "リクエストの最大レイテンシ（処理遅延）", _xlfn.REGEXTEST(C276, "Garbage Collection Duration"), "Javaのガベージコレクション（GC）の所要時間", _xlfn.REGEXTEST(C276, "Spool Directory Usage"), "Rangerプラグインのスプールディレクトリ使用量", _xlfn.REGEXTEST(C276, "Process Directory Free Space Monitoring Absolute"), "プロセスディレクトリの空き容量（絶対値)", _xlfn.REGEXTEST(C276, "Process Directory Free Space.*Percentage"), "プロセスディレクトリの空き容量割合（%）", _xlfn.REGEXTEST(C276, "Parcel Directory Free Space.*Absolute"), "パーセルディレクトリの空き容量（絶対値）", _xlfn.REGEXTEST(C276, "Parcel Directory Free Space.*Percentage"), "パーセルディレクトリの空き容量割合（%）", _xlfn.REGEXTEST(C276, "Host Network Frame Error Percentage"), "ホストのネットワークフレームエラー割合（%）", _xlfn.REGEXTEST(C276, "Network Interfaces Slow Link Modes"), "ホストのネットワークインターフェースの低速リンクモード検出", _xlfn.REGEXTEST(C276, "Host Memory Swapping"), "ホストのメモリのスワップ発生状態", TRUE, "要手動確認")</f>
        <v>ログ出力状態・設定監視</v>
      </c>
      <c r="H276" s="479" t="s">
        <v>775</v>
      </c>
    </row>
    <row r="277" spans="1:8" ht="16.899999999999999">
      <c r="A277" s="514"/>
      <c r="B277" s="473"/>
      <c r="C277" s="471" t="s">
        <v>1055</v>
      </c>
      <c r="D277" s="471" t="s">
        <v>772</v>
      </c>
      <c r="E277" s="471" t="s">
        <v>1056</v>
      </c>
      <c r="F277" s="471"/>
      <c r="G277" s="471" t="str" cm="1">
        <f t="array" ref="G277">_xlfn.IFS(C277 = "", "", _xlfn.REGEXTEST(C277, "Service Metric Migrator Minimum Consecutive Successful Checks"), "サービスメトリック移行ツールの連続正常チェック最小回数", _xlfn.REGEXTEST(C277, "Rebalancing"), "リバランシング（データ再配置）状態", _xlfn.REGEXTEST(C277, "Temporary Dump Directory"), "一時ダンプディレクトリの監視", _xlfn.REGEXTEST(C277, "Safemode Extension"), "セーフモード延長状態", _xlfn.REGEXTEST(C277, "Client Idle"), "クライアントのアイドル（待機）状態", _xlfn.REGEXTEST(C277, "Available Space Policy Balanced"), "空き容量ポリシーの分散バランス状態", _xlfn.REGEXTEST(C277, "Filesystem Checkpoint Transaction"), "ファイルシステムのチェックポイントトランザクション", _xlfn.REGEXTEST(C277, "Blocks With Corrupt Replicas Monitoring"), "破損レプリカを持つブロックの監視", _xlfn.REGEXTEST(C277, "Missing Block Monitoring"), "消失（ミッシング）ブロックの監視", _xlfn.REGEXTEST(C277, "Under-replicated Block Monitoring"), "レプリカ数不足ブロックの監視", _xlfn.REGEXTEST(C277, "HDFS Free Space Monitoring"), "HDFSの空き容量監視", _xlfn.REGEXTEST(C277, "DataNode Monitoring"), "DataNodeの稼働状態監視", _xlfn.REGEXTEST(C277, "Rules to Extract Events from Log Files"), "ログファイルからのイベント抽出ルール設定", _xlfn.REGEXTEST(C277, "Free Space Monitoring$"), "空き容量監視（一般設定）", _xlfn.REGEXTEST(C277, "Transceivers Usage"), "トランシーバー使用量（データ転送スレッド数）", _xlfn.REGEXTEST(C277, "Volume Failures"), "ボリューム障害（ディスクエラー）数", _xlfn.REGEXTEST(C277, "Block Count"), "ブロック総数", _xlfn.REGEXTEST(C277, "Audit Failure"), "監査（オーディット）ログの失敗イベント", _xlfn.REGEXTEST(C277, "Web Metric Collection Duration"), "Webメトリック収集の所要時間", _xlfn.REGEXTEST(C277, "Pause Duration"), "一時停止（ポーズ）の所要時間", _xlfn.REGEXTEST(C277, "Fsync Latency"), "Fsync（ディスク同期）のレイテンシ", _xlfn.REGEXTEST(C277, "Free Space Monitoring Absolute"), "空き容量（絶対値）", _xlfn.REGEXTEST(C277, "Free Space Monitoring Percentage"), "空き容量割合（%）", _xlfn.REGEXTEST(C277, "Age Monitoring"), "経過時間の監視", _xlfn.REGEXTEST(C277, "Transactions Monitoring"), "トランザクション数の監視", _xlfn.REGEXTEST(C277, "RPC Latency"), "RPC（遠隔手続き呼出し）のレイテンシ", _xlfn.REGEXTEST(C277, "Directory Failures"), "ディレクトリ障害数", _xlfn.REGEXTEST(C277, "Out-Of-Sync JournalNodes"), "同期ズレが発生しているJournalNode数", _xlfn.REGEXTEST(C277, "Safemode Threshold Percentage"), "セーフモード解除閾値の割合（%）", _xlfn.REGEXTEST(C277, "Kerberos Ticket Renewer Monitoring"), "Kerberosチケット更新プロセスの稼働状態監視", _xlfn.REGEXTEST(C277, "Load Balancer Monitoring"), "ロードバランサーの稼働状態監視", _xlfn.REGEXTEST(C277, "Navigator Audit Failure"), "Cloudera Navigator監査ログの失敗イベント", _xlfn.REGEXTEST(C277, "Schema Registry Server Monitoring"), "Schema Registry Serverの稼働状態監視", _xlfn.REGEXTEST(C277, "SRM Service Monitoring"), "SRMサービスの稼働状態監視", _xlfn.REGEXTEST(C277, "SRM Driver Monitoring"), "SRMドライバーの稼働状態監視", _xlfn.REGEXTEST(C277, "Loggin"), "ログ出力状態・設定監視", _xlfn.REGEXTEST(C277, "Server Monitoring"), "サーバーの稼働状態監視", _xlfn.REGEXTEST(C277, "Server Connection Count"), "サーバーの接続数（コネクション数）", _xlfn.REGEXTEST(C277, "Server Outstanding Requests"), "サーバーの未処理リクエスト数（滞留要求数）", _xlfn.REGEXTEST(C277, "Repository Status"), "リポジトリのステータス状態", _xlfn.REGEXTEST(C277, "Monitor Long Running Task"), "長時間実行タスク（ジョブ）の監視", _xlfn.REGEXTEST(C277, "Token requests per second"), "1秒あたりのトークンリクエスト数（要求レート）", _xlfn.REGEXTEST(C277, "Connection Model Score"), "接続モデルスコア（コネクション品質）", _xlfn.REGEXTEST(C277, "Queue swap"), "キューのスワップ発生状態", _xlfn.REGEXTEST(C277, "NiFi Node Monitoring"), "NiFiノードの稼働状態監視", _xlfn.REGEXTEST(C277, "Host Clock Offset"), "ホストのクロックオフセット（時刻同期のズレ）", _xlfn.REGEXTEST(C277, "Memory Overcommit Validation"), "メモリオーバーコミット設定の検証", _xlfn.REGEXTEST(C277, "Gateway Logging"), "ゲートウェイのログ出力設定", _xlfn.REGEXTEST(C277, "CPU Balance"), "CPU使用率の分散バランス状態", _xlfn.REGEXTEST(C277, "Disk Balance"), "ディスク使用量の分散バランス状態", _xlfn.REGEXTEST(C277, "Network Inbound Balance"), "ネットワークインバウンド（受信）の分散バランス状態", _xlfn.REGEXTEST(C277, "Network Outbound Balance"), "ネットワークアウトバウンド（送信）の分散バランス状態", _xlfn.REGEXTEST(C277, "Replica Count Balance"), "レプリカ数の分散バランス状態", _xlfn.REGEXTEST(C277, "Disk Capacity"), "ディスク総容量の限界・使用容量", _xlfn.REGEXTEST(C277, "CPU Capacity"), "CPU総処理能力の限界・使用量", _xlfn.REGEXTEST(C277, "Network Inbound Capacity"), "ネットワークインバウンド（受信）帯域の限界・使用量", _xlfn.REGEXTEST(C277, "Network Outbound Capacity"), "ネットワークアウトバウンド（送信）帯域の限界・使用量", _xlfn.REGEXTEST(C277, "Leader Replica Count Balance"), "リーダーレプリカ数の分散バランス状態", _xlfn.REGEXTEST(C277, "Host DNS Resolution Duration"), "ホストのDNS名前解決の所要時間", _xlfn.REGEXTEST(C277, "TLS Certificate Expiry"), "TLS証明書の有効期限切れ", _xlfn.REGEXTEST(C277, "Host Entropy"), "ホストのエントロピー（乱数生成能力）の不足", _xlfn.REGEXTEST(C277, "File Descriptor"), "プロセスのファイルディスクリプタ使用率", _xlfn.REGEXTEST(C277, "Unexpected Exits"), "プロセスの異常終了（予期せぬ停止）", _xlfn.REGEXTEST(C277, "Swap Memory Thresholds"), "プロセスのスワップメモリ使用量", _xlfn.REGEXTEST(C277, "Swap Memory Usage Rate"), "スワップメモリ使用量の変化率（増加速度）", _xlfn.REGEXTEST(C277, "Log Directory Free Space.*Absolute"), "ログディレクトリの空き容量（絶対値）", _xlfn.REGEXTEST(C277, "Log Directory Free Space.*Percentage"), "ログディレクトリの空き容量割合（%）", _xlfn.REGEXTEST(C277, "Heap Dump Directory Free Space.*Absolute"), "ヒープダンプディレクトリの空き容量（絶対値）", _xlfn.REGEXTEST(C277, "Heap Dump Directory Free Space.*Percentage"), "ヒープダンプディレクトリの空き容量割合（%）", _xlfn.REGEXTEST(C277, "Data Directory Free Space.*Absolute"), "データディレクトリの空き容量（絶対値）", _xlfn.REGEXTEST(C277, "Data Directory Free Space.*Percentage"), "データディレクトリの空き容量割合（%）", _xlfn.REGEXTEST(C277, "Transaction Log Directory Free Space.*Absolute"), "トランザクションログディレクトリの空き容量（絶対値）", _xlfn.REGEXTEST(C277, "Logging Threshold|Logger Threshold"), "ログ出力レベルの閾値設定", _xlfn.REGEXTEST(C277, "Enable.*Alerts"), "ヘルスアラートの有効化状態", _xlfn.REGEXTEST(C277, "Triggers"), "カスタムアラート条件（トリガー設定）", _xlfn.REGEXTEST(C277, "Healthy Kafka Broker"), "Kafka Brokerの健全ノード割合（稼働率）", _xlfn.REGEXTEST(C277, "Healthy Kafka Connect"), "Kafka Connectの健全ノード割合（稼働率）", _xlfn.REGEXTEST(C277, "Healthy KRaft Controller"), "KRaft Controllerの健全ノード割合（稼働率）", _xlfn.REGEXTEST(C277, "Healthy Knox IDBroker"), "Knox IDBrokerの健全ノード割合（稼働率）", _xlfn.REGEXTEST(C277, "Healthy Knox Gateway"), "Knox Gatewayの健全ノード割合（稼働率）", _xlfn.REGEXTEST(C277, "Healthy ZooKeeper Server"), "ZooKeeper Serverの健全ノード割合（稼働率）", _xlfn.REGEXTEST(C277, "Healthy NodeManager"), "NodeManagerの健全ノード割合（稼働率）", _xlfn.REGEXTEST(C277, "Maximum Latency"), "リクエストの最大レイテンシ（処理遅延）", _xlfn.REGEXTEST(C277, "Garbage Collection Duration"), "Javaのガベージコレクション（GC）の所要時間", _xlfn.REGEXTEST(C277, "Spool Directory Usage"), "Rangerプラグインのスプールディレクトリ使用量", _xlfn.REGEXTEST(C277, "Process Directory Free Space Monitoring Absolute"), "プロセスディレクトリの空き容量（絶対値)", _xlfn.REGEXTEST(C277, "Process Directory Free Space.*Percentage"), "プロセスディレクトリの空き容量割合（%）", _xlfn.REGEXTEST(C277, "Parcel Directory Free Space.*Absolute"), "パーセルディレクトリの空き容量（絶対値）", _xlfn.REGEXTEST(C277, "Parcel Directory Free Space.*Percentage"), "パーセルディレクトリの空き容量割合（%）", _xlfn.REGEXTEST(C277, "Host Network Frame Error Percentage"), "ホストのネットワークフレームエラー割合（%）", _xlfn.REGEXTEST(C277, "Network Interfaces Slow Link Modes"), "ホストのネットワークインターフェースの低速リンクモード検出", _xlfn.REGEXTEST(C277, "Host Memory Swapping"), "ホストのメモリのスワップ発生状態", TRUE, "要手動確認")</f>
        <v>ログ出力状態・設定監視</v>
      </c>
      <c r="H277" s="479" t="s">
        <v>775</v>
      </c>
    </row>
    <row r="278" spans="1:8" ht="16.899999999999999">
      <c r="A278" s="514"/>
      <c r="B278" s="473"/>
      <c r="C278" s="471" t="s">
        <v>1057</v>
      </c>
      <c r="D278" s="471" t="s">
        <v>772</v>
      </c>
      <c r="E278" s="471" t="s">
        <v>1058</v>
      </c>
      <c r="F278" s="471"/>
      <c r="G278" s="471" t="str" cm="1">
        <f t="array" ref="G278">_xlfn.IFS(C278 = "", "", _xlfn.REGEXTEST(C278, "Service Metric Migrator Minimum Consecutive Successful Checks"), "サービスメトリック移行ツールの連続正常チェック最小回数", _xlfn.REGEXTEST(C278, "Rebalancing"), "リバランシング（データ再配置）状態", _xlfn.REGEXTEST(C278, "Temporary Dump Directory"), "一時ダンプディレクトリの監視", _xlfn.REGEXTEST(C278, "Safemode Extension"), "セーフモード延長状態", _xlfn.REGEXTEST(C278, "Client Idle"), "クライアントのアイドル（待機）状態", _xlfn.REGEXTEST(C278, "Available Space Policy Balanced"), "空き容量ポリシーの分散バランス状態", _xlfn.REGEXTEST(C278, "Filesystem Checkpoint Transaction"), "ファイルシステムのチェックポイントトランザクション", _xlfn.REGEXTEST(C278, "Blocks With Corrupt Replicas Monitoring"), "破損レプリカを持つブロックの監視", _xlfn.REGEXTEST(C278, "Missing Block Monitoring"), "消失（ミッシング）ブロックの監視", _xlfn.REGEXTEST(C278, "Under-replicated Block Monitoring"), "レプリカ数不足ブロックの監視", _xlfn.REGEXTEST(C278, "HDFS Free Space Monitoring"), "HDFSの空き容量監視", _xlfn.REGEXTEST(C278, "DataNode Monitoring"), "DataNodeの稼働状態監視", _xlfn.REGEXTEST(C278, "Rules to Extract Events from Log Files"), "ログファイルからのイベント抽出ルール設定", _xlfn.REGEXTEST(C278, "Free Space Monitoring$"), "空き容量監視（一般設定）", _xlfn.REGEXTEST(C278, "Transceivers Usage"), "トランシーバー使用量（データ転送スレッド数）", _xlfn.REGEXTEST(C278, "Volume Failures"), "ボリューム障害（ディスクエラー）数", _xlfn.REGEXTEST(C278, "Block Count"), "ブロック総数", _xlfn.REGEXTEST(C278, "Audit Failure"), "監査（オーディット）ログの失敗イベント", _xlfn.REGEXTEST(C278, "Web Metric Collection Duration"), "Webメトリック収集の所要時間", _xlfn.REGEXTEST(C278, "Pause Duration"), "一時停止（ポーズ）の所要時間", _xlfn.REGEXTEST(C278, "Fsync Latency"), "Fsync（ディスク同期）のレイテンシ", _xlfn.REGEXTEST(C278, "Free Space Monitoring Absolute"), "空き容量（絶対値）", _xlfn.REGEXTEST(C278, "Free Space Monitoring Percentage"), "空き容量割合（%）", _xlfn.REGEXTEST(C278, "Age Monitoring"), "経過時間の監視", _xlfn.REGEXTEST(C278, "Transactions Monitoring"), "トランザクション数の監視", _xlfn.REGEXTEST(C278, "RPC Latency"), "RPC（遠隔手続き呼出し）のレイテンシ", _xlfn.REGEXTEST(C278, "Directory Failures"), "ディレクトリ障害数", _xlfn.REGEXTEST(C278, "Out-Of-Sync JournalNodes"), "同期ズレが発生しているJournalNode数", _xlfn.REGEXTEST(C278, "Safemode Threshold Percentage"), "セーフモード解除閾値の割合（%）", _xlfn.REGEXTEST(C278, "Kerberos Ticket Renewer Monitoring"), "Kerberosチケット更新プロセスの稼働状態監視", _xlfn.REGEXTEST(C278, "Load Balancer Monitoring"), "ロードバランサーの稼働状態監視", _xlfn.REGEXTEST(C278, "Navigator Audit Failure"), "Cloudera Navigator監査ログの失敗イベント", _xlfn.REGEXTEST(C278, "Schema Registry Server Monitoring"), "Schema Registry Serverの稼働状態監視", _xlfn.REGEXTEST(C278, "SRM Service Monitoring"), "SRMサービスの稼働状態監視", _xlfn.REGEXTEST(C278, "SRM Driver Monitoring"), "SRMドライバーの稼働状態監視", _xlfn.REGEXTEST(C278, "Loggin"), "ログ出力状態・設定監視", _xlfn.REGEXTEST(C278, "Server Monitoring"), "サーバーの稼働状態監視", _xlfn.REGEXTEST(C278, "Server Connection Count"), "サーバーの接続数（コネクション数）", _xlfn.REGEXTEST(C278, "Server Outstanding Requests"), "サーバーの未処理リクエスト数（滞留要求数）", _xlfn.REGEXTEST(C278, "Repository Status"), "リポジトリのステータス状態", _xlfn.REGEXTEST(C278, "Monitor Long Running Task"), "長時間実行タスク（ジョブ）の監視", _xlfn.REGEXTEST(C278, "Token requests per second"), "1秒あたりのトークンリクエスト数（要求レート）", _xlfn.REGEXTEST(C278, "Connection Model Score"), "接続モデルスコア（コネクション品質）", _xlfn.REGEXTEST(C278, "Queue swap"), "キューのスワップ発生状態", _xlfn.REGEXTEST(C278, "NiFi Node Monitoring"), "NiFiノードの稼働状態監視", _xlfn.REGEXTEST(C278, "Host Clock Offset"), "ホストのクロックオフセット（時刻同期のズレ）", _xlfn.REGEXTEST(C278, "Memory Overcommit Validation"), "メモリオーバーコミット設定の検証", _xlfn.REGEXTEST(C278, "Gateway Logging"), "ゲートウェイのログ出力設定", _xlfn.REGEXTEST(C278, "CPU Balance"), "CPU使用率の分散バランス状態", _xlfn.REGEXTEST(C278, "Disk Balance"), "ディスク使用量の分散バランス状態", _xlfn.REGEXTEST(C278, "Network Inbound Balance"), "ネットワークインバウンド（受信）の分散バランス状態", _xlfn.REGEXTEST(C278, "Network Outbound Balance"), "ネットワークアウトバウンド（送信）の分散バランス状態", _xlfn.REGEXTEST(C278, "Replica Count Balance"), "レプリカ数の分散バランス状態", _xlfn.REGEXTEST(C278, "Disk Capacity"), "ディスク総容量の限界・使用容量", _xlfn.REGEXTEST(C278, "CPU Capacity"), "CPU総処理能力の限界・使用量", _xlfn.REGEXTEST(C278, "Network Inbound Capacity"), "ネットワークインバウンド（受信）帯域の限界・使用量", _xlfn.REGEXTEST(C278, "Network Outbound Capacity"), "ネットワークアウトバウンド（送信）帯域の限界・使用量", _xlfn.REGEXTEST(C278, "Leader Replica Count Balance"), "リーダーレプリカ数の分散バランス状態", _xlfn.REGEXTEST(C278, "Host DNS Resolution Duration"), "ホストのDNS名前解決の所要時間", _xlfn.REGEXTEST(C278, "TLS Certificate Expiry"), "TLS証明書の有効期限切れ", _xlfn.REGEXTEST(C278, "Host Entropy"), "ホストのエントロピー（乱数生成能力）の不足", _xlfn.REGEXTEST(C278, "File Descriptor"), "プロセスのファイルディスクリプタ使用率", _xlfn.REGEXTEST(C278, "Unexpected Exits"), "プロセスの異常終了（予期せぬ停止）", _xlfn.REGEXTEST(C278, "Swap Memory Thresholds"), "プロセスのスワップメモリ使用量", _xlfn.REGEXTEST(C278, "Swap Memory Usage Rate"), "スワップメモリ使用量の変化率（増加速度）", _xlfn.REGEXTEST(C278, "Log Directory Free Space.*Absolute"), "ログディレクトリの空き容量（絶対値）", _xlfn.REGEXTEST(C278, "Log Directory Free Space.*Percentage"), "ログディレクトリの空き容量割合（%）", _xlfn.REGEXTEST(C278, "Heap Dump Directory Free Space.*Absolute"), "ヒープダンプディレクトリの空き容量（絶対値）", _xlfn.REGEXTEST(C278, "Heap Dump Directory Free Space.*Percentage"), "ヒープダンプディレクトリの空き容量割合（%）", _xlfn.REGEXTEST(C278, "Data Directory Free Space.*Absolute"), "データディレクトリの空き容量（絶対値）", _xlfn.REGEXTEST(C278, "Data Directory Free Space.*Percentage"), "データディレクトリの空き容量割合（%）", _xlfn.REGEXTEST(C278, "Transaction Log Directory Free Space.*Absolute"), "トランザクションログディレクトリの空き容量（絶対値）", _xlfn.REGEXTEST(C278, "Logging Threshold|Logger Threshold"), "ログ出力レベルの閾値設定", _xlfn.REGEXTEST(C278, "Enable.*Alerts"), "ヘルスアラートの有効化状態", _xlfn.REGEXTEST(C278, "Triggers"), "カスタムアラート条件（トリガー設定）", _xlfn.REGEXTEST(C278, "Healthy Kafka Broker"), "Kafka Brokerの健全ノード割合（稼働率）", _xlfn.REGEXTEST(C278, "Healthy Kafka Connect"), "Kafka Connectの健全ノード割合（稼働率）", _xlfn.REGEXTEST(C278, "Healthy KRaft Controller"), "KRaft Controllerの健全ノード割合（稼働率）", _xlfn.REGEXTEST(C278, "Healthy Knox IDBroker"), "Knox IDBrokerの健全ノード割合（稼働率）", _xlfn.REGEXTEST(C278, "Healthy Knox Gateway"), "Knox Gatewayの健全ノード割合（稼働率）", _xlfn.REGEXTEST(C278, "Healthy ZooKeeper Server"), "ZooKeeper Serverの健全ノード割合（稼働率）", _xlfn.REGEXTEST(C278, "Healthy NodeManager"), "NodeManagerの健全ノード割合（稼働率）", _xlfn.REGEXTEST(C278, "Maximum Latency"), "リクエストの最大レイテンシ（処理遅延）", _xlfn.REGEXTEST(C278, "Garbage Collection Duration"), "Javaのガベージコレクション（GC）の所要時間", _xlfn.REGEXTEST(C278, "Spool Directory Usage"), "Rangerプラグインのスプールディレクトリ使用量", _xlfn.REGEXTEST(C278, "Process Directory Free Space Monitoring Absolute"), "プロセスディレクトリの空き容量（絶対値)", _xlfn.REGEXTEST(C278, "Process Directory Free Space.*Percentage"), "プロセスディレクトリの空き容量割合（%）", _xlfn.REGEXTEST(C278, "Parcel Directory Free Space.*Absolute"), "パーセルディレクトリの空き容量（絶対値）", _xlfn.REGEXTEST(C278, "Parcel Directory Free Space.*Percentage"), "パーセルディレクトリの空き容量割合（%）", _xlfn.REGEXTEST(C278, "Host Network Frame Error Percentage"), "ホストのネットワークフレームエラー割合（%）", _xlfn.REGEXTEST(C278, "Network Interfaces Slow Link Modes"), "ホストのネットワークインターフェースの低速リンクモード検出", _xlfn.REGEXTEST(C278, "Host Memory Swapping"), "ホストのメモリのスワップ発生状態", TRUE, "要手動確認")</f>
        <v>ログ出力状態・設定監視</v>
      </c>
      <c r="H278" s="479" t="s">
        <v>775</v>
      </c>
    </row>
    <row r="279" spans="1:8" ht="16.899999999999999">
      <c r="A279" s="514"/>
      <c r="B279" s="473"/>
      <c r="C279" s="471" t="s">
        <v>1059</v>
      </c>
      <c r="D279" s="471" t="s">
        <v>772</v>
      </c>
      <c r="E279" s="471" t="s">
        <v>1036</v>
      </c>
      <c r="F279" s="471"/>
      <c r="G279" s="471" t="str" cm="1">
        <f t="array" ref="G279">_xlfn.IFS(C279 = "", "", _xlfn.REGEXTEST(C279, "Service Metric Migrator Minimum Consecutive Successful Checks"), "サービスメトリック移行ツールの連続正常チェック最小回数", _xlfn.REGEXTEST(C279, "Rebalancing"), "リバランシング（データ再配置）状態", _xlfn.REGEXTEST(C279, "Temporary Dump Directory"), "一時ダンプディレクトリの監視", _xlfn.REGEXTEST(C279, "Safemode Extension"), "セーフモード延長状態", _xlfn.REGEXTEST(C279, "Client Idle"), "クライアントのアイドル（待機）状態", _xlfn.REGEXTEST(C279, "Available Space Policy Balanced"), "空き容量ポリシーの分散バランス状態", _xlfn.REGEXTEST(C279, "Filesystem Checkpoint Transaction"), "ファイルシステムのチェックポイントトランザクション", _xlfn.REGEXTEST(C279, "Blocks With Corrupt Replicas Monitoring"), "破損レプリカを持つブロックの監視", _xlfn.REGEXTEST(C279, "Missing Block Monitoring"), "消失（ミッシング）ブロックの監視", _xlfn.REGEXTEST(C279, "Under-replicated Block Monitoring"), "レプリカ数不足ブロックの監視", _xlfn.REGEXTEST(C279, "HDFS Free Space Monitoring"), "HDFSの空き容量監視", _xlfn.REGEXTEST(C279, "DataNode Monitoring"), "DataNodeの稼働状態監視", _xlfn.REGEXTEST(C279, "Rules to Extract Events from Log Files"), "ログファイルからのイベント抽出ルール設定", _xlfn.REGEXTEST(C279, "Free Space Monitoring$"), "空き容量監視（一般設定）", _xlfn.REGEXTEST(C279, "Transceivers Usage"), "トランシーバー使用量（データ転送スレッド数）", _xlfn.REGEXTEST(C279, "Volume Failures"), "ボリューム障害（ディスクエラー）数", _xlfn.REGEXTEST(C279, "Block Count"), "ブロック総数", _xlfn.REGEXTEST(C279, "Audit Failure"), "監査（オーディット）ログの失敗イベント", _xlfn.REGEXTEST(C279, "Web Metric Collection Duration"), "Webメトリック収集の所要時間", _xlfn.REGEXTEST(C279, "Pause Duration"), "一時停止（ポーズ）の所要時間", _xlfn.REGEXTEST(C279, "Fsync Latency"), "Fsync（ディスク同期）のレイテンシ", _xlfn.REGEXTEST(C279, "Free Space Monitoring Absolute"), "空き容量（絶対値）", _xlfn.REGEXTEST(C279, "Free Space Monitoring Percentage"), "空き容量割合（%）", _xlfn.REGEXTEST(C279, "Age Monitoring"), "経過時間の監視", _xlfn.REGEXTEST(C279, "Transactions Monitoring"), "トランザクション数の監視", _xlfn.REGEXTEST(C279, "RPC Latency"), "RPC（遠隔手続き呼出し）のレイテンシ", _xlfn.REGEXTEST(C279, "Directory Failures"), "ディレクトリ障害数", _xlfn.REGEXTEST(C279, "Out-Of-Sync JournalNodes"), "同期ズレが発生しているJournalNode数", _xlfn.REGEXTEST(C279, "Safemode Threshold Percentage"), "セーフモード解除閾値の割合（%）", _xlfn.REGEXTEST(C279, "Kerberos Ticket Renewer Monitoring"), "Kerberosチケット更新プロセスの稼働状態監視", _xlfn.REGEXTEST(C279, "Load Balancer Monitoring"), "ロードバランサーの稼働状態監視", _xlfn.REGEXTEST(C279, "Navigator Audit Failure"), "Cloudera Navigator監査ログの失敗イベント", _xlfn.REGEXTEST(C279, "Schema Registry Server Monitoring"), "Schema Registry Serverの稼働状態監視", _xlfn.REGEXTEST(C279, "SRM Service Monitoring"), "SRMサービスの稼働状態監視", _xlfn.REGEXTEST(C279, "SRM Driver Monitoring"), "SRMドライバーの稼働状態監視", _xlfn.REGEXTEST(C279, "Loggin"), "ログ出力状態・設定監視", _xlfn.REGEXTEST(C279, "Server Monitoring"), "サーバーの稼働状態監視", _xlfn.REGEXTEST(C279, "Server Connection Count"), "サーバーの接続数（コネクション数）", _xlfn.REGEXTEST(C279, "Server Outstanding Requests"), "サーバーの未処理リクエスト数（滞留要求数）", _xlfn.REGEXTEST(C279, "Repository Status"), "リポジトリのステータス状態", _xlfn.REGEXTEST(C279, "Monitor Long Running Task"), "長時間実行タスク（ジョブ）の監視", _xlfn.REGEXTEST(C279, "Token requests per second"), "1秒あたりのトークンリクエスト数（要求レート）", _xlfn.REGEXTEST(C279, "Connection Model Score"), "接続モデルスコア（コネクション品質）", _xlfn.REGEXTEST(C279, "Queue swap"), "キューのスワップ発生状態", _xlfn.REGEXTEST(C279, "NiFi Node Monitoring"), "NiFiノードの稼働状態監視", _xlfn.REGEXTEST(C279, "Host Clock Offset"), "ホストのクロックオフセット（時刻同期のズレ）", _xlfn.REGEXTEST(C279, "Memory Overcommit Validation"), "メモリオーバーコミット設定の検証", _xlfn.REGEXTEST(C279, "Gateway Logging"), "ゲートウェイのログ出力設定", _xlfn.REGEXTEST(C279, "CPU Balance"), "CPU使用率の分散バランス状態", _xlfn.REGEXTEST(C279, "Disk Balance"), "ディスク使用量の分散バランス状態", _xlfn.REGEXTEST(C279, "Network Inbound Balance"), "ネットワークインバウンド（受信）の分散バランス状態", _xlfn.REGEXTEST(C279, "Network Outbound Balance"), "ネットワークアウトバウンド（送信）の分散バランス状態", _xlfn.REGEXTEST(C279, "Replica Count Balance"), "レプリカ数の分散バランス状態", _xlfn.REGEXTEST(C279, "Disk Capacity"), "ディスク総容量の限界・使用容量", _xlfn.REGEXTEST(C279, "CPU Capacity"), "CPU総処理能力の限界・使用量", _xlfn.REGEXTEST(C279, "Network Inbound Capacity"), "ネットワークインバウンド（受信）帯域の限界・使用量", _xlfn.REGEXTEST(C279, "Network Outbound Capacity"), "ネットワークアウトバウンド（送信）帯域の限界・使用量", _xlfn.REGEXTEST(C279, "Leader Replica Count Balance"), "リーダーレプリカ数の分散バランス状態", _xlfn.REGEXTEST(C279, "Host DNS Resolution Duration"), "ホストのDNS名前解決の所要時間", _xlfn.REGEXTEST(C279, "TLS Certificate Expiry"), "TLS証明書の有効期限切れ", _xlfn.REGEXTEST(C279, "Host Entropy"), "ホストのエントロピー（乱数生成能力）の不足", _xlfn.REGEXTEST(C279, "File Descriptor"), "プロセスのファイルディスクリプタ使用率", _xlfn.REGEXTEST(C279, "Unexpected Exits"), "プロセスの異常終了（予期せぬ停止）", _xlfn.REGEXTEST(C279, "Swap Memory Thresholds"), "プロセスのスワップメモリ使用量", _xlfn.REGEXTEST(C279, "Swap Memory Usage Rate"), "スワップメモリ使用量の変化率（増加速度）", _xlfn.REGEXTEST(C279, "Log Directory Free Space.*Absolute"), "ログディレクトリの空き容量（絶対値）", _xlfn.REGEXTEST(C279, "Log Directory Free Space.*Percentage"), "ログディレクトリの空き容量割合（%）", _xlfn.REGEXTEST(C279, "Heap Dump Directory Free Space.*Absolute"), "ヒープダンプディレクトリの空き容量（絶対値）", _xlfn.REGEXTEST(C279, "Heap Dump Directory Free Space.*Percentage"), "ヒープダンプディレクトリの空き容量割合（%）", _xlfn.REGEXTEST(C279, "Data Directory Free Space.*Absolute"), "データディレクトリの空き容量（絶対値）", _xlfn.REGEXTEST(C279, "Data Directory Free Space.*Percentage"), "データディレクトリの空き容量割合（%）", _xlfn.REGEXTEST(C279, "Transaction Log Directory Free Space.*Absolute"), "トランザクションログディレクトリの空き容量（絶対値）", _xlfn.REGEXTEST(C279, "Logging Threshold|Logger Threshold"), "ログ出力レベルの閾値設定", _xlfn.REGEXTEST(C279, "Enable.*Alerts"), "ヘルスアラートの有効化状態", _xlfn.REGEXTEST(C279, "Triggers"), "カスタムアラート条件（トリガー設定）", _xlfn.REGEXTEST(C279, "Healthy Kafka Broker"), "Kafka Brokerの健全ノード割合（稼働率）", _xlfn.REGEXTEST(C279, "Healthy Kafka Connect"), "Kafka Connectの健全ノード割合（稼働率）", _xlfn.REGEXTEST(C279, "Healthy KRaft Controller"), "KRaft Controllerの健全ノード割合（稼働率）", _xlfn.REGEXTEST(C279, "Healthy Knox IDBroker"), "Knox IDBrokerの健全ノード割合（稼働率）", _xlfn.REGEXTEST(C279, "Healthy Knox Gateway"), "Knox Gatewayの健全ノード割合（稼働率）", _xlfn.REGEXTEST(C279, "Healthy ZooKeeper Server"), "ZooKeeper Serverの健全ノード割合（稼働率）", _xlfn.REGEXTEST(C279, "Healthy NodeManager"), "NodeManagerの健全ノード割合（稼働率）", _xlfn.REGEXTEST(C279, "Maximum Latency"), "リクエストの最大レイテンシ（処理遅延）", _xlfn.REGEXTEST(C279, "Garbage Collection Duration"), "Javaのガベージコレクション（GC）の所要時間", _xlfn.REGEXTEST(C279, "Spool Directory Usage"), "Rangerプラグインのスプールディレクトリ使用量", _xlfn.REGEXTEST(C279, "Process Directory Free Space Monitoring Absolute"), "プロセスディレクトリの空き容量（絶対値)", _xlfn.REGEXTEST(C279, "Process Directory Free Space.*Percentage"), "プロセスディレクトリの空き容量割合（%）", _xlfn.REGEXTEST(C279, "Parcel Directory Free Space.*Absolute"), "パーセルディレクトリの空き容量（絶対値）", _xlfn.REGEXTEST(C279, "Parcel Directory Free Space.*Percentage"), "パーセルディレクトリの空き容量割合（%）", _xlfn.REGEXTEST(C279, "Host Network Frame Error Percentage"), "ホストのネットワークフレームエラー割合（%）", _xlfn.REGEXTEST(C279, "Network Interfaces Slow Link Modes"), "ホストのネットワークインターフェースの低速リンクモード検出", _xlfn.REGEXTEST(C279, "Host Memory Swapping"), "ホストのメモリのスワップ発生状態", TRUE, "要手動確認")</f>
        <v>ログ出力状態・設定監視</v>
      </c>
      <c r="H279" s="479" t="s">
        <v>775</v>
      </c>
    </row>
    <row r="280" spans="1:8" ht="16.899999999999999">
      <c r="A280" s="514"/>
      <c r="B280" s="473"/>
      <c r="C280" s="471" t="s">
        <v>1060</v>
      </c>
      <c r="D280" s="471" t="s">
        <v>1061</v>
      </c>
      <c r="E280" s="471" t="s">
        <v>1040</v>
      </c>
      <c r="F280" s="471"/>
      <c r="G280" s="471" t="str" cm="1">
        <f t="array" ref="G280">_xlfn.IFS(C280 = "", "", _xlfn.REGEXTEST(C280, "Service Metric Migrator Minimum Consecutive Successful Checks"), "サービスメトリック移行ツールの連続正常チェック最小回数", _xlfn.REGEXTEST(C280, "Rebalancing"), "リバランシング（データ再配置）状態", _xlfn.REGEXTEST(C280, "Temporary Dump Directory"), "一時ダンプディレクトリの監視", _xlfn.REGEXTEST(C280, "Safemode Extension"), "セーフモード延長状態", _xlfn.REGEXTEST(C280, "Client Idle"), "クライアントのアイドル（待機）状態", _xlfn.REGEXTEST(C280, "Available Space Policy Balanced"), "空き容量ポリシーの分散バランス状態", _xlfn.REGEXTEST(C280, "Filesystem Checkpoint Transaction"), "ファイルシステムのチェックポイントトランザクション", _xlfn.REGEXTEST(C280, "Blocks With Corrupt Replicas Monitoring"), "破損レプリカを持つブロックの監視", _xlfn.REGEXTEST(C280, "Missing Block Monitoring"), "消失（ミッシング）ブロックの監視", _xlfn.REGEXTEST(C280, "Under-replicated Block Monitoring"), "レプリカ数不足ブロックの監視", _xlfn.REGEXTEST(C280, "HDFS Free Space Monitoring"), "HDFSの空き容量監視", _xlfn.REGEXTEST(C280, "DataNode Monitoring"), "DataNodeの稼働状態監視", _xlfn.REGEXTEST(C280, "Rules to Extract Events from Log Files"), "ログファイルからのイベント抽出ルール設定", _xlfn.REGEXTEST(C280, "Free Space Monitoring$"), "空き容量監視（一般設定）", _xlfn.REGEXTEST(C280, "Transceivers Usage"), "トランシーバー使用量（データ転送スレッド数）", _xlfn.REGEXTEST(C280, "Volume Failures"), "ボリューム障害（ディスクエラー）数", _xlfn.REGEXTEST(C280, "Block Count"), "ブロック総数", _xlfn.REGEXTEST(C280, "Audit Failure"), "監査（オーディット）ログの失敗イベント", _xlfn.REGEXTEST(C280, "Web Metric Collection Duration"), "Webメトリック収集の所要時間", _xlfn.REGEXTEST(C280, "Pause Duration"), "一時停止（ポーズ）の所要時間", _xlfn.REGEXTEST(C280, "Fsync Latency"), "Fsync（ディスク同期）のレイテンシ", _xlfn.REGEXTEST(C280, "Free Space Monitoring Absolute"), "空き容量（絶対値）", _xlfn.REGEXTEST(C280, "Free Space Monitoring Percentage"), "空き容量割合（%）", _xlfn.REGEXTEST(C280, "Age Monitoring"), "経過時間の監視", _xlfn.REGEXTEST(C280, "Transactions Monitoring"), "トランザクション数の監視", _xlfn.REGEXTEST(C280, "RPC Latency"), "RPC（遠隔手続き呼出し）のレイテンシ", _xlfn.REGEXTEST(C280, "Directory Failures"), "ディレクトリ障害数", _xlfn.REGEXTEST(C280, "Out-Of-Sync JournalNodes"), "同期ズレが発生しているJournalNode数", _xlfn.REGEXTEST(C280, "Safemode Threshold Percentage"), "セーフモード解除閾値の割合（%）", _xlfn.REGEXTEST(C280, "Kerberos Ticket Renewer Monitoring"), "Kerberosチケット更新プロセスの稼働状態監視", _xlfn.REGEXTEST(C280, "Load Balancer Monitoring"), "ロードバランサーの稼働状態監視", _xlfn.REGEXTEST(C280, "Navigator Audit Failure"), "Cloudera Navigator監査ログの失敗イベント", _xlfn.REGEXTEST(C280, "Schema Registry Server Monitoring"), "Schema Registry Serverの稼働状態監視", _xlfn.REGEXTEST(C280, "SRM Service Monitoring"), "SRMサービスの稼働状態監視", _xlfn.REGEXTEST(C280, "SRM Driver Monitoring"), "SRMドライバーの稼働状態監視", _xlfn.REGEXTEST(C280, "Loggin"), "ログ出力状態・設定監視", _xlfn.REGEXTEST(C280, "Server Monitoring"), "サーバーの稼働状態監視", _xlfn.REGEXTEST(C280, "Server Connection Count"), "サーバーの接続数（コネクション数）", _xlfn.REGEXTEST(C280, "Server Outstanding Requests"), "サーバーの未処理リクエスト数（滞留要求数）", _xlfn.REGEXTEST(C280, "Repository Status"), "リポジトリのステータス状態", _xlfn.REGEXTEST(C280, "Monitor Long Running Task"), "長時間実行タスク（ジョブ）の監視", _xlfn.REGEXTEST(C280, "Token requests per second"), "1秒あたりのトークンリクエスト数（要求レート）", _xlfn.REGEXTEST(C280, "Connection Model Score"), "接続モデルスコア（コネクション品質）", _xlfn.REGEXTEST(C280, "Queue swap"), "キューのスワップ発生状態", _xlfn.REGEXTEST(C280, "NiFi Node Monitoring"), "NiFiノードの稼働状態監視", _xlfn.REGEXTEST(C280, "Host Clock Offset"), "ホストのクロックオフセット（時刻同期のズレ）", _xlfn.REGEXTEST(C280, "Memory Overcommit Validation"), "メモリオーバーコミット設定の検証", _xlfn.REGEXTEST(C280, "Gateway Logging"), "ゲートウェイのログ出力設定", _xlfn.REGEXTEST(C280, "CPU Balance"), "CPU使用率の分散バランス状態", _xlfn.REGEXTEST(C280, "Disk Balance"), "ディスク使用量の分散バランス状態", _xlfn.REGEXTEST(C280, "Network Inbound Balance"), "ネットワークインバウンド（受信）の分散バランス状態", _xlfn.REGEXTEST(C280, "Network Outbound Balance"), "ネットワークアウトバウンド（送信）の分散バランス状態", _xlfn.REGEXTEST(C280, "Replica Count Balance"), "レプリカ数の分散バランス状態", _xlfn.REGEXTEST(C280, "Disk Capacity"), "ディスク総容量の限界・使用容量", _xlfn.REGEXTEST(C280, "CPU Capacity"), "CPU総処理能力の限界・使用量", _xlfn.REGEXTEST(C280, "Network Inbound Capacity"), "ネットワークインバウンド（受信）帯域の限界・使用量", _xlfn.REGEXTEST(C280, "Network Outbound Capacity"), "ネットワークアウトバウンド（送信）帯域の限界・使用量", _xlfn.REGEXTEST(C280, "Leader Replica Count Balance"), "リーダーレプリカ数の分散バランス状態", _xlfn.REGEXTEST(C280, "Host DNS Resolution Duration"), "ホストのDNS名前解決の所要時間", _xlfn.REGEXTEST(C280, "TLS Certificate Expiry"), "TLS証明書の有効期限切れ", _xlfn.REGEXTEST(C280, "Host Entropy"), "ホストのエントロピー（乱数生成能力）の不足", _xlfn.REGEXTEST(C280, "File Descriptor"), "プロセスのファイルディスクリプタ使用率", _xlfn.REGEXTEST(C280, "Unexpected Exits"), "プロセスの異常終了（予期せぬ停止）", _xlfn.REGEXTEST(C280, "Swap Memory Thresholds"), "プロセスのスワップメモリ使用量", _xlfn.REGEXTEST(C280, "Swap Memory Usage Rate"), "スワップメモリ使用量の変化率（増加速度）", _xlfn.REGEXTEST(C280, "Log Directory Free Space.*Absolute"), "ログディレクトリの空き容量（絶対値）", _xlfn.REGEXTEST(C280, "Log Directory Free Space.*Percentage"), "ログディレクトリの空き容量割合（%）", _xlfn.REGEXTEST(C280, "Heap Dump Directory Free Space.*Absolute"), "ヒープダンプディレクトリの空き容量（絶対値）", _xlfn.REGEXTEST(C280, "Heap Dump Directory Free Space.*Percentage"), "ヒープダンプディレクトリの空き容量割合（%）", _xlfn.REGEXTEST(C280, "Data Directory Free Space.*Absolute"), "データディレクトリの空き容量（絶対値）", _xlfn.REGEXTEST(C280, "Data Directory Free Space.*Percentage"), "データディレクトリの空き容量割合（%）", _xlfn.REGEXTEST(C280, "Transaction Log Directory Free Space.*Absolute"), "トランザクションログディレクトリの空き容量（絶対値）", _xlfn.REGEXTEST(C280, "Logging Threshold|Logger Threshold"), "ログ出力レベルの閾値設定", _xlfn.REGEXTEST(C280, "Enable.*Alerts"), "ヘルスアラートの有効化状態", _xlfn.REGEXTEST(C280, "Triggers"), "カスタムアラート条件（トリガー設定）", _xlfn.REGEXTEST(C280, "Healthy Kafka Broker"), "Kafka Brokerの健全ノード割合（稼働率）", _xlfn.REGEXTEST(C280, "Healthy Kafka Connect"), "Kafka Connectの健全ノード割合（稼働率）", _xlfn.REGEXTEST(C280, "Healthy KRaft Controller"), "KRaft Controllerの健全ノード割合（稼働率）", _xlfn.REGEXTEST(C280, "Healthy Knox IDBroker"), "Knox IDBrokerの健全ノード割合（稼働率）", _xlfn.REGEXTEST(C280, "Healthy Knox Gateway"), "Knox Gatewayの健全ノード割合（稼働率）", _xlfn.REGEXTEST(C280, "Healthy ZooKeeper Server"), "ZooKeeper Serverの健全ノード割合（稼働率）", _xlfn.REGEXTEST(C280, "Healthy NodeManager"), "NodeManagerの健全ノード割合（稼働率）", _xlfn.REGEXTEST(C280, "Maximum Latency"), "リクエストの最大レイテンシ（処理遅延）", _xlfn.REGEXTEST(C280, "Garbage Collection Duration"), "Javaのガベージコレクション（GC）の所要時間", _xlfn.REGEXTEST(C280, "Spool Directory Usage"), "Rangerプラグインのスプールディレクトリ使用量", _xlfn.REGEXTEST(C280, "Process Directory Free Space Monitoring Absolute"), "プロセスディレクトリの空き容量（絶対値)", _xlfn.REGEXTEST(C280, "Process Directory Free Space.*Percentage"), "プロセスディレクトリの空き容量割合（%）", _xlfn.REGEXTEST(C280, "Parcel Directory Free Space.*Absolute"), "パーセルディレクトリの空き容量（絶対値）", _xlfn.REGEXTEST(C280, "Parcel Directory Free Space.*Percentage"), "パーセルディレクトリの空き容量割合（%）", _xlfn.REGEXTEST(C280, "Host Network Frame Error Percentage"), "ホストのネットワークフレームエラー割合（%）", _xlfn.REGEXTEST(C280, "Network Interfaces Slow Link Modes"), "ホストのネットワークインターフェースの低速リンクモード検出", _xlfn.REGEXTEST(C280, "Host Memory Swapping"), "ホストのメモリのスワップ発生状態", TRUE, "要手動確認")</f>
        <v>ログ出力状態・設定監視</v>
      </c>
      <c r="H280" s="479" t="s">
        <v>1062</v>
      </c>
    </row>
    <row r="281" spans="1:8" ht="16.899999999999999">
      <c r="A281" s="514"/>
      <c r="B281" s="473"/>
      <c r="C281" s="471" t="s">
        <v>1063</v>
      </c>
      <c r="D281" s="471" t="s">
        <v>1064</v>
      </c>
      <c r="E281" s="471" t="s">
        <v>1040</v>
      </c>
      <c r="F281" s="471"/>
      <c r="G281" s="471" t="str" cm="1">
        <f t="array" ref="G281">_xlfn.IFS(C281 = "", "", _xlfn.REGEXTEST(C281, "Service Metric Migrator Minimum Consecutive Successful Checks"), "サービスメトリック移行ツールの連続正常チェック最小回数", _xlfn.REGEXTEST(C281, "Rebalancing"), "リバランシング（データ再配置）状態", _xlfn.REGEXTEST(C281, "Temporary Dump Directory"), "一時ダンプディレクトリの監視", _xlfn.REGEXTEST(C281, "Safemode Extension"), "セーフモード延長状態", _xlfn.REGEXTEST(C281, "Client Idle"), "クライアントのアイドル（待機）状態", _xlfn.REGEXTEST(C281, "Available Space Policy Balanced"), "空き容量ポリシーの分散バランス状態", _xlfn.REGEXTEST(C281, "Filesystem Checkpoint Transaction"), "ファイルシステムのチェックポイントトランザクション", _xlfn.REGEXTEST(C281, "Blocks With Corrupt Replicas Monitoring"), "破損レプリカを持つブロックの監視", _xlfn.REGEXTEST(C281, "Missing Block Monitoring"), "消失（ミッシング）ブロックの監視", _xlfn.REGEXTEST(C281, "Under-replicated Block Monitoring"), "レプリカ数不足ブロックの監視", _xlfn.REGEXTEST(C281, "HDFS Free Space Monitoring"), "HDFSの空き容量監視", _xlfn.REGEXTEST(C281, "DataNode Monitoring"), "DataNodeの稼働状態監視", _xlfn.REGEXTEST(C281, "Rules to Extract Events from Log Files"), "ログファイルからのイベント抽出ルール設定", _xlfn.REGEXTEST(C281, "Free Space Monitoring$"), "空き容量監視（一般設定）", _xlfn.REGEXTEST(C281, "Transceivers Usage"), "トランシーバー使用量（データ転送スレッド数）", _xlfn.REGEXTEST(C281, "Volume Failures"), "ボリューム障害（ディスクエラー）数", _xlfn.REGEXTEST(C281, "Block Count"), "ブロック総数", _xlfn.REGEXTEST(C281, "Audit Failure"), "監査（オーディット）ログの失敗イベント", _xlfn.REGEXTEST(C281, "Web Metric Collection Duration"), "Webメトリック収集の所要時間", _xlfn.REGEXTEST(C281, "Pause Duration"), "一時停止（ポーズ）の所要時間", _xlfn.REGEXTEST(C281, "Fsync Latency"), "Fsync（ディスク同期）のレイテンシ", _xlfn.REGEXTEST(C281, "Free Space Monitoring Absolute"), "空き容量（絶対値）", _xlfn.REGEXTEST(C281, "Free Space Monitoring Percentage"), "空き容量割合（%）", _xlfn.REGEXTEST(C281, "Age Monitoring"), "経過時間の監視", _xlfn.REGEXTEST(C281, "Transactions Monitoring"), "トランザクション数の監視", _xlfn.REGEXTEST(C281, "RPC Latency"), "RPC（遠隔手続き呼出し）のレイテンシ", _xlfn.REGEXTEST(C281, "Directory Failures"), "ディレクトリ障害数", _xlfn.REGEXTEST(C281, "Out-Of-Sync JournalNodes"), "同期ズレが発生しているJournalNode数", _xlfn.REGEXTEST(C281, "Safemode Threshold Percentage"), "セーフモード解除閾値の割合（%）", _xlfn.REGEXTEST(C281, "Kerberos Ticket Renewer Monitoring"), "Kerberosチケット更新プロセスの稼働状態監視", _xlfn.REGEXTEST(C281, "Load Balancer Monitoring"), "ロードバランサーの稼働状態監視", _xlfn.REGEXTEST(C281, "Navigator Audit Failure"), "Cloudera Navigator監査ログの失敗イベント", _xlfn.REGEXTEST(C281, "Schema Registry Server Monitoring"), "Schema Registry Serverの稼働状態監視", _xlfn.REGEXTEST(C281, "SRM Service Monitoring"), "SRMサービスの稼働状態監視", _xlfn.REGEXTEST(C281, "SRM Driver Monitoring"), "SRMドライバーの稼働状態監視", _xlfn.REGEXTEST(C281, "Loggin"), "ログ出力状態・設定監視", _xlfn.REGEXTEST(C281, "Server Monitoring"), "サーバーの稼働状態監視", _xlfn.REGEXTEST(C281, "Server Connection Count"), "サーバーの接続数（コネクション数）", _xlfn.REGEXTEST(C281, "Server Outstanding Requests"), "サーバーの未処理リクエスト数（滞留要求数）", _xlfn.REGEXTEST(C281, "Repository Status"), "リポジトリのステータス状態", _xlfn.REGEXTEST(C281, "Monitor Long Running Task"), "長時間実行タスク（ジョブ）の監視", _xlfn.REGEXTEST(C281, "Token requests per second"), "1秒あたりのトークンリクエスト数（要求レート）", _xlfn.REGEXTEST(C281, "Connection Model Score"), "接続モデルスコア（コネクション品質）", _xlfn.REGEXTEST(C281, "Queue swap"), "キューのスワップ発生状態", _xlfn.REGEXTEST(C281, "NiFi Node Monitoring"), "NiFiノードの稼働状態監視", _xlfn.REGEXTEST(C281, "Host Clock Offset"), "ホストのクロックオフセット（時刻同期のズレ）", _xlfn.REGEXTEST(C281, "Memory Overcommit Validation"), "メモリオーバーコミット設定の検証", _xlfn.REGEXTEST(C281, "Gateway Logging"), "ゲートウェイのログ出力設定", _xlfn.REGEXTEST(C281, "CPU Balance"), "CPU使用率の分散バランス状態", _xlfn.REGEXTEST(C281, "Disk Balance"), "ディスク使用量の分散バランス状態", _xlfn.REGEXTEST(C281, "Network Inbound Balance"), "ネットワークインバウンド（受信）の分散バランス状態", _xlfn.REGEXTEST(C281, "Network Outbound Balance"), "ネットワークアウトバウンド（送信）の分散バランス状態", _xlfn.REGEXTEST(C281, "Replica Count Balance"), "レプリカ数の分散バランス状態", _xlfn.REGEXTEST(C281, "Disk Capacity"), "ディスク総容量の限界・使用容量", _xlfn.REGEXTEST(C281, "CPU Capacity"), "CPU総処理能力の限界・使用量", _xlfn.REGEXTEST(C281, "Network Inbound Capacity"), "ネットワークインバウンド（受信）帯域の限界・使用量", _xlfn.REGEXTEST(C281, "Network Outbound Capacity"), "ネットワークアウトバウンド（送信）帯域の限界・使用量", _xlfn.REGEXTEST(C281, "Leader Replica Count Balance"), "リーダーレプリカ数の分散バランス状態", _xlfn.REGEXTEST(C281, "Host DNS Resolution Duration"), "ホストのDNS名前解決の所要時間", _xlfn.REGEXTEST(C281, "TLS Certificate Expiry"), "TLS証明書の有効期限切れ", _xlfn.REGEXTEST(C281, "Host Entropy"), "ホストのエントロピー（乱数生成能力）の不足", _xlfn.REGEXTEST(C281, "File Descriptor"), "プロセスのファイルディスクリプタ使用率", _xlfn.REGEXTEST(C281, "Unexpected Exits"), "プロセスの異常終了（予期せぬ停止）", _xlfn.REGEXTEST(C281, "Swap Memory Thresholds"), "プロセスのスワップメモリ使用量", _xlfn.REGEXTEST(C281, "Swap Memory Usage Rate"), "スワップメモリ使用量の変化率（増加速度）", _xlfn.REGEXTEST(C281, "Log Directory Free Space.*Absolute"), "ログディレクトリの空き容量（絶対値）", _xlfn.REGEXTEST(C281, "Log Directory Free Space.*Percentage"), "ログディレクトリの空き容量割合（%）", _xlfn.REGEXTEST(C281, "Heap Dump Directory Free Space.*Absolute"), "ヒープダンプディレクトリの空き容量（絶対値）", _xlfn.REGEXTEST(C281, "Heap Dump Directory Free Space.*Percentage"), "ヒープダンプディレクトリの空き容量割合（%）", _xlfn.REGEXTEST(C281, "Data Directory Free Space.*Absolute"), "データディレクトリの空き容量（絶対値）", _xlfn.REGEXTEST(C281, "Data Directory Free Space.*Percentage"), "データディレクトリの空き容量割合（%）", _xlfn.REGEXTEST(C281, "Transaction Log Directory Free Space.*Absolute"), "トランザクションログディレクトリの空き容量（絶対値）", _xlfn.REGEXTEST(C281, "Logging Threshold|Logger Threshold"), "ログ出力レベルの閾値設定", _xlfn.REGEXTEST(C281, "Enable.*Alerts"), "ヘルスアラートの有効化状態", _xlfn.REGEXTEST(C281, "Triggers"), "カスタムアラート条件（トリガー設定）", _xlfn.REGEXTEST(C281, "Healthy Kafka Broker"), "Kafka Brokerの健全ノード割合（稼働率）", _xlfn.REGEXTEST(C281, "Healthy Kafka Connect"), "Kafka Connectの健全ノード割合（稼働率）", _xlfn.REGEXTEST(C281, "Healthy KRaft Controller"), "KRaft Controllerの健全ノード割合（稼働率）", _xlfn.REGEXTEST(C281, "Healthy Knox IDBroker"), "Knox IDBrokerの健全ノード割合（稼働率）", _xlfn.REGEXTEST(C281, "Healthy Knox Gateway"), "Knox Gatewayの健全ノード割合（稼働率）", _xlfn.REGEXTEST(C281, "Healthy ZooKeeper Server"), "ZooKeeper Serverの健全ノード割合（稼働率）", _xlfn.REGEXTEST(C281, "Healthy NodeManager"), "NodeManagerの健全ノード割合（稼働率）", _xlfn.REGEXTEST(C281, "Maximum Latency"), "リクエストの最大レイテンシ（処理遅延）", _xlfn.REGEXTEST(C281, "Garbage Collection Duration"), "Javaのガベージコレクション（GC）の所要時間", _xlfn.REGEXTEST(C281, "Spool Directory Usage"), "Rangerプラグインのスプールディレクトリ使用量", _xlfn.REGEXTEST(C281, "Process Directory Free Space Monitoring Absolute"), "プロセスディレクトリの空き容量（絶対値)", _xlfn.REGEXTEST(C281, "Process Directory Free Space.*Percentage"), "プロセスディレクトリの空き容量割合（%）", _xlfn.REGEXTEST(C281, "Parcel Directory Free Space.*Absolute"), "パーセルディレクトリの空き容量（絶対値）", _xlfn.REGEXTEST(C281, "Parcel Directory Free Space.*Percentage"), "パーセルディレクトリの空き容量割合（%）", _xlfn.REGEXTEST(C281, "Host Network Frame Error Percentage"), "ホストのネットワークフレームエラー割合（%）", _xlfn.REGEXTEST(C281, "Network Interfaces Slow Link Modes"), "ホストのネットワークインターフェースの低速リンクモード検出", _xlfn.REGEXTEST(C281, "Host Memory Swapping"), "ホストのメモリのスワップ発生状態", TRUE, "要手動確認")</f>
        <v>ログ出力状態・設定監視</v>
      </c>
      <c r="H281" s="479" t="s">
        <v>1062</v>
      </c>
    </row>
    <row r="282" spans="1:8" ht="16.899999999999999">
      <c r="A282" s="514"/>
      <c r="B282" s="473"/>
      <c r="C282" s="471" t="s">
        <v>1065</v>
      </c>
      <c r="D282" s="471" t="s">
        <v>772</v>
      </c>
      <c r="E282" s="471" t="s">
        <v>1040</v>
      </c>
      <c r="F282" s="471"/>
      <c r="G282" s="471" t="str" cm="1">
        <f t="array" ref="G282">_xlfn.IFS(C282 = "", "", _xlfn.REGEXTEST(C282, "Service Metric Migrator Minimum Consecutive Successful Checks"), "サービスメトリック移行ツールの連続正常チェック最小回数", _xlfn.REGEXTEST(C282, "Rebalancing"), "リバランシング（データ再配置）状態", _xlfn.REGEXTEST(C282, "Temporary Dump Directory"), "一時ダンプディレクトリの監視", _xlfn.REGEXTEST(C282, "Safemode Extension"), "セーフモード延長状態", _xlfn.REGEXTEST(C282, "Client Idle"), "クライアントのアイドル（待機）状態", _xlfn.REGEXTEST(C282, "Available Space Policy Balanced"), "空き容量ポリシーの分散バランス状態", _xlfn.REGEXTEST(C282, "Filesystem Checkpoint Transaction"), "ファイルシステムのチェックポイントトランザクション", _xlfn.REGEXTEST(C282, "Blocks With Corrupt Replicas Monitoring"), "破損レプリカを持つブロックの監視", _xlfn.REGEXTEST(C282, "Missing Block Monitoring"), "消失（ミッシング）ブロックの監視", _xlfn.REGEXTEST(C282, "Under-replicated Block Monitoring"), "レプリカ数不足ブロックの監視", _xlfn.REGEXTEST(C282, "HDFS Free Space Monitoring"), "HDFSの空き容量監視", _xlfn.REGEXTEST(C282, "DataNode Monitoring"), "DataNodeの稼働状態監視", _xlfn.REGEXTEST(C282, "Rules to Extract Events from Log Files"), "ログファイルからのイベント抽出ルール設定", _xlfn.REGEXTEST(C282, "Free Space Monitoring$"), "空き容量監視（一般設定）", _xlfn.REGEXTEST(C282, "Transceivers Usage"), "トランシーバー使用量（データ転送スレッド数）", _xlfn.REGEXTEST(C282, "Volume Failures"), "ボリューム障害（ディスクエラー）数", _xlfn.REGEXTEST(C282, "Block Count"), "ブロック総数", _xlfn.REGEXTEST(C282, "Audit Failure"), "監査（オーディット）ログの失敗イベント", _xlfn.REGEXTEST(C282, "Web Metric Collection Duration"), "Webメトリック収集の所要時間", _xlfn.REGEXTEST(C282, "Pause Duration"), "一時停止（ポーズ）の所要時間", _xlfn.REGEXTEST(C282, "Fsync Latency"), "Fsync（ディスク同期）のレイテンシ", _xlfn.REGEXTEST(C282, "Free Space Monitoring Absolute"), "空き容量（絶対値）", _xlfn.REGEXTEST(C282, "Free Space Monitoring Percentage"), "空き容量割合（%）", _xlfn.REGEXTEST(C282, "Age Monitoring"), "経過時間の監視", _xlfn.REGEXTEST(C282, "Transactions Monitoring"), "トランザクション数の監視", _xlfn.REGEXTEST(C282, "RPC Latency"), "RPC（遠隔手続き呼出し）のレイテンシ", _xlfn.REGEXTEST(C282, "Directory Failures"), "ディレクトリ障害数", _xlfn.REGEXTEST(C282, "Out-Of-Sync JournalNodes"), "同期ズレが発生しているJournalNode数", _xlfn.REGEXTEST(C282, "Safemode Threshold Percentage"), "セーフモード解除閾値の割合（%）", _xlfn.REGEXTEST(C282, "Kerberos Ticket Renewer Monitoring"), "Kerberosチケット更新プロセスの稼働状態監視", _xlfn.REGEXTEST(C282, "Load Balancer Monitoring"), "ロードバランサーの稼働状態監視", _xlfn.REGEXTEST(C282, "Navigator Audit Failure"), "Cloudera Navigator監査ログの失敗イベント", _xlfn.REGEXTEST(C282, "Schema Registry Server Monitoring"), "Schema Registry Serverの稼働状態監視", _xlfn.REGEXTEST(C282, "SRM Service Monitoring"), "SRMサービスの稼働状態監視", _xlfn.REGEXTEST(C282, "SRM Driver Monitoring"), "SRMドライバーの稼働状態監視", _xlfn.REGEXTEST(C282, "Loggin"), "ログ出力状態・設定監視", _xlfn.REGEXTEST(C282, "Server Monitoring"), "サーバーの稼働状態監視", _xlfn.REGEXTEST(C282, "Server Connection Count"), "サーバーの接続数（コネクション数）", _xlfn.REGEXTEST(C282, "Server Outstanding Requests"), "サーバーの未処理リクエスト数（滞留要求数）", _xlfn.REGEXTEST(C282, "Repository Status"), "リポジトリのステータス状態", _xlfn.REGEXTEST(C282, "Monitor Long Running Task"), "長時間実行タスク（ジョブ）の監視", _xlfn.REGEXTEST(C282, "Token requests per second"), "1秒あたりのトークンリクエスト数（要求レート）", _xlfn.REGEXTEST(C282, "Connection Model Score"), "接続モデルスコア（コネクション品質）", _xlfn.REGEXTEST(C282, "Queue swap"), "キューのスワップ発生状態", _xlfn.REGEXTEST(C282, "NiFi Node Monitoring"), "NiFiノードの稼働状態監視", _xlfn.REGEXTEST(C282, "Host Clock Offset"), "ホストのクロックオフセット（時刻同期のズレ）", _xlfn.REGEXTEST(C282, "Memory Overcommit Validation"), "メモリオーバーコミット設定の検証", _xlfn.REGEXTEST(C282, "Gateway Logging"), "ゲートウェイのログ出力設定", _xlfn.REGEXTEST(C282, "CPU Balance"), "CPU使用率の分散バランス状態", _xlfn.REGEXTEST(C282, "Disk Balance"), "ディスク使用量の分散バランス状態", _xlfn.REGEXTEST(C282, "Network Inbound Balance"), "ネットワークインバウンド（受信）の分散バランス状態", _xlfn.REGEXTEST(C282, "Network Outbound Balance"), "ネットワークアウトバウンド（送信）の分散バランス状態", _xlfn.REGEXTEST(C282, "Replica Count Balance"), "レプリカ数の分散バランス状態", _xlfn.REGEXTEST(C282, "Disk Capacity"), "ディスク総容量の限界・使用容量", _xlfn.REGEXTEST(C282, "CPU Capacity"), "CPU総処理能力の限界・使用量", _xlfn.REGEXTEST(C282, "Network Inbound Capacity"), "ネットワークインバウンド（受信）帯域の限界・使用量", _xlfn.REGEXTEST(C282, "Network Outbound Capacity"), "ネットワークアウトバウンド（送信）帯域の限界・使用量", _xlfn.REGEXTEST(C282, "Leader Replica Count Balance"), "リーダーレプリカ数の分散バランス状態", _xlfn.REGEXTEST(C282, "Host DNS Resolution Duration"), "ホストのDNS名前解決の所要時間", _xlfn.REGEXTEST(C282, "TLS Certificate Expiry"), "TLS証明書の有効期限切れ", _xlfn.REGEXTEST(C282, "Host Entropy"), "ホストのエントロピー（乱数生成能力）の不足", _xlfn.REGEXTEST(C282, "File Descriptor"), "プロセスのファイルディスクリプタ使用率", _xlfn.REGEXTEST(C282, "Unexpected Exits"), "プロセスの異常終了（予期せぬ停止）", _xlfn.REGEXTEST(C282, "Swap Memory Thresholds"), "プロセスのスワップメモリ使用量", _xlfn.REGEXTEST(C282, "Swap Memory Usage Rate"), "スワップメモリ使用量の変化率（増加速度）", _xlfn.REGEXTEST(C282, "Log Directory Free Space.*Absolute"), "ログディレクトリの空き容量（絶対値）", _xlfn.REGEXTEST(C282, "Log Directory Free Space.*Percentage"), "ログディレクトリの空き容量割合（%）", _xlfn.REGEXTEST(C282, "Heap Dump Directory Free Space.*Absolute"), "ヒープダンプディレクトリの空き容量（絶対値）", _xlfn.REGEXTEST(C282, "Heap Dump Directory Free Space.*Percentage"), "ヒープダンプディレクトリの空き容量割合（%）", _xlfn.REGEXTEST(C282, "Data Directory Free Space.*Absolute"), "データディレクトリの空き容量（絶対値）", _xlfn.REGEXTEST(C282, "Data Directory Free Space.*Percentage"), "データディレクトリの空き容量割合（%）", _xlfn.REGEXTEST(C282, "Transaction Log Directory Free Space.*Absolute"), "トランザクションログディレクトリの空き容量（絶対値）", _xlfn.REGEXTEST(C282, "Logging Threshold|Logger Threshold"), "ログ出力レベルの閾値設定", _xlfn.REGEXTEST(C282, "Enable.*Alerts"), "ヘルスアラートの有効化状態", _xlfn.REGEXTEST(C282, "Triggers"), "カスタムアラート条件（トリガー設定）", _xlfn.REGEXTEST(C282, "Healthy Kafka Broker"), "Kafka Brokerの健全ノード割合（稼働率）", _xlfn.REGEXTEST(C282, "Healthy Kafka Connect"), "Kafka Connectの健全ノード割合（稼働率）", _xlfn.REGEXTEST(C282, "Healthy KRaft Controller"), "KRaft Controllerの健全ノード割合（稼働率）", _xlfn.REGEXTEST(C282, "Healthy Knox IDBroker"), "Knox IDBrokerの健全ノード割合（稼働率）", _xlfn.REGEXTEST(C282, "Healthy Knox Gateway"), "Knox Gatewayの健全ノード割合（稼働率）", _xlfn.REGEXTEST(C282, "Healthy ZooKeeper Server"), "ZooKeeper Serverの健全ノード割合（稼働率）", _xlfn.REGEXTEST(C282, "Healthy NodeManager"), "NodeManagerの健全ノード割合（稼働率）", _xlfn.REGEXTEST(C282, "Maximum Latency"), "リクエストの最大レイテンシ（処理遅延）", _xlfn.REGEXTEST(C282, "Garbage Collection Duration"), "Javaのガベージコレクション（GC）の所要時間", _xlfn.REGEXTEST(C282, "Spool Directory Usage"), "Rangerプラグインのスプールディレクトリ使用量", _xlfn.REGEXTEST(C282, "Process Directory Free Space Monitoring Absolute"), "プロセスディレクトリの空き容量（絶対値)", _xlfn.REGEXTEST(C282, "Process Directory Free Space.*Percentage"), "プロセスディレクトリの空き容量割合（%）", _xlfn.REGEXTEST(C282, "Parcel Directory Free Space.*Absolute"), "パーセルディレクトリの空き容量（絶対値）", _xlfn.REGEXTEST(C282, "Parcel Directory Free Space.*Percentage"), "パーセルディレクトリの空き容量割合（%）", _xlfn.REGEXTEST(C282, "Host Network Frame Error Percentage"), "ホストのネットワークフレームエラー割合（%）", _xlfn.REGEXTEST(C282, "Network Interfaces Slow Link Modes"), "ホストのネットワークインターフェースの低速リンクモード検出", _xlfn.REGEXTEST(C282, "Host Memory Swapping"), "ホストのメモリのスワップ発生状態", TRUE, "要手動確認")</f>
        <v>ログ出力状態・設定監視</v>
      </c>
      <c r="H282" s="479" t="s">
        <v>775</v>
      </c>
    </row>
    <row r="283" spans="1:8" ht="33.6">
      <c r="A283" s="514"/>
      <c r="B283" s="473"/>
      <c r="C283" s="471" t="s">
        <v>1066</v>
      </c>
      <c r="D283" s="471" t="s">
        <v>772</v>
      </c>
      <c r="E283" s="471" t="s">
        <v>1067</v>
      </c>
      <c r="F283" s="471"/>
      <c r="G283" s="471" t="str" cm="1">
        <f t="array" ref="G283">_xlfn.IFS(C283 = "", "", _xlfn.REGEXTEST(C283, "Service Metric Migrator Minimum Consecutive Successful Checks"), "サービスメトリック移行ツールの連続正常チェック最小回数", _xlfn.REGEXTEST(C283, "Rebalancing"), "リバランシング（データ再配置）状態", _xlfn.REGEXTEST(C283, "Temporary Dump Directory"), "一時ダンプディレクトリの監視", _xlfn.REGEXTEST(C283, "Safemode Extension"), "セーフモード延長状態", _xlfn.REGEXTEST(C283, "Client Idle"), "クライアントのアイドル（待機）状態", _xlfn.REGEXTEST(C283, "Available Space Policy Balanced"), "空き容量ポリシーの分散バランス状態", _xlfn.REGEXTEST(C283, "Filesystem Checkpoint Transaction"), "ファイルシステムのチェックポイントトランザクション", _xlfn.REGEXTEST(C283, "Blocks With Corrupt Replicas Monitoring"), "破損レプリカを持つブロックの監視", _xlfn.REGEXTEST(C283, "Missing Block Monitoring"), "消失（ミッシング）ブロックの監視", _xlfn.REGEXTEST(C283, "Under-replicated Block Monitoring"), "レプリカ数不足ブロックの監視", _xlfn.REGEXTEST(C283, "HDFS Free Space Monitoring"), "HDFSの空き容量監視", _xlfn.REGEXTEST(C283, "DataNode Monitoring"), "DataNodeの稼働状態監視", _xlfn.REGEXTEST(C283, "Rules to Extract Events from Log Files"), "ログファイルからのイベント抽出ルール設定", _xlfn.REGEXTEST(C283, "Free Space Monitoring$"), "空き容量監視（一般設定）", _xlfn.REGEXTEST(C283, "Transceivers Usage"), "トランシーバー使用量（データ転送スレッド数）", _xlfn.REGEXTEST(C283, "Volume Failures"), "ボリューム障害（ディスクエラー）数", _xlfn.REGEXTEST(C283, "Block Count"), "ブロック総数", _xlfn.REGEXTEST(C283, "Audit Failure"), "監査（オーディット）ログの失敗イベント", _xlfn.REGEXTEST(C283, "Web Metric Collection Duration"), "Webメトリック収集の所要時間", _xlfn.REGEXTEST(C283, "Pause Duration"), "一時停止（ポーズ）の所要時間", _xlfn.REGEXTEST(C283, "Fsync Latency"), "Fsync（ディスク同期）のレイテンシ", _xlfn.REGEXTEST(C283, "Free Space Monitoring Absolute"), "空き容量（絶対値）", _xlfn.REGEXTEST(C283, "Free Space Monitoring Percentage"), "空き容量割合（%）", _xlfn.REGEXTEST(C283, "Age Monitoring"), "経過時間の監視", _xlfn.REGEXTEST(C283, "Transactions Monitoring"), "トランザクション数の監視", _xlfn.REGEXTEST(C283, "RPC Latency"), "RPC（遠隔手続き呼出し）のレイテンシ", _xlfn.REGEXTEST(C283, "Directory Failures"), "ディレクトリ障害数", _xlfn.REGEXTEST(C283, "Out-Of-Sync JournalNodes"), "同期ズレが発生しているJournalNode数", _xlfn.REGEXTEST(C283, "Safemode Threshold Percentage"), "セーフモード解除閾値の割合（%）", _xlfn.REGEXTEST(C283, "Kerberos Ticket Renewer Monitoring"), "Kerberosチケット更新プロセスの稼働状態監視", _xlfn.REGEXTEST(C283, "Load Balancer Monitoring"), "ロードバランサーの稼働状態監視", _xlfn.REGEXTEST(C283, "Navigator Audit Failure"), "Cloudera Navigator監査ログの失敗イベント", _xlfn.REGEXTEST(C283, "Schema Registry Server Monitoring"), "Schema Registry Serverの稼働状態監視", _xlfn.REGEXTEST(C283, "SRM Service Monitoring"), "SRMサービスの稼働状態監視", _xlfn.REGEXTEST(C283, "SRM Driver Monitoring"), "SRMドライバーの稼働状態監視", _xlfn.REGEXTEST(C283, "Loggin"), "ログ出力状態・設定監視", _xlfn.REGEXTEST(C283, "Server Monitoring"), "サーバーの稼働状態監視", _xlfn.REGEXTEST(C283, "Server Connection Count"), "サーバーの接続数（コネクション数）", _xlfn.REGEXTEST(C283, "Server Outstanding Requests"), "サーバーの未処理リクエスト数（滞留要求数）", _xlfn.REGEXTEST(C283, "Repository Status"), "リポジトリのステータス状態", _xlfn.REGEXTEST(C283, "Monitor Long Running Task"), "長時間実行タスク（ジョブ）の監視", _xlfn.REGEXTEST(C283, "Token requests per second"), "1秒あたりのトークンリクエスト数（要求レート）", _xlfn.REGEXTEST(C283, "Connection Model Score"), "接続モデルスコア（コネクション品質）", _xlfn.REGEXTEST(C283, "Queue swap"), "キューのスワップ発生状態", _xlfn.REGEXTEST(C283, "NiFi Node Monitoring"), "NiFiノードの稼働状態監視", _xlfn.REGEXTEST(C283, "Host Clock Offset"), "ホストのクロックオフセット（時刻同期のズレ）", _xlfn.REGEXTEST(C283, "Memory Overcommit Validation"), "メモリオーバーコミット設定の検証", _xlfn.REGEXTEST(C283, "Gateway Logging"), "ゲートウェイのログ出力設定", _xlfn.REGEXTEST(C283, "CPU Balance"), "CPU使用率の分散バランス状態", _xlfn.REGEXTEST(C283, "Disk Balance"), "ディスク使用量の分散バランス状態", _xlfn.REGEXTEST(C283, "Network Inbound Balance"), "ネットワークインバウンド（受信）の分散バランス状態", _xlfn.REGEXTEST(C283, "Network Outbound Balance"), "ネットワークアウトバウンド（送信）の分散バランス状態", _xlfn.REGEXTEST(C283, "Replica Count Balance"), "レプリカ数の分散バランス状態", _xlfn.REGEXTEST(C283, "Disk Capacity"), "ディスク総容量の限界・使用容量", _xlfn.REGEXTEST(C283, "CPU Capacity"), "CPU総処理能力の限界・使用量", _xlfn.REGEXTEST(C283, "Network Inbound Capacity"), "ネットワークインバウンド（受信）帯域の限界・使用量", _xlfn.REGEXTEST(C283, "Network Outbound Capacity"), "ネットワークアウトバウンド（送信）帯域の限界・使用量", _xlfn.REGEXTEST(C283, "Leader Replica Count Balance"), "リーダーレプリカ数の分散バランス状態", _xlfn.REGEXTEST(C283, "Host DNS Resolution Duration"), "ホストのDNS名前解決の所要時間", _xlfn.REGEXTEST(C283, "TLS Certificate Expiry"), "TLS証明書の有効期限切れ", _xlfn.REGEXTEST(C283, "Host Entropy"), "ホストのエントロピー（乱数生成能力）の不足", _xlfn.REGEXTEST(C283, "File Descriptor"), "プロセスのファイルディスクリプタ使用率", _xlfn.REGEXTEST(C283, "Unexpected Exits"), "プロセスの異常終了（予期せぬ停止）", _xlfn.REGEXTEST(C283, "Swap Memory Thresholds"), "プロセスのスワップメモリ使用量", _xlfn.REGEXTEST(C283, "Swap Memory Usage Rate"), "スワップメモリ使用量の変化率（増加速度）", _xlfn.REGEXTEST(C283, "Log Directory Free Space.*Absolute"), "ログディレクトリの空き容量（絶対値）", _xlfn.REGEXTEST(C283, "Log Directory Free Space.*Percentage"), "ログディレクトリの空き容量割合（%）", _xlfn.REGEXTEST(C283, "Heap Dump Directory Free Space.*Absolute"), "ヒープダンプディレクトリの空き容量（絶対値）", _xlfn.REGEXTEST(C283, "Heap Dump Directory Free Space.*Percentage"), "ヒープダンプディレクトリの空き容量割合（%）", _xlfn.REGEXTEST(C283, "Data Directory Free Space.*Absolute"), "データディレクトリの空き容量（絶対値）", _xlfn.REGEXTEST(C283, "Data Directory Free Space.*Percentage"), "データディレクトリの空き容量割合（%）", _xlfn.REGEXTEST(C283, "Transaction Log Directory Free Space.*Absolute"), "トランザクションログディレクトリの空き容量（絶対値）", _xlfn.REGEXTEST(C283, "Logging Threshold|Logger Threshold"), "ログ出力レベルの閾値設定", _xlfn.REGEXTEST(C283, "Enable.*Alerts"), "ヘルスアラートの有効化状態", _xlfn.REGEXTEST(C283, "Triggers"), "カスタムアラート条件（トリガー設定）", _xlfn.REGEXTEST(C283, "Healthy Kafka Broker"), "Kafka Brokerの健全ノード割合（稼働率）", _xlfn.REGEXTEST(C283, "Healthy Kafka Connect"), "Kafka Connectの健全ノード割合（稼働率）", _xlfn.REGEXTEST(C283, "Healthy KRaft Controller"), "KRaft Controllerの健全ノード割合（稼働率）", _xlfn.REGEXTEST(C283, "Healthy Knox IDBroker"), "Knox IDBrokerの健全ノード割合（稼働率）", _xlfn.REGEXTEST(C283, "Healthy Knox Gateway"), "Knox Gatewayの健全ノード割合（稼働率）", _xlfn.REGEXTEST(C283, "Healthy ZooKeeper Server"), "ZooKeeper Serverの健全ノード割合（稼働率）", _xlfn.REGEXTEST(C283, "Healthy NodeManager"), "NodeManagerの健全ノード割合（稼働率）", _xlfn.REGEXTEST(C283, "Maximum Latency"), "リクエストの最大レイテンシ（処理遅延）", _xlfn.REGEXTEST(C283, "Garbage Collection Duration"), "Javaのガベージコレクション（GC）の所要時間", _xlfn.REGEXTEST(C283, "Spool Directory Usage"), "Rangerプラグインのスプールディレクトリ使用量", _xlfn.REGEXTEST(C283, "Process Directory Free Space Monitoring Absolute"), "プロセスディレクトリの空き容量（絶対値)", _xlfn.REGEXTEST(C283, "Process Directory Free Space.*Percentage"), "プロセスディレクトリの空き容量割合（%）", _xlfn.REGEXTEST(C283, "Parcel Directory Free Space.*Absolute"), "パーセルディレクトリの空き容量（絶対値）", _xlfn.REGEXTEST(C283, "Parcel Directory Free Space.*Percentage"), "パーセルディレクトリの空き容量割合（%）", _xlfn.REGEXTEST(C283, "Host Network Frame Error Percentage"), "ホストのネットワークフレームエラー割合（%）", _xlfn.REGEXTEST(C283, "Network Interfaces Slow Link Modes"), "ホストのネットワークインターフェースの低速リンクモード検出", _xlfn.REGEXTEST(C283, "Host Memory Swapping"), "ホストのメモリのスワップ発生状態", TRUE, "要手動確認")</f>
        <v>ログ出力状態・設定監視</v>
      </c>
      <c r="H283" s="479" t="s">
        <v>775</v>
      </c>
    </row>
    <row r="284" spans="1:8" ht="33.6">
      <c r="A284" s="514"/>
      <c r="B284" s="473"/>
      <c r="C284" s="471" t="s">
        <v>1068</v>
      </c>
      <c r="D284" s="471" t="s">
        <v>1069</v>
      </c>
      <c r="E284" s="471" t="s">
        <v>1044</v>
      </c>
      <c r="F284" s="471"/>
      <c r="G284" s="471" t="str" cm="1">
        <f t="array" ref="G284">_xlfn.IFS(C284 = "", "", _xlfn.REGEXTEST(C284, "Service Metric Migrator Minimum Consecutive Successful Checks"), "サービスメトリック移行ツールの連続正常チェック最小回数", _xlfn.REGEXTEST(C284, "Rebalancing"), "リバランシング（データ再配置）状態", _xlfn.REGEXTEST(C284, "Temporary Dump Directory"), "一時ダンプディレクトリの監視", _xlfn.REGEXTEST(C284, "Safemode Extension"), "セーフモード延長状態", _xlfn.REGEXTEST(C284, "Client Idle"), "クライアントのアイドル（待機）状態", _xlfn.REGEXTEST(C284, "Available Space Policy Balanced"), "空き容量ポリシーの分散バランス状態", _xlfn.REGEXTEST(C284, "Filesystem Checkpoint Transaction"), "ファイルシステムのチェックポイントトランザクション", _xlfn.REGEXTEST(C284, "Blocks With Corrupt Replicas Monitoring"), "破損レプリカを持つブロックの監視", _xlfn.REGEXTEST(C284, "Missing Block Monitoring"), "消失（ミッシング）ブロックの監視", _xlfn.REGEXTEST(C284, "Under-replicated Block Monitoring"), "レプリカ数不足ブロックの監視", _xlfn.REGEXTEST(C284, "HDFS Free Space Monitoring"), "HDFSの空き容量監視", _xlfn.REGEXTEST(C284, "DataNode Monitoring"), "DataNodeの稼働状態監視", _xlfn.REGEXTEST(C284, "Rules to Extract Events from Log Files"), "ログファイルからのイベント抽出ルール設定", _xlfn.REGEXTEST(C284, "Free Space Monitoring$"), "空き容量監視（一般設定）", _xlfn.REGEXTEST(C284, "Transceivers Usage"), "トランシーバー使用量（データ転送スレッド数）", _xlfn.REGEXTEST(C284, "Volume Failures"), "ボリューム障害（ディスクエラー）数", _xlfn.REGEXTEST(C284, "Block Count"), "ブロック総数", _xlfn.REGEXTEST(C284, "Audit Failure"), "監査（オーディット）ログの失敗イベント", _xlfn.REGEXTEST(C284, "Web Metric Collection Duration"), "Webメトリック収集の所要時間", _xlfn.REGEXTEST(C284, "Pause Duration"), "一時停止（ポーズ）の所要時間", _xlfn.REGEXTEST(C284, "Fsync Latency"), "Fsync（ディスク同期）のレイテンシ", _xlfn.REGEXTEST(C284, "Free Space Monitoring Absolute"), "空き容量（絶対値）", _xlfn.REGEXTEST(C284, "Free Space Monitoring Percentage"), "空き容量割合（%）", _xlfn.REGEXTEST(C284, "Age Monitoring"), "経過時間の監視", _xlfn.REGEXTEST(C284, "Transactions Monitoring"), "トランザクション数の監視", _xlfn.REGEXTEST(C284, "RPC Latency"), "RPC（遠隔手続き呼出し）のレイテンシ", _xlfn.REGEXTEST(C284, "Directory Failures"), "ディレクトリ障害数", _xlfn.REGEXTEST(C284, "Out-Of-Sync JournalNodes"), "同期ズレが発生しているJournalNode数", _xlfn.REGEXTEST(C284, "Safemode Threshold Percentage"), "セーフモード解除閾値の割合（%）", _xlfn.REGEXTEST(C284, "Kerberos Ticket Renewer Monitoring"), "Kerberosチケット更新プロセスの稼働状態監視", _xlfn.REGEXTEST(C284, "Load Balancer Monitoring"), "ロードバランサーの稼働状態監視", _xlfn.REGEXTEST(C284, "Navigator Audit Failure"), "Cloudera Navigator監査ログの失敗イベント", _xlfn.REGEXTEST(C284, "Schema Registry Server Monitoring"), "Schema Registry Serverの稼働状態監視", _xlfn.REGEXTEST(C284, "SRM Service Monitoring"), "SRMサービスの稼働状態監視", _xlfn.REGEXTEST(C284, "SRM Driver Monitoring"), "SRMドライバーの稼働状態監視", _xlfn.REGEXTEST(C284, "Loggin"), "ログ出力状態・設定監視", _xlfn.REGEXTEST(C284, "Server Monitoring"), "サーバーの稼働状態監視", _xlfn.REGEXTEST(C284, "Server Connection Count"), "サーバーの接続数（コネクション数）", _xlfn.REGEXTEST(C284, "Server Outstanding Requests"), "サーバーの未処理リクエスト数（滞留要求数）", _xlfn.REGEXTEST(C284, "Repository Status"), "リポジトリのステータス状態", _xlfn.REGEXTEST(C284, "Monitor Long Running Task"), "長時間実行タスク（ジョブ）の監視", _xlfn.REGEXTEST(C284, "Token requests per second"), "1秒あたりのトークンリクエスト数（要求レート）", _xlfn.REGEXTEST(C284, "Connection Model Score"), "接続モデルスコア（コネクション品質）", _xlfn.REGEXTEST(C284, "Queue swap"), "キューのスワップ発生状態", _xlfn.REGEXTEST(C284, "NiFi Node Monitoring"), "NiFiノードの稼働状態監視", _xlfn.REGEXTEST(C284, "Host Clock Offset"), "ホストのクロックオフセット（時刻同期のズレ）", _xlfn.REGEXTEST(C284, "Memory Overcommit Validation"), "メモリオーバーコミット設定の検証", _xlfn.REGEXTEST(C284, "Gateway Logging"), "ゲートウェイのログ出力設定", _xlfn.REGEXTEST(C284, "CPU Balance"), "CPU使用率の分散バランス状態", _xlfn.REGEXTEST(C284, "Disk Balance"), "ディスク使用量の分散バランス状態", _xlfn.REGEXTEST(C284, "Network Inbound Balance"), "ネットワークインバウンド（受信）の分散バランス状態", _xlfn.REGEXTEST(C284, "Network Outbound Balance"), "ネットワークアウトバウンド（送信）の分散バランス状態", _xlfn.REGEXTEST(C284, "Replica Count Balance"), "レプリカ数の分散バランス状態", _xlfn.REGEXTEST(C284, "Disk Capacity"), "ディスク総容量の限界・使用容量", _xlfn.REGEXTEST(C284, "CPU Capacity"), "CPU総処理能力の限界・使用量", _xlfn.REGEXTEST(C284, "Network Inbound Capacity"), "ネットワークインバウンド（受信）帯域の限界・使用量", _xlfn.REGEXTEST(C284, "Network Outbound Capacity"), "ネットワークアウトバウンド（送信）帯域の限界・使用量", _xlfn.REGEXTEST(C284, "Leader Replica Count Balance"), "リーダーレプリカ数の分散バランス状態", _xlfn.REGEXTEST(C284, "Host DNS Resolution Duration"), "ホストのDNS名前解決の所要時間", _xlfn.REGEXTEST(C284, "TLS Certificate Expiry"), "TLS証明書の有効期限切れ", _xlfn.REGEXTEST(C284, "Host Entropy"), "ホストのエントロピー（乱数生成能力）の不足", _xlfn.REGEXTEST(C284, "File Descriptor"), "プロセスのファイルディスクリプタ使用率", _xlfn.REGEXTEST(C284, "Unexpected Exits"), "プロセスの異常終了（予期せぬ停止）", _xlfn.REGEXTEST(C284, "Swap Memory Thresholds"), "プロセスのスワップメモリ使用量", _xlfn.REGEXTEST(C284, "Swap Memory Usage Rate"), "スワップメモリ使用量の変化率（増加速度）", _xlfn.REGEXTEST(C284, "Log Directory Free Space.*Absolute"), "ログディレクトリの空き容量（絶対値）", _xlfn.REGEXTEST(C284, "Log Directory Free Space.*Percentage"), "ログディレクトリの空き容量割合（%）", _xlfn.REGEXTEST(C284, "Heap Dump Directory Free Space.*Absolute"), "ヒープダンプディレクトリの空き容量（絶対値）", _xlfn.REGEXTEST(C284, "Heap Dump Directory Free Space.*Percentage"), "ヒープダンプディレクトリの空き容量割合（%）", _xlfn.REGEXTEST(C284, "Data Directory Free Space.*Absolute"), "データディレクトリの空き容量（絶対値）", _xlfn.REGEXTEST(C284, "Data Directory Free Space.*Percentage"), "データディレクトリの空き容量割合（%）", _xlfn.REGEXTEST(C284, "Transaction Log Directory Free Space.*Absolute"), "トランザクションログディレクトリの空き容量（絶対値）", _xlfn.REGEXTEST(C284, "Logging Threshold|Logger Threshold"), "ログ出力レベルの閾値設定", _xlfn.REGEXTEST(C284, "Enable.*Alerts"), "ヘルスアラートの有効化状態", _xlfn.REGEXTEST(C284, "Triggers"), "カスタムアラート条件（トリガー設定）", _xlfn.REGEXTEST(C284, "Healthy Kafka Broker"), "Kafka Brokerの健全ノード割合（稼働率）", _xlfn.REGEXTEST(C284, "Healthy Kafka Connect"), "Kafka Connectの健全ノード割合（稼働率）", _xlfn.REGEXTEST(C284, "Healthy KRaft Controller"), "KRaft Controllerの健全ノード割合（稼働率）", _xlfn.REGEXTEST(C284, "Healthy Knox IDBroker"), "Knox IDBrokerの健全ノード割合（稼働率）", _xlfn.REGEXTEST(C284, "Healthy Knox Gateway"), "Knox Gatewayの健全ノード割合（稼働率）", _xlfn.REGEXTEST(C284, "Healthy ZooKeeper Server"), "ZooKeeper Serverの健全ノード割合（稼働率）", _xlfn.REGEXTEST(C284, "Healthy NodeManager"), "NodeManagerの健全ノード割合（稼働率）", _xlfn.REGEXTEST(C284, "Maximum Latency"), "リクエストの最大レイテンシ（処理遅延）", _xlfn.REGEXTEST(C284, "Garbage Collection Duration"), "Javaのガベージコレクション（GC）の所要時間", _xlfn.REGEXTEST(C284, "Spool Directory Usage"), "Rangerプラグインのスプールディレクトリ使用量", _xlfn.REGEXTEST(C284, "Process Directory Free Space Monitoring Absolute"), "プロセスディレクトリの空き容量（絶対値)", _xlfn.REGEXTEST(C284, "Process Directory Free Space.*Percentage"), "プロセスディレクトリの空き容量割合（%）", _xlfn.REGEXTEST(C284, "Parcel Directory Free Space.*Absolute"), "パーセルディレクトリの空き容量（絶対値）", _xlfn.REGEXTEST(C284, "Parcel Directory Free Space.*Percentage"), "パーセルディレクトリの空き容量割合（%）", _xlfn.REGEXTEST(C284, "Host Network Frame Error Percentage"), "ホストのネットワークフレームエラー割合（%）", _xlfn.REGEXTEST(C284, "Network Interfaces Slow Link Modes"), "ホストのネットワークインターフェースの低速リンクモード検出", _xlfn.REGEXTEST(C284, "Host Memory Swapping"), "ホストのメモリのスワップ発生状態", TRUE, "要手動確認")</f>
        <v>破損レプリカを持つブロックの監視</v>
      </c>
      <c r="H284" s="479" t="s">
        <v>1070</v>
      </c>
    </row>
    <row r="285" spans="1:8" ht="33.6">
      <c r="A285" s="514"/>
      <c r="B285" s="473"/>
      <c r="C285" s="471" t="s">
        <v>1071</v>
      </c>
      <c r="D285" s="471" t="s">
        <v>1072</v>
      </c>
      <c r="E285" s="471" t="s">
        <v>1044</v>
      </c>
      <c r="F285" s="471"/>
      <c r="G285" s="471" t="str" cm="1">
        <f t="array" ref="G285">_xlfn.IFS(C285 = "", "", _xlfn.REGEXTEST(C285, "Service Metric Migrator Minimum Consecutive Successful Checks"), "サービスメトリック移行ツールの連続正常チェック最小回数", _xlfn.REGEXTEST(C285, "Rebalancing"), "リバランシング（データ再配置）状態", _xlfn.REGEXTEST(C285, "Temporary Dump Directory"), "一時ダンプディレクトリの監視", _xlfn.REGEXTEST(C285, "Safemode Extension"), "セーフモード延長状態", _xlfn.REGEXTEST(C285, "Client Idle"), "クライアントのアイドル（待機）状態", _xlfn.REGEXTEST(C285, "Available Space Policy Balanced"), "空き容量ポリシーの分散バランス状態", _xlfn.REGEXTEST(C285, "Filesystem Checkpoint Transaction"), "ファイルシステムのチェックポイントトランザクション", _xlfn.REGEXTEST(C285, "Blocks With Corrupt Replicas Monitoring"), "破損レプリカを持つブロックの監視", _xlfn.REGEXTEST(C285, "Missing Block Monitoring"), "消失（ミッシング）ブロックの監視", _xlfn.REGEXTEST(C285, "Under-replicated Block Monitoring"), "レプリカ数不足ブロックの監視", _xlfn.REGEXTEST(C285, "HDFS Free Space Monitoring"), "HDFSの空き容量監視", _xlfn.REGEXTEST(C285, "DataNode Monitoring"), "DataNodeの稼働状態監視", _xlfn.REGEXTEST(C285, "Rules to Extract Events from Log Files"), "ログファイルからのイベント抽出ルール設定", _xlfn.REGEXTEST(C285, "Free Space Monitoring$"), "空き容量監視（一般設定）", _xlfn.REGEXTEST(C285, "Transceivers Usage"), "トランシーバー使用量（データ転送スレッド数）", _xlfn.REGEXTEST(C285, "Volume Failures"), "ボリューム障害（ディスクエラー）数", _xlfn.REGEXTEST(C285, "Block Count"), "ブロック総数", _xlfn.REGEXTEST(C285, "Audit Failure"), "監査（オーディット）ログの失敗イベント", _xlfn.REGEXTEST(C285, "Web Metric Collection Duration"), "Webメトリック収集の所要時間", _xlfn.REGEXTEST(C285, "Pause Duration"), "一時停止（ポーズ）の所要時間", _xlfn.REGEXTEST(C285, "Fsync Latency"), "Fsync（ディスク同期）のレイテンシ", _xlfn.REGEXTEST(C285, "Free Space Monitoring Absolute"), "空き容量（絶対値）", _xlfn.REGEXTEST(C285, "Free Space Monitoring Percentage"), "空き容量割合（%）", _xlfn.REGEXTEST(C285, "Age Monitoring"), "経過時間の監視", _xlfn.REGEXTEST(C285, "Transactions Monitoring"), "トランザクション数の監視", _xlfn.REGEXTEST(C285, "RPC Latency"), "RPC（遠隔手続き呼出し）のレイテンシ", _xlfn.REGEXTEST(C285, "Directory Failures"), "ディレクトリ障害数", _xlfn.REGEXTEST(C285, "Out-Of-Sync JournalNodes"), "同期ズレが発生しているJournalNode数", _xlfn.REGEXTEST(C285, "Safemode Threshold Percentage"), "セーフモード解除閾値の割合（%）", _xlfn.REGEXTEST(C285, "Kerberos Ticket Renewer Monitoring"), "Kerberosチケット更新プロセスの稼働状態監視", _xlfn.REGEXTEST(C285, "Load Balancer Monitoring"), "ロードバランサーの稼働状態監視", _xlfn.REGEXTEST(C285, "Navigator Audit Failure"), "Cloudera Navigator監査ログの失敗イベント", _xlfn.REGEXTEST(C285, "Schema Registry Server Monitoring"), "Schema Registry Serverの稼働状態監視", _xlfn.REGEXTEST(C285, "SRM Service Monitoring"), "SRMサービスの稼働状態監視", _xlfn.REGEXTEST(C285, "SRM Driver Monitoring"), "SRMドライバーの稼働状態監視", _xlfn.REGEXTEST(C285, "Loggin"), "ログ出力状態・設定監視", _xlfn.REGEXTEST(C285, "Server Monitoring"), "サーバーの稼働状態監視", _xlfn.REGEXTEST(C285, "Server Connection Count"), "サーバーの接続数（コネクション数）", _xlfn.REGEXTEST(C285, "Server Outstanding Requests"), "サーバーの未処理リクエスト数（滞留要求数）", _xlfn.REGEXTEST(C285, "Repository Status"), "リポジトリのステータス状態", _xlfn.REGEXTEST(C285, "Monitor Long Running Task"), "長時間実行タスク（ジョブ）の監視", _xlfn.REGEXTEST(C285, "Token requests per second"), "1秒あたりのトークンリクエスト数（要求レート）", _xlfn.REGEXTEST(C285, "Connection Model Score"), "接続モデルスコア（コネクション品質）", _xlfn.REGEXTEST(C285, "Queue swap"), "キューのスワップ発生状態", _xlfn.REGEXTEST(C285, "NiFi Node Monitoring"), "NiFiノードの稼働状態監視", _xlfn.REGEXTEST(C285, "Host Clock Offset"), "ホストのクロックオフセット（時刻同期のズレ）", _xlfn.REGEXTEST(C285, "Memory Overcommit Validation"), "メモリオーバーコミット設定の検証", _xlfn.REGEXTEST(C285, "Gateway Logging"), "ゲートウェイのログ出力設定", _xlfn.REGEXTEST(C285, "CPU Balance"), "CPU使用率の分散バランス状態", _xlfn.REGEXTEST(C285, "Disk Balance"), "ディスク使用量の分散バランス状態", _xlfn.REGEXTEST(C285, "Network Inbound Balance"), "ネットワークインバウンド（受信）の分散バランス状態", _xlfn.REGEXTEST(C285, "Network Outbound Balance"), "ネットワークアウトバウンド（送信）の分散バランス状態", _xlfn.REGEXTEST(C285, "Replica Count Balance"), "レプリカ数の分散バランス状態", _xlfn.REGEXTEST(C285, "Disk Capacity"), "ディスク総容量の限界・使用容量", _xlfn.REGEXTEST(C285, "CPU Capacity"), "CPU総処理能力の限界・使用量", _xlfn.REGEXTEST(C285, "Network Inbound Capacity"), "ネットワークインバウンド（受信）帯域の限界・使用量", _xlfn.REGEXTEST(C285, "Network Outbound Capacity"), "ネットワークアウトバウンド（送信）帯域の限界・使用量", _xlfn.REGEXTEST(C285, "Leader Replica Count Balance"), "リーダーレプリカ数の分散バランス状態", _xlfn.REGEXTEST(C285, "Host DNS Resolution Duration"), "ホストのDNS名前解決の所要時間", _xlfn.REGEXTEST(C285, "TLS Certificate Expiry"), "TLS証明書の有効期限切れ", _xlfn.REGEXTEST(C285, "Host Entropy"), "ホストのエントロピー（乱数生成能力）の不足", _xlfn.REGEXTEST(C285, "File Descriptor"), "プロセスのファイルディスクリプタ使用率", _xlfn.REGEXTEST(C285, "Unexpected Exits"), "プロセスの異常終了（予期せぬ停止）", _xlfn.REGEXTEST(C285, "Swap Memory Thresholds"), "プロセスのスワップメモリ使用量", _xlfn.REGEXTEST(C285, "Swap Memory Usage Rate"), "スワップメモリ使用量の変化率（増加速度）", _xlfn.REGEXTEST(C285, "Log Directory Free Space.*Absolute"), "ログディレクトリの空き容量（絶対値）", _xlfn.REGEXTEST(C285, "Log Directory Free Space.*Percentage"), "ログディレクトリの空き容量割合（%）", _xlfn.REGEXTEST(C285, "Heap Dump Directory Free Space.*Absolute"), "ヒープダンプディレクトリの空き容量（絶対値）", _xlfn.REGEXTEST(C285, "Heap Dump Directory Free Space.*Percentage"), "ヒープダンプディレクトリの空き容量割合（%）", _xlfn.REGEXTEST(C285, "Data Directory Free Space.*Absolute"), "データディレクトリの空き容量（絶対値）", _xlfn.REGEXTEST(C285, "Data Directory Free Space.*Percentage"), "データディレクトリの空き容量割合（%）", _xlfn.REGEXTEST(C285, "Transaction Log Directory Free Space.*Absolute"), "トランザクションログディレクトリの空き容量（絶対値）", _xlfn.REGEXTEST(C285, "Logging Threshold|Logger Threshold"), "ログ出力レベルの閾値設定", _xlfn.REGEXTEST(C285, "Enable.*Alerts"), "ヘルスアラートの有効化状態", _xlfn.REGEXTEST(C285, "Triggers"), "カスタムアラート条件（トリガー設定）", _xlfn.REGEXTEST(C285, "Healthy Kafka Broker"), "Kafka Brokerの健全ノード割合（稼働率）", _xlfn.REGEXTEST(C285, "Healthy Kafka Connect"), "Kafka Connectの健全ノード割合（稼働率）", _xlfn.REGEXTEST(C285, "Healthy KRaft Controller"), "KRaft Controllerの健全ノード割合（稼働率）", _xlfn.REGEXTEST(C285, "Healthy Knox IDBroker"), "Knox IDBrokerの健全ノード割合（稼働率）", _xlfn.REGEXTEST(C285, "Healthy Knox Gateway"), "Knox Gatewayの健全ノード割合（稼働率）", _xlfn.REGEXTEST(C285, "Healthy ZooKeeper Server"), "ZooKeeper Serverの健全ノード割合（稼働率）", _xlfn.REGEXTEST(C285, "Healthy NodeManager"), "NodeManagerの健全ノード割合（稼働率）", _xlfn.REGEXTEST(C285, "Maximum Latency"), "リクエストの最大レイテンシ（処理遅延）", _xlfn.REGEXTEST(C285, "Garbage Collection Duration"), "Javaのガベージコレクション（GC）の所要時間", _xlfn.REGEXTEST(C285, "Spool Directory Usage"), "Rangerプラグインのスプールディレクトリ使用量", _xlfn.REGEXTEST(C285, "Process Directory Free Space Monitoring Absolute"), "プロセスディレクトリの空き容量（絶対値)", _xlfn.REGEXTEST(C285, "Process Directory Free Space.*Percentage"), "プロセスディレクトリの空き容量割合（%）", _xlfn.REGEXTEST(C285, "Parcel Directory Free Space.*Absolute"), "パーセルディレクトリの空き容量（絶対値）", _xlfn.REGEXTEST(C285, "Parcel Directory Free Space.*Percentage"), "パーセルディレクトリの空き容量割合（%）", _xlfn.REGEXTEST(C285, "Host Network Frame Error Percentage"), "ホストのネットワークフレームエラー割合（%）", _xlfn.REGEXTEST(C285, "Network Interfaces Slow Link Modes"), "ホストのネットワークインターフェースの低速リンクモード検出", _xlfn.REGEXTEST(C285, "Host Memory Swapping"), "ホストのメモリのスワップ発生状態", TRUE, "要手動確認")</f>
        <v>消失（ミッシング）ブロックの監視</v>
      </c>
      <c r="H285" s="479" t="s">
        <v>818</v>
      </c>
    </row>
    <row r="286" spans="1:8" ht="33.6">
      <c r="A286" s="514"/>
      <c r="B286" s="473"/>
      <c r="C286" s="471" t="s">
        <v>1073</v>
      </c>
      <c r="D286" s="471" t="s">
        <v>1074</v>
      </c>
      <c r="E286" s="471" t="s">
        <v>1044</v>
      </c>
      <c r="F286" s="471"/>
      <c r="G286" s="471" t="str" cm="1">
        <f t="array" ref="G286">_xlfn.IFS(C286 = "", "", _xlfn.REGEXTEST(C286, "Service Metric Migrator Minimum Consecutive Successful Checks"), "サービスメトリック移行ツールの連続正常チェック最小回数", _xlfn.REGEXTEST(C286, "Rebalancing"), "リバランシング（データ再配置）状態", _xlfn.REGEXTEST(C286, "Temporary Dump Directory"), "一時ダンプディレクトリの監視", _xlfn.REGEXTEST(C286, "Safemode Extension"), "セーフモード延長状態", _xlfn.REGEXTEST(C286, "Client Idle"), "クライアントのアイドル（待機）状態", _xlfn.REGEXTEST(C286, "Available Space Policy Balanced"), "空き容量ポリシーの分散バランス状態", _xlfn.REGEXTEST(C286, "Filesystem Checkpoint Transaction"), "ファイルシステムのチェックポイントトランザクション", _xlfn.REGEXTEST(C286, "Blocks With Corrupt Replicas Monitoring"), "破損レプリカを持つブロックの監視", _xlfn.REGEXTEST(C286, "Missing Block Monitoring"), "消失（ミッシング）ブロックの監視", _xlfn.REGEXTEST(C286, "Under-replicated Block Monitoring"), "レプリカ数不足ブロックの監視", _xlfn.REGEXTEST(C286, "HDFS Free Space Monitoring"), "HDFSの空き容量監視", _xlfn.REGEXTEST(C286, "DataNode Monitoring"), "DataNodeの稼働状態監視", _xlfn.REGEXTEST(C286, "Rules to Extract Events from Log Files"), "ログファイルからのイベント抽出ルール設定", _xlfn.REGEXTEST(C286, "Free Space Monitoring$"), "空き容量監視（一般設定）", _xlfn.REGEXTEST(C286, "Transceivers Usage"), "トランシーバー使用量（データ転送スレッド数）", _xlfn.REGEXTEST(C286, "Volume Failures"), "ボリューム障害（ディスクエラー）数", _xlfn.REGEXTEST(C286, "Block Count"), "ブロック総数", _xlfn.REGEXTEST(C286, "Audit Failure"), "監査（オーディット）ログの失敗イベント", _xlfn.REGEXTEST(C286, "Web Metric Collection Duration"), "Webメトリック収集の所要時間", _xlfn.REGEXTEST(C286, "Pause Duration"), "一時停止（ポーズ）の所要時間", _xlfn.REGEXTEST(C286, "Fsync Latency"), "Fsync（ディスク同期）のレイテンシ", _xlfn.REGEXTEST(C286, "Free Space Monitoring Absolute"), "空き容量（絶対値）", _xlfn.REGEXTEST(C286, "Free Space Monitoring Percentage"), "空き容量割合（%）", _xlfn.REGEXTEST(C286, "Age Monitoring"), "経過時間の監視", _xlfn.REGEXTEST(C286, "Transactions Monitoring"), "トランザクション数の監視", _xlfn.REGEXTEST(C286, "RPC Latency"), "RPC（遠隔手続き呼出し）のレイテンシ", _xlfn.REGEXTEST(C286, "Directory Failures"), "ディレクトリ障害数", _xlfn.REGEXTEST(C286, "Out-Of-Sync JournalNodes"), "同期ズレが発生しているJournalNode数", _xlfn.REGEXTEST(C286, "Safemode Threshold Percentage"), "セーフモード解除閾値の割合（%）", _xlfn.REGEXTEST(C286, "Kerberos Ticket Renewer Monitoring"), "Kerberosチケット更新プロセスの稼働状態監視", _xlfn.REGEXTEST(C286, "Load Balancer Monitoring"), "ロードバランサーの稼働状態監視", _xlfn.REGEXTEST(C286, "Navigator Audit Failure"), "Cloudera Navigator監査ログの失敗イベント", _xlfn.REGEXTEST(C286, "Schema Registry Server Monitoring"), "Schema Registry Serverの稼働状態監視", _xlfn.REGEXTEST(C286, "SRM Service Monitoring"), "SRMサービスの稼働状態監視", _xlfn.REGEXTEST(C286, "SRM Driver Monitoring"), "SRMドライバーの稼働状態監視", _xlfn.REGEXTEST(C286, "Loggin"), "ログ出力状態・設定監視", _xlfn.REGEXTEST(C286, "Server Monitoring"), "サーバーの稼働状態監視", _xlfn.REGEXTEST(C286, "Server Connection Count"), "サーバーの接続数（コネクション数）", _xlfn.REGEXTEST(C286, "Server Outstanding Requests"), "サーバーの未処理リクエスト数（滞留要求数）", _xlfn.REGEXTEST(C286, "Repository Status"), "リポジトリのステータス状態", _xlfn.REGEXTEST(C286, "Monitor Long Running Task"), "長時間実行タスク（ジョブ）の監視", _xlfn.REGEXTEST(C286, "Token requests per second"), "1秒あたりのトークンリクエスト数（要求レート）", _xlfn.REGEXTEST(C286, "Connection Model Score"), "接続モデルスコア（コネクション品質）", _xlfn.REGEXTEST(C286, "Queue swap"), "キューのスワップ発生状態", _xlfn.REGEXTEST(C286, "NiFi Node Monitoring"), "NiFiノードの稼働状態監視", _xlfn.REGEXTEST(C286, "Host Clock Offset"), "ホストのクロックオフセット（時刻同期のズレ）", _xlfn.REGEXTEST(C286, "Memory Overcommit Validation"), "メモリオーバーコミット設定の検証", _xlfn.REGEXTEST(C286, "Gateway Logging"), "ゲートウェイのログ出力設定", _xlfn.REGEXTEST(C286, "CPU Balance"), "CPU使用率の分散バランス状態", _xlfn.REGEXTEST(C286, "Disk Balance"), "ディスク使用量の分散バランス状態", _xlfn.REGEXTEST(C286, "Network Inbound Balance"), "ネットワークインバウンド（受信）の分散バランス状態", _xlfn.REGEXTEST(C286, "Network Outbound Balance"), "ネットワークアウトバウンド（送信）の分散バランス状態", _xlfn.REGEXTEST(C286, "Replica Count Balance"), "レプリカ数の分散バランス状態", _xlfn.REGEXTEST(C286, "Disk Capacity"), "ディスク総容量の限界・使用容量", _xlfn.REGEXTEST(C286, "CPU Capacity"), "CPU総処理能力の限界・使用量", _xlfn.REGEXTEST(C286, "Network Inbound Capacity"), "ネットワークインバウンド（受信）帯域の限界・使用量", _xlfn.REGEXTEST(C286, "Network Outbound Capacity"), "ネットワークアウトバウンド（送信）帯域の限界・使用量", _xlfn.REGEXTEST(C286, "Leader Replica Count Balance"), "リーダーレプリカ数の分散バランス状態", _xlfn.REGEXTEST(C286, "Host DNS Resolution Duration"), "ホストのDNS名前解決の所要時間", _xlfn.REGEXTEST(C286, "TLS Certificate Expiry"), "TLS証明書の有効期限切れ", _xlfn.REGEXTEST(C286, "Host Entropy"), "ホストのエントロピー（乱数生成能力）の不足", _xlfn.REGEXTEST(C286, "File Descriptor"), "プロセスのファイルディスクリプタ使用率", _xlfn.REGEXTEST(C286, "Unexpected Exits"), "プロセスの異常終了（予期せぬ停止）", _xlfn.REGEXTEST(C286, "Swap Memory Thresholds"), "プロセスのスワップメモリ使用量", _xlfn.REGEXTEST(C286, "Swap Memory Usage Rate"), "スワップメモリ使用量の変化率（増加速度）", _xlfn.REGEXTEST(C286, "Log Directory Free Space.*Absolute"), "ログディレクトリの空き容量（絶対値）", _xlfn.REGEXTEST(C286, "Log Directory Free Space.*Percentage"), "ログディレクトリの空き容量割合（%）", _xlfn.REGEXTEST(C286, "Heap Dump Directory Free Space.*Absolute"), "ヒープダンプディレクトリの空き容量（絶対値）", _xlfn.REGEXTEST(C286, "Heap Dump Directory Free Space.*Percentage"), "ヒープダンプディレクトリの空き容量割合（%）", _xlfn.REGEXTEST(C286, "Data Directory Free Space.*Absolute"), "データディレクトリの空き容量（絶対値）", _xlfn.REGEXTEST(C286, "Data Directory Free Space.*Percentage"), "データディレクトリの空き容量割合（%）", _xlfn.REGEXTEST(C286, "Transaction Log Directory Free Space.*Absolute"), "トランザクションログディレクトリの空き容量（絶対値）", _xlfn.REGEXTEST(C286, "Logging Threshold|Logger Threshold"), "ログ出力レベルの閾値設定", _xlfn.REGEXTEST(C286, "Enable.*Alerts"), "ヘルスアラートの有効化状態", _xlfn.REGEXTEST(C286, "Triggers"), "カスタムアラート条件（トリガー設定）", _xlfn.REGEXTEST(C286, "Healthy Kafka Broker"), "Kafka Brokerの健全ノード割合（稼働率）", _xlfn.REGEXTEST(C286, "Healthy Kafka Connect"), "Kafka Connectの健全ノード割合（稼働率）", _xlfn.REGEXTEST(C286, "Healthy KRaft Controller"), "KRaft Controllerの健全ノード割合（稼働率）", _xlfn.REGEXTEST(C286, "Healthy Knox IDBroker"), "Knox IDBrokerの健全ノード割合（稼働率）", _xlfn.REGEXTEST(C286, "Healthy Knox Gateway"), "Knox Gatewayの健全ノード割合（稼働率）", _xlfn.REGEXTEST(C286, "Healthy ZooKeeper Server"), "ZooKeeper Serverの健全ノード割合（稼働率）", _xlfn.REGEXTEST(C286, "Healthy NodeManager"), "NodeManagerの健全ノード割合（稼働率）", _xlfn.REGEXTEST(C286, "Maximum Latency"), "リクエストの最大レイテンシ（処理遅延）", _xlfn.REGEXTEST(C286, "Garbage Collection Duration"), "Javaのガベージコレクション（GC）の所要時間", _xlfn.REGEXTEST(C286, "Spool Directory Usage"), "Rangerプラグインのスプールディレクトリ使用量", _xlfn.REGEXTEST(C286, "Process Directory Free Space Monitoring Absolute"), "プロセスディレクトリの空き容量（絶対値)", _xlfn.REGEXTEST(C286, "Process Directory Free Space.*Percentage"), "プロセスディレクトリの空き容量割合（%）", _xlfn.REGEXTEST(C286, "Parcel Directory Free Space.*Absolute"), "パーセルディレクトリの空き容量（絶対値）", _xlfn.REGEXTEST(C286, "Parcel Directory Free Space.*Percentage"), "パーセルディレクトリの空き容量割合（%）", _xlfn.REGEXTEST(C286, "Host Network Frame Error Percentage"), "ホストのネットワークフレームエラー割合（%）", _xlfn.REGEXTEST(C286, "Network Interfaces Slow Link Modes"), "ホストのネットワークインターフェースの低速リンクモード検出", _xlfn.REGEXTEST(C286, "Host Memory Swapping"), "ホストのメモリのスワップ発生状態", TRUE, "要手動確認")</f>
        <v>レプリカ数不足ブロックの監視</v>
      </c>
      <c r="H286" s="479" t="s">
        <v>1075</v>
      </c>
    </row>
    <row r="287" spans="1:8" ht="33.6">
      <c r="A287" s="514"/>
      <c r="B287" s="473"/>
      <c r="C287" s="471" t="s">
        <v>1076</v>
      </c>
      <c r="D287" s="471" t="s">
        <v>1077</v>
      </c>
      <c r="E287" s="471" t="s">
        <v>1044</v>
      </c>
      <c r="F287" s="471"/>
      <c r="G287" s="471" t="str" cm="1">
        <f t="array" ref="G287">_xlfn.IFS(C287 = "", "", _xlfn.REGEXTEST(C287, "Service Metric Migrator Minimum Consecutive Successful Checks"), "サービスメトリック移行ツールの連続正常チェック最小回数", _xlfn.REGEXTEST(C287, "Rebalancing"), "リバランシング（データ再配置）状態", _xlfn.REGEXTEST(C287, "Temporary Dump Directory"), "一時ダンプディレクトリの監視", _xlfn.REGEXTEST(C287, "Safemode Extension"), "セーフモード延長状態", _xlfn.REGEXTEST(C287, "Client Idle"), "クライアントのアイドル（待機）状態", _xlfn.REGEXTEST(C287, "Available Space Policy Balanced"), "空き容量ポリシーの分散バランス状態", _xlfn.REGEXTEST(C287, "Filesystem Checkpoint Transaction"), "ファイルシステムのチェックポイントトランザクション", _xlfn.REGEXTEST(C287, "Blocks With Corrupt Replicas Monitoring"), "破損レプリカを持つブロックの監視", _xlfn.REGEXTEST(C287, "Missing Block Monitoring"), "消失（ミッシング）ブロックの監視", _xlfn.REGEXTEST(C287, "Under-replicated Block Monitoring"), "レプリカ数不足ブロックの監視", _xlfn.REGEXTEST(C287, "HDFS Free Space Monitoring"), "HDFSの空き容量監視", _xlfn.REGEXTEST(C287, "DataNode Monitoring"), "DataNodeの稼働状態監視", _xlfn.REGEXTEST(C287, "Rules to Extract Events from Log Files"), "ログファイルからのイベント抽出ルール設定", _xlfn.REGEXTEST(C287, "Free Space Monitoring$"), "空き容量監視（一般設定）", _xlfn.REGEXTEST(C287, "Transceivers Usage"), "トランシーバー使用量（データ転送スレッド数）", _xlfn.REGEXTEST(C287, "Volume Failures"), "ボリューム障害（ディスクエラー）数", _xlfn.REGEXTEST(C287, "Block Count"), "ブロック総数", _xlfn.REGEXTEST(C287, "Audit Failure"), "監査（オーディット）ログの失敗イベント", _xlfn.REGEXTEST(C287, "Web Metric Collection Duration"), "Webメトリック収集の所要時間", _xlfn.REGEXTEST(C287, "Pause Duration"), "一時停止（ポーズ）の所要時間", _xlfn.REGEXTEST(C287, "Fsync Latency"), "Fsync（ディスク同期）のレイテンシ", _xlfn.REGEXTEST(C287, "Free Space Monitoring Absolute"), "空き容量（絶対値）", _xlfn.REGEXTEST(C287, "Free Space Monitoring Percentage"), "空き容量割合（%）", _xlfn.REGEXTEST(C287, "Age Monitoring"), "経過時間の監視", _xlfn.REGEXTEST(C287, "Transactions Monitoring"), "トランザクション数の監視", _xlfn.REGEXTEST(C287, "RPC Latency"), "RPC（遠隔手続き呼出し）のレイテンシ", _xlfn.REGEXTEST(C287, "Directory Failures"), "ディレクトリ障害数", _xlfn.REGEXTEST(C287, "Out-Of-Sync JournalNodes"), "同期ズレが発生しているJournalNode数", _xlfn.REGEXTEST(C287, "Safemode Threshold Percentage"), "セーフモード解除閾値の割合（%）", _xlfn.REGEXTEST(C287, "Kerberos Ticket Renewer Monitoring"), "Kerberosチケット更新プロセスの稼働状態監視", _xlfn.REGEXTEST(C287, "Load Balancer Monitoring"), "ロードバランサーの稼働状態監視", _xlfn.REGEXTEST(C287, "Navigator Audit Failure"), "Cloudera Navigator監査ログの失敗イベント", _xlfn.REGEXTEST(C287, "Schema Registry Server Monitoring"), "Schema Registry Serverの稼働状態監視", _xlfn.REGEXTEST(C287, "SRM Service Monitoring"), "SRMサービスの稼働状態監視", _xlfn.REGEXTEST(C287, "SRM Driver Monitoring"), "SRMドライバーの稼働状態監視", _xlfn.REGEXTEST(C287, "Loggin"), "ログ出力状態・設定監視", _xlfn.REGEXTEST(C287, "Server Monitoring"), "サーバーの稼働状態監視", _xlfn.REGEXTEST(C287, "Server Connection Count"), "サーバーの接続数（コネクション数）", _xlfn.REGEXTEST(C287, "Server Outstanding Requests"), "サーバーの未処理リクエスト数（滞留要求数）", _xlfn.REGEXTEST(C287, "Repository Status"), "リポジトリのステータス状態", _xlfn.REGEXTEST(C287, "Monitor Long Running Task"), "長時間実行タスク（ジョブ）の監視", _xlfn.REGEXTEST(C287, "Token requests per second"), "1秒あたりのトークンリクエスト数（要求レート）", _xlfn.REGEXTEST(C287, "Connection Model Score"), "接続モデルスコア（コネクション品質）", _xlfn.REGEXTEST(C287, "Queue swap"), "キューのスワップ発生状態", _xlfn.REGEXTEST(C287, "NiFi Node Monitoring"), "NiFiノードの稼働状態監視", _xlfn.REGEXTEST(C287, "Host Clock Offset"), "ホストのクロックオフセット（時刻同期のズレ）", _xlfn.REGEXTEST(C287, "Memory Overcommit Validation"), "メモリオーバーコミット設定の検証", _xlfn.REGEXTEST(C287, "Gateway Logging"), "ゲートウェイのログ出力設定", _xlfn.REGEXTEST(C287, "CPU Balance"), "CPU使用率の分散バランス状態", _xlfn.REGEXTEST(C287, "Disk Balance"), "ディスク使用量の分散バランス状態", _xlfn.REGEXTEST(C287, "Network Inbound Balance"), "ネットワークインバウンド（受信）の分散バランス状態", _xlfn.REGEXTEST(C287, "Network Outbound Balance"), "ネットワークアウトバウンド（送信）の分散バランス状態", _xlfn.REGEXTEST(C287, "Replica Count Balance"), "レプリカ数の分散バランス状態", _xlfn.REGEXTEST(C287, "Disk Capacity"), "ディスク総容量の限界・使用容量", _xlfn.REGEXTEST(C287, "CPU Capacity"), "CPU総処理能力の限界・使用量", _xlfn.REGEXTEST(C287, "Network Inbound Capacity"), "ネットワークインバウンド（受信）帯域の限界・使用量", _xlfn.REGEXTEST(C287, "Network Outbound Capacity"), "ネットワークアウトバウンド（送信）帯域の限界・使用量", _xlfn.REGEXTEST(C287, "Leader Replica Count Balance"), "リーダーレプリカ数の分散バランス状態", _xlfn.REGEXTEST(C287, "Host DNS Resolution Duration"), "ホストのDNS名前解決の所要時間", _xlfn.REGEXTEST(C287, "TLS Certificate Expiry"), "TLS証明書の有効期限切れ", _xlfn.REGEXTEST(C287, "Host Entropy"), "ホストのエントロピー（乱数生成能力）の不足", _xlfn.REGEXTEST(C287, "File Descriptor"), "プロセスのファイルディスクリプタ使用率", _xlfn.REGEXTEST(C287, "Unexpected Exits"), "プロセスの異常終了（予期せぬ停止）", _xlfn.REGEXTEST(C287, "Swap Memory Thresholds"), "プロセスのスワップメモリ使用量", _xlfn.REGEXTEST(C287, "Swap Memory Usage Rate"), "スワップメモリ使用量の変化率（増加速度）", _xlfn.REGEXTEST(C287, "Log Directory Free Space.*Absolute"), "ログディレクトリの空き容量（絶対値）", _xlfn.REGEXTEST(C287, "Log Directory Free Space.*Percentage"), "ログディレクトリの空き容量割合（%）", _xlfn.REGEXTEST(C287, "Heap Dump Directory Free Space.*Absolute"), "ヒープダンプディレクトリの空き容量（絶対値）", _xlfn.REGEXTEST(C287, "Heap Dump Directory Free Space.*Percentage"), "ヒープダンプディレクトリの空き容量割合（%）", _xlfn.REGEXTEST(C287, "Data Directory Free Space.*Absolute"), "データディレクトリの空き容量（絶対値）", _xlfn.REGEXTEST(C287, "Data Directory Free Space.*Percentage"), "データディレクトリの空き容量割合（%）", _xlfn.REGEXTEST(C287, "Transaction Log Directory Free Space.*Absolute"), "トランザクションログディレクトリの空き容量（絶対値）", _xlfn.REGEXTEST(C287, "Logging Threshold|Logger Threshold"), "ログ出力レベルの閾値設定", _xlfn.REGEXTEST(C287, "Enable.*Alerts"), "ヘルスアラートの有効化状態", _xlfn.REGEXTEST(C287, "Triggers"), "カスタムアラート条件（トリガー設定）", _xlfn.REGEXTEST(C287, "Healthy Kafka Broker"), "Kafka Brokerの健全ノード割合（稼働率）", _xlfn.REGEXTEST(C287, "Healthy Kafka Connect"), "Kafka Connectの健全ノード割合（稼働率）", _xlfn.REGEXTEST(C287, "Healthy KRaft Controller"), "KRaft Controllerの健全ノード割合（稼働率）", _xlfn.REGEXTEST(C287, "Healthy Knox IDBroker"), "Knox IDBrokerの健全ノード割合（稼働率）", _xlfn.REGEXTEST(C287, "Healthy Knox Gateway"), "Knox Gatewayの健全ノード割合（稼働率）", _xlfn.REGEXTEST(C287, "Healthy ZooKeeper Server"), "ZooKeeper Serverの健全ノード割合（稼働率）", _xlfn.REGEXTEST(C287, "Healthy NodeManager"), "NodeManagerの健全ノード割合（稼働率）", _xlfn.REGEXTEST(C287, "Maximum Latency"), "リクエストの最大レイテンシ（処理遅延）", _xlfn.REGEXTEST(C287, "Garbage Collection Duration"), "Javaのガベージコレクション（GC）の所要時間", _xlfn.REGEXTEST(C287, "Spool Directory Usage"), "Rangerプラグインのスプールディレクトリ使用量", _xlfn.REGEXTEST(C287, "Process Directory Free Space Monitoring Absolute"), "プロセスディレクトリの空き容量（絶対値)", _xlfn.REGEXTEST(C287, "Process Directory Free Space.*Percentage"), "プロセスディレクトリの空き容量割合（%）", _xlfn.REGEXTEST(C287, "Parcel Directory Free Space.*Absolute"), "パーセルディレクトリの空き容量（絶対値）", _xlfn.REGEXTEST(C287, "Parcel Directory Free Space.*Percentage"), "パーセルディレクトリの空き容量割合（%）", _xlfn.REGEXTEST(C287, "Host Network Frame Error Percentage"), "ホストのネットワークフレームエラー割合（%）", _xlfn.REGEXTEST(C287, "Network Interfaces Slow Link Modes"), "ホストのネットワークインターフェースの低速リンクモード検出", _xlfn.REGEXTEST(C287, "Host Memory Swapping"), "ホストのメモリのスワップ発生状態", TRUE, "要手動確認")</f>
        <v>HDFSの空き容量監視</v>
      </c>
      <c r="H287" s="479" t="s">
        <v>1078</v>
      </c>
    </row>
    <row r="288" spans="1:8" ht="16.899999999999999">
      <c r="A288" s="514"/>
      <c r="B288" s="473"/>
      <c r="C288" s="471" t="s">
        <v>788</v>
      </c>
      <c r="D288" s="471" t="s">
        <v>710</v>
      </c>
      <c r="E288" s="471" t="s">
        <v>1044</v>
      </c>
      <c r="F288" s="471"/>
      <c r="G288" s="471" t="str" cm="1">
        <f t="array" ref="G288">_xlfn.IFS(C288 = "", "", _xlfn.REGEXTEST(C288, "Service Metric Migrator Minimum Consecutive Successful Checks"), "サービスメトリック移行ツールの連続正常チェック最小回数", _xlfn.REGEXTEST(C288, "Rebalancing"), "リバランシング（データ再配置）状態", _xlfn.REGEXTEST(C288, "Temporary Dump Directory"), "一時ダンプディレクトリの監視", _xlfn.REGEXTEST(C288, "Safemode Extension"), "セーフモード延長状態", _xlfn.REGEXTEST(C288, "Client Idle"), "クライアントのアイドル（待機）状態", _xlfn.REGEXTEST(C288, "Available Space Policy Balanced"), "空き容量ポリシーの分散バランス状態", _xlfn.REGEXTEST(C288, "Filesystem Checkpoint Transaction"), "ファイルシステムのチェックポイントトランザクション", _xlfn.REGEXTEST(C288, "Blocks With Corrupt Replicas Monitoring"), "破損レプリカを持つブロックの監視", _xlfn.REGEXTEST(C288, "Missing Block Monitoring"), "消失（ミッシング）ブロックの監視", _xlfn.REGEXTEST(C288, "Under-replicated Block Monitoring"), "レプリカ数不足ブロックの監視", _xlfn.REGEXTEST(C288, "HDFS Free Space Monitoring"), "HDFSの空き容量監視", _xlfn.REGEXTEST(C288, "DataNode Monitoring"), "DataNodeの稼働状態監視", _xlfn.REGEXTEST(C288, "Rules to Extract Events from Log Files"), "ログファイルからのイベント抽出ルール設定", _xlfn.REGEXTEST(C288, "Free Space Monitoring$"), "空き容量監視（一般設定）", _xlfn.REGEXTEST(C288, "Transceivers Usage"), "トランシーバー使用量（データ転送スレッド数）", _xlfn.REGEXTEST(C288, "Volume Failures"), "ボリューム障害（ディスクエラー）数", _xlfn.REGEXTEST(C288, "Block Count"), "ブロック総数", _xlfn.REGEXTEST(C288, "Audit Failure"), "監査（オーディット）ログの失敗イベント", _xlfn.REGEXTEST(C288, "Web Metric Collection Duration"), "Webメトリック収集の所要時間", _xlfn.REGEXTEST(C288, "Pause Duration"), "一時停止（ポーズ）の所要時間", _xlfn.REGEXTEST(C288, "Fsync Latency"), "Fsync（ディスク同期）のレイテンシ", _xlfn.REGEXTEST(C288, "Free Space Monitoring Absolute"), "空き容量（絶対値）", _xlfn.REGEXTEST(C288, "Free Space Monitoring Percentage"), "空き容量割合（%）", _xlfn.REGEXTEST(C288, "Age Monitoring"), "経過時間の監視", _xlfn.REGEXTEST(C288, "Transactions Monitoring"), "トランザクション数の監視", _xlfn.REGEXTEST(C288, "RPC Latency"), "RPC（遠隔手続き呼出し）のレイテンシ", _xlfn.REGEXTEST(C288, "Directory Failures"), "ディレクトリ障害数", _xlfn.REGEXTEST(C288, "Out-Of-Sync JournalNodes"), "同期ズレが発生しているJournalNode数", _xlfn.REGEXTEST(C288, "Safemode Threshold Percentage"), "セーフモード解除閾値の割合（%）", _xlfn.REGEXTEST(C288, "Kerberos Ticket Renewer Monitoring"), "Kerberosチケット更新プロセスの稼働状態監視", _xlfn.REGEXTEST(C288, "Load Balancer Monitoring"), "ロードバランサーの稼働状態監視", _xlfn.REGEXTEST(C288, "Navigator Audit Failure"), "Cloudera Navigator監査ログの失敗イベント", _xlfn.REGEXTEST(C288, "Schema Registry Server Monitoring"), "Schema Registry Serverの稼働状態監視", _xlfn.REGEXTEST(C288, "SRM Service Monitoring"), "SRMサービスの稼働状態監視", _xlfn.REGEXTEST(C288, "SRM Driver Monitoring"), "SRMドライバーの稼働状態監視", _xlfn.REGEXTEST(C288, "Loggin"), "ログ出力状態・設定監視", _xlfn.REGEXTEST(C288, "Server Monitoring"), "サーバーの稼働状態監視", _xlfn.REGEXTEST(C288, "Server Connection Count"), "サーバーの接続数（コネクション数）", _xlfn.REGEXTEST(C288, "Server Outstanding Requests"), "サーバーの未処理リクエスト数（滞留要求数）", _xlfn.REGEXTEST(C288, "Repository Status"), "リポジトリのステータス状態", _xlfn.REGEXTEST(C288, "Monitor Long Running Task"), "長時間実行タスク（ジョブ）の監視", _xlfn.REGEXTEST(C288, "Token requests per second"), "1秒あたりのトークンリクエスト数（要求レート）", _xlfn.REGEXTEST(C288, "Connection Model Score"), "接続モデルスコア（コネクション品質）", _xlfn.REGEXTEST(C288, "Queue swap"), "キューのスワップ発生状態", _xlfn.REGEXTEST(C288, "NiFi Node Monitoring"), "NiFiノードの稼働状態監視", _xlfn.REGEXTEST(C288, "Host Clock Offset"), "ホストのクロックオフセット（時刻同期のズレ）", _xlfn.REGEXTEST(C288, "Memory Overcommit Validation"), "メモリオーバーコミット設定の検証", _xlfn.REGEXTEST(C288, "Gateway Logging"), "ゲートウェイのログ出力設定", _xlfn.REGEXTEST(C288, "CPU Balance"), "CPU使用率の分散バランス状態", _xlfn.REGEXTEST(C288, "Disk Balance"), "ディスク使用量の分散バランス状態", _xlfn.REGEXTEST(C288, "Network Inbound Balance"), "ネットワークインバウンド（受信）の分散バランス状態", _xlfn.REGEXTEST(C288, "Network Outbound Balance"), "ネットワークアウトバウンド（送信）の分散バランス状態", _xlfn.REGEXTEST(C288, "Replica Count Balance"), "レプリカ数の分散バランス状態", _xlfn.REGEXTEST(C288, "Disk Capacity"), "ディスク総容量の限界・使用容量", _xlfn.REGEXTEST(C288, "CPU Capacity"), "CPU総処理能力の限界・使用量", _xlfn.REGEXTEST(C288, "Network Inbound Capacity"), "ネットワークインバウンド（受信）帯域の限界・使用量", _xlfn.REGEXTEST(C288, "Network Outbound Capacity"), "ネットワークアウトバウンド（送信）帯域の限界・使用量", _xlfn.REGEXTEST(C288, "Leader Replica Count Balance"), "リーダーレプリカ数の分散バランス状態", _xlfn.REGEXTEST(C288, "Host DNS Resolution Duration"), "ホストのDNS名前解決の所要時間", _xlfn.REGEXTEST(C288, "TLS Certificate Expiry"), "TLS証明書の有効期限切れ", _xlfn.REGEXTEST(C288, "Host Entropy"), "ホストのエントロピー（乱数生成能力）の不足", _xlfn.REGEXTEST(C288, "File Descriptor"), "プロセスのファイルディスクリプタ使用率", _xlfn.REGEXTEST(C288, "Unexpected Exits"), "プロセスの異常終了（予期せぬ停止）", _xlfn.REGEXTEST(C288, "Swap Memory Thresholds"), "プロセスのスワップメモリ使用量", _xlfn.REGEXTEST(C288, "Swap Memory Usage Rate"), "スワップメモリ使用量の変化率（増加速度）", _xlfn.REGEXTEST(C288, "Log Directory Free Space.*Absolute"), "ログディレクトリの空き容量（絶対値）", _xlfn.REGEXTEST(C288, "Log Directory Free Space.*Percentage"), "ログディレクトリの空き容量割合（%）", _xlfn.REGEXTEST(C288, "Heap Dump Directory Free Space.*Absolute"), "ヒープダンプディレクトリの空き容量（絶対値）", _xlfn.REGEXTEST(C288, "Heap Dump Directory Free Space.*Percentage"), "ヒープダンプディレクトリの空き容量割合（%）", _xlfn.REGEXTEST(C288, "Data Directory Free Space.*Absolute"), "データディレクトリの空き容量（絶対値）", _xlfn.REGEXTEST(C288, "Data Directory Free Space.*Percentage"), "データディレクトリの空き容量割合（%）", _xlfn.REGEXTEST(C288, "Transaction Log Directory Free Space.*Absolute"), "トランザクションログディレクトリの空き容量（絶対値）", _xlfn.REGEXTEST(C288, "Logging Threshold|Logger Threshold"), "ログ出力レベルの閾値設定", _xlfn.REGEXTEST(C288, "Enable.*Alerts"), "ヘルスアラートの有効化状態", _xlfn.REGEXTEST(C288, "Triggers"), "カスタムアラート条件（トリガー設定）", _xlfn.REGEXTEST(C288, "Healthy Kafka Broker"), "Kafka Brokerの健全ノード割合（稼働率）", _xlfn.REGEXTEST(C288, "Healthy Kafka Connect"), "Kafka Connectの健全ノード割合（稼働率）", _xlfn.REGEXTEST(C288, "Healthy KRaft Controller"), "KRaft Controllerの健全ノード割合（稼働率）", _xlfn.REGEXTEST(C288, "Healthy Knox IDBroker"), "Knox IDBrokerの健全ノード割合（稼働率）", _xlfn.REGEXTEST(C288, "Healthy Knox Gateway"), "Knox Gatewayの健全ノード割合（稼働率）", _xlfn.REGEXTEST(C288, "Healthy ZooKeeper Server"), "ZooKeeper Serverの健全ノード割合（稼働率）", _xlfn.REGEXTEST(C288, "Healthy NodeManager"), "NodeManagerの健全ノード割合（稼働率）", _xlfn.REGEXTEST(C288, "Maximum Latency"), "リクエストの最大レイテンシ（処理遅延）", _xlfn.REGEXTEST(C288, "Garbage Collection Duration"), "Javaのガベージコレクション（GC）の所要時間", _xlfn.REGEXTEST(C288, "Spool Directory Usage"), "Rangerプラグインのスプールディレクトリ使用量", _xlfn.REGEXTEST(C288, "Process Directory Free Space Monitoring Absolute"), "プロセスディレクトリの空き容量（絶対値)", _xlfn.REGEXTEST(C288, "Process Directory Free Space.*Percentage"), "プロセスディレクトリの空き容量割合（%）", _xlfn.REGEXTEST(C288, "Parcel Directory Free Space.*Absolute"), "パーセルディレクトリの空き容量（絶対値）", _xlfn.REGEXTEST(C288, "Parcel Directory Free Space.*Percentage"), "パーセルディレクトリの空き容量割合（%）", _xlfn.REGEXTEST(C288, "Host Network Frame Error Percentage"), "ホストのネットワークフレームエラー割合（%）", _xlfn.REGEXTEST(C288, "Network Interfaces Slow Link Modes"), "ホストのネットワークインターフェースの低速リンクモード検出", _xlfn.REGEXTEST(C288, "Host Memory Swapping"), "ホストのメモリのスワップ発生状態", TRUE, "要手動確認")</f>
        <v>ヘルスアラートの有効化状態</v>
      </c>
      <c r="H288" s="479" t="s">
        <v>1079</v>
      </c>
    </row>
    <row r="289" spans="1:8" ht="16.899999999999999">
      <c r="A289" s="514"/>
      <c r="B289" s="473"/>
      <c r="C289" s="471" t="s">
        <v>791</v>
      </c>
      <c r="D289" s="471" t="s">
        <v>792</v>
      </c>
      <c r="E289" s="471" t="s">
        <v>1044</v>
      </c>
      <c r="F289" s="471"/>
      <c r="G289" s="471" t="str" cm="1">
        <f t="array" ref="G289">_xlfn.IFS(C289 = "", "", _xlfn.REGEXTEST(C289, "Service Metric Migrator Minimum Consecutive Successful Checks"), "サービスメトリック移行ツールの連続正常チェック最小回数", _xlfn.REGEXTEST(C289, "Rebalancing"), "リバランシング（データ再配置）状態", _xlfn.REGEXTEST(C289, "Temporary Dump Directory"), "一時ダンプディレクトリの監視", _xlfn.REGEXTEST(C289, "Safemode Extension"), "セーフモード延長状態", _xlfn.REGEXTEST(C289, "Client Idle"), "クライアントのアイドル（待機）状態", _xlfn.REGEXTEST(C289, "Available Space Policy Balanced"), "空き容量ポリシーの分散バランス状態", _xlfn.REGEXTEST(C289, "Filesystem Checkpoint Transaction"), "ファイルシステムのチェックポイントトランザクション", _xlfn.REGEXTEST(C289, "Blocks With Corrupt Replicas Monitoring"), "破損レプリカを持つブロックの監視", _xlfn.REGEXTEST(C289, "Missing Block Monitoring"), "消失（ミッシング）ブロックの監視", _xlfn.REGEXTEST(C289, "Under-replicated Block Monitoring"), "レプリカ数不足ブロックの監視", _xlfn.REGEXTEST(C289, "HDFS Free Space Monitoring"), "HDFSの空き容量監視", _xlfn.REGEXTEST(C289, "DataNode Monitoring"), "DataNodeの稼働状態監視", _xlfn.REGEXTEST(C289, "Rules to Extract Events from Log Files"), "ログファイルからのイベント抽出ルール設定", _xlfn.REGEXTEST(C289, "Free Space Monitoring$"), "空き容量監視（一般設定）", _xlfn.REGEXTEST(C289, "Transceivers Usage"), "トランシーバー使用量（データ転送スレッド数）", _xlfn.REGEXTEST(C289, "Volume Failures"), "ボリューム障害（ディスクエラー）数", _xlfn.REGEXTEST(C289, "Block Count"), "ブロック総数", _xlfn.REGEXTEST(C289, "Audit Failure"), "監査（オーディット）ログの失敗イベント", _xlfn.REGEXTEST(C289, "Web Metric Collection Duration"), "Webメトリック収集の所要時間", _xlfn.REGEXTEST(C289, "Pause Duration"), "一時停止（ポーズ）の所要時間", _xlfn.REGEXTEST(C289, "Fsync Latency"), "Fsync（ディスク同期）のレイテンシ", _xlfn.REGEXTEST(C289, "Free Space Monitoring Absolute"), "空き容量（絶対値）", _xlfn.REGEXTEST(C289, "Free Space Monitoring Percentage"), "空き容量割合（%）", _xlfn.REGEXTEST(C289, "Age Monitoring"), "経過時間の監視", _xlfn.REGEXTEST(C289, "Transactions Monitoring"), "トランザクション数の監視", _xlfn.REGEXTEST(C289, "RPC Latency"), "RPC（遠隔手続き呼出し）のレイテンシ", _xlfn.REGEXTEST(C289, "Directory Failures"), "ディレクトリ障害数", _xlfn.REGEXTEST(C289, "Out-Of-Sync JournalNodes"), "同期ズレが発生しているJournalNode数", _xlfn.REGEXTEST(C289, "Safemode Threshold Percentage"), "セーフモード解除閾値の割合（%）", _xlfn.REGEXTEST(C289, "Kerberos Ticket Renewer Monitoring"), "Kerberosチケット更新プロセスの稼働状態監視", _xlfn.REGEXTEST(C289, "Load Balancer Monitoring"), "ロードバランサーの稼働状態監視", _xlfn.REGEXTEST(C289, "Navigator Audit Failure"), "Cloudera Navigator監査ログの失敗イベント", _xlfn.REGEXTEST(C289, "Schema Registry Server Monitoring"), "Schema Registry Serverの稼働状態監視", _xlfn.REGEXTEST(C289, "SRM Service Monitoring"), "SRMサービスの稼働状態監視", _xlfn.REGEXTEST(C289, "SRM Driver Monitoring"), "SRMドライバーの稼働状態監視", _xlfn.REGEXTEST(C289, "Loggin"), "ログ出力状態・設定監視", _xlfn.REGEXTEST(C289, "Server Monitoring"), "サーバーの稼働状態監視", _xlfn.REGEXTEST(C289, "Server Connection Count"), "サーバーの接続数（コネクション数）", _xlfn.REGEXTEST(C289, "Server Outstanding Requests"), "サーバーの未処理リクエスト数（滞留要求数）", _xlfn.REGEXTEST(C289, "Repository Status"), "リポジトリのステータス状態", _xlfn.REGEXTEST(C289, "Monitor Long Running Task"), "長時間実行タスク（ジョブ）の監視", _xlfn.REGEXTEST(C289, "Token requests per second"), "1秒あたりのトークンリクエスト数（要求レート）", _xlfn.REGEXTEST(C289, "Connection Model Score"), "接続モデルスコア（コネクション品質）", _xlfn.REGEXTEST(C289, "Queue swap"), "キューのスワップ発生状態", _xlfn.REGEXTEST(C289, "NiFi Node Monitoring"), "NiFiノードの稼働状態監視", _xlfn.REGEXTEST(C289, "Host Clock Offset"), "ホストのクロックオフセット（時刻同期のズレ）", _xlfn.REGEXTEST(C289, "Memory Overcommit Validation"), "メモリオーバーコミット設定の検証", _xlfn.REGEXTEST(C289, "Gateway Logging"), "ゲートウェイのログ出力設定", _xlfn.REGEXTEST(C289, "CPU Balance"), "CPU使用率の分散バランス状態", _xlfn.REGEXTEST(C289, "Disk Balance"), "ディスク使用量の分散バランス状態", _xlfn.REGEXTEST(C289, "Network Inbound Balance"), "ネットワークインバウンド（受信）の分散バランス状態", _xlfn.REGEXTEST(C289, "Network Outbound Balance"), "ネットワークアウトバウンド（送信）の分散バランス状態", _xlfn.REGEXTEST(C289, "Replica Count Balance"), "レプリカ数の分散バランス状態", _xlfn.REGEXTEST(C289, "Disk Capacity"), "ディスク総容量の限界・使用容量", _xlfn.REGEXTEST(C289, "CPU Capacity"), "CPU総処理能力の限界・使用量", _xlfn.REGEXTEST(C289, "Network Inbound Capacity"), "ネットワークインバウンド（受信）帯域の限界・使用量", _xlfn.REGEXTEST(C289, "Network Outbound Capacity"), "ネットワークアウトバウンド（送信）帯域の限界・使用量", _xlfn.REGEXTEST(C289, "Leader Replica Count Balance"), "リーダーレプリカ数の分散バランス状態", _xlfn.REGEXTEST(C289, "Host DNS Resolution Duration"), "ホストのDNS名前解決の所要時間", _xlfn.REGEXTEST(C289, "TLS Certificate Expiry"), "TLS証明書の有効期限切れ", _xlfn.REGEXTEST(C289, "Host Entropy"), "ホストのエントロピー（乱数生成能力）の不足", _xlfn.REGEXTEST(C289, "File Descriptor"), "プロセスのファイルディスクリプタ使用率", _xlfn.REGEXTEST(C289, "Unexpected Exits"), "プロセスの異常終了（予期せぬ停止）", _xlfn.REGEXTEST(C289, "Swap Memory Thresholds"), "プロセスのスワップメモリ使用量", _xlfn.REGEXTEST(C289, "Swap Memory Usage Rate"), "スワップメモリ使用量の変化率（増加速度）", _xlfn.REGEXTEST(C289, "Log Directory Free Space.*Absolute"), "ログディレクトリの空き容量（絶対値）", _xlfn.REGEXTEST(C289, "Log Directory Free Space.*Percentage"), "ログディレクトリの空き容量割合（%）", _xlfn.REGEXTEST(C289, "Heap Dump Directory Free Space.*Absolute"), "ヒープダンプディレクトリの空き容量（絶対値）", _xlfn.REGEXTEST(C289, "Heap Dump Directory Free Space.*Percentage"), "ヒープダンプディレクトリの空き容量割合（%）", _xlfn.REGEXTEST(C289, "Data Directory Free Space.*Absolute"), "データディレクトリの空き容量（絶対値）", _xlfn.REGEXTEST(C289, "Data Directory Free Space.*Percentage"), "データディレクトリの空き容量割合（%）", _xlfn.REGEXTEST(C289, "Transaction Log Directory Free Space.*Absolute"), "トランザクションログディレクトリの空き容量（絶対値）", _xlfn.REGEXTEST(C289, "Logging Threshold|Logger Threshold"), "ログ出力レベルの閾値設定", _xlfn.REGEXTEST(C289, "Enable.*Alerts"), "ヘルスアラートの有効化状態", _xlfn.REGEXTEST(C289, "Triggers"), "カスタムアラート条件（トリガー設定）", _xlfn.REGEXTEST(C289, "Healthy Kafka Broker"), "Kafka Brokerの健全ノード割合（稼働率）", _xlfn.REGEXTEST(C289, "Healthy Kafka Connect"), "Kafka Connectの健全ノード割合（稼働率）", _xlfn.REGEXTEST(C289, "Healthy KRaft Controller"), "KRaft Controllerの健全ノード割合（稼働率）", _xlfn.REGEXTEST(C289, "Healthy Knox IDBroker"), "Knox IDBrokerの健全ノード割合（稼働率）", _xlfn.REGEXTEST(C289, "Healthy Knox Gateway"), "Knox Gatewayの健全ノード割合（稼働率）", _xlfn.REGEXTEST(C289, "Healthy ZooKeeper Server"), "ZooKeeper Serverの健全ノード割合（稼働率）", _xlfn.REGEXTEST(C289, "Healthy NodeManager"), "NodeManagerの健全ノード割合（稼働率）", _xlfn.REGEXTEST(C289, "Maximum Latency"), "リクエストの最大レイテンシ（処理遅延）", _xlfn.REGEXTEST(C289, "Garbage Collection Duration"), "Javaのガベージコレクション（GC）の所要時間", _xlfn.REGEXTEST(C289, "Spool Directory Usage"), "Rangerプラグインのスプールディレクトリ使用量", _xlfn.REGEXTEST(C289, "Process Directory Free Space Monitoring Absolute"), "プロセスディレクトリの空き容量（絶対値)", _xlfn.REGEXTEST(C289, "Process Directory Free Space.*Percentage"), "プロセスディレクトリの空き容量割合（%）", _xlfn.REGEXTEST(C289, "Parcel Directory Free Space.*Absolute"), "パーセルディレクトリの空き容量（絶対値）", _xlfn.REGEXTEST(C289, "Parcel Directory Free Space.*Percentage"), "パーセルディレクトリの空き容量割合（%）", _xlfn.REGEXTEST(C289, "Host Network Frame Error Percentage"), "ホストのネットワークフレームエラー割合（%）", _xlfn.REGEXTEST(C289, "Network Interfaces Slow Link Modes"), "ホストのネットワークインターフェースの低速リンクモード検出", _xlfn.REGEXTEST(C289, "Host Memory Swapping"), "ホストのメモリのスワップ発生状態", TRUE, "要手動確認")</f>
        <v>カスタムアラート条件（トリガー設定）</v>
      </c>
      <c r="H289" s="479" t="s">
        <v>714</v>
      </c>
    </row>
    <row r="290" spans="1:8" ht="33.6">
      <c r="A290" s="514"/>
      <c r="B290" s="473"/>
      <c r="C290" s="471" t="s">
        <v>1080</v>
      </c>
      <c r="D290" s="471" t="s">
        <v>1081</v>
      </c>
      <c r="E290" s="471" t="s">
        <v>1044</v>
      </c>
      <c r="F290" s="471"/>
      <c r="G290" s="471" t="str" cm="1">
        <f t="array" ref="G290">_xlfn.IFS(C290 = "", "", _xlfn.REGEXTEST(C290, "Service Metric Migrator Minimum Consecutive Successful Checks"), "サービスメトリック移行ツールの連続正常チェック最小回数", _xlfn.REGEXTEST(C290, "Rebalancing"), "リバランシング（データ再配置）状態", _xlfn.REGEXTEST(C290, "Temporary Dump Directory"), "一時ダンプディレクトリの監視", _xlfn.REGEXTEST(C290, "Safemode Extension"), "セーフモード延長状態", _xlfn.REGEXTEST(C290, "Client Idle"), "クライアントのアイドル（待機）状態", _xlfn.REGEXTEST(C290, "Available Space Policy Balanced"), "空き容量ポリシーの分散バランス状態", _xlfn.REGEXTEST(C290, "Filesystem Checkpoint Transaction"), "ファイルシステムのチェックポイントトランザクション", _xlfn.REGEXTEST(C290, "Blocks With Corrupt Replicas Monitoring"), "破損レプリカを持つブロックの監視", _xlfn.REGEXTEST(C290, "Missing Block Monitoring"), "消失（ミッシング）ブロックの監視", _xlfn.REGEXTEST(C290, "Under-replicated Block Monitoring"), "レプリカ数不足ブロックの監視", _xlfn.REGEXTEST(C290, "HDFS Free Space Monitoring"), "HDFSの空き容量監視", _xlfn.REGEXTEST(C290, "DataNode Monitoring"), "DataNodeの稼働状態監視", _xlfn.REGEXTEST(C290, "Rules to Extract Events from Log Files"), "ログファイルからのイベント抽出ルール設定", _xlfn.REGEXTEST(C290, "Free Space Monitoring$"), "空き容量監視（一般設定）", _xlfn.REGEXTEST(C290, "Transceivers Usage"), "トランシーバー使用量（データ転送スレッド数）", _xlfn.REGEXTEST(C290, "Volume Failures"), "ボリューム障害（ディスクエラー）数", _xlfn.REGEXTEST(C290, "Block Count"), "ブロック総数", _xlfn.REGEXTEST(C290, "Audit Failure"), "監査（オーディット）ログの失敗イベント", _xlfn.REGEXTEST(C290, "Web Metric Collection Duration"), "Webメトリック収集の所要時間", _xlfn.REGEXTEST(C290, "Pause Duration"), "一時停止（ポーズ）の所要時間", _xlfn.REGEXTEST(C290, "Fsync Latency"), "Fsync（ディスク同期）のレイテンシ", _xlfn.REGEXTEST(C290, "Free Space Monitoring Absolute"), "空き容量（絶対値）", _xlfn.REGEXTEST(C290, "Free Space Monitoring Percentage"), "空き容量割合（%）", _xlfn.REGEXTEST(C290, "Age Monitoring"), "経過時間の監視", _xlfn.REGEXTEST(C290, "Transactions Monitoring"), "トランザクション数の監視", _xlfn.REGEXTEST(C290, "RPC Latency"), "RPC（遠隔手続き呼出し）のレイテンシ", _xlfn.REGEXTEST(C290, "Directory Failures"), "ディレクトリ障害数", _xlfn.REGEXTEST(C290, "Out-Of-Sync JournalNodes"), "同期ズレが発生しているJournalNode数", _xlfn.REGEXTEST(C290, "Safemode Threshold Percentage"), "セーフモード解除閾値の割合（%）", _xlfn.REGEXTEST(C290, "Kerberos Ticket Renewer Monitoring"), "Kerberosチケット更新プロセスの稼働状態監視", _xlfn.REGEXTEST(C290, "Load Balancer Monitoring"), "ロードバランサーの稼働状態監視", _xlfn.REGEXTEST(C290, "Navigator Audit Failure"), "Cloudera Navigator監査ログの失敗イベント", _xlfn.REGEXTEST(C290, "Schema Registry Server Monitoring"), "Schema Registry Serverの稼働状態監視", _xlfn.REGEXTEST(C290, "SRM Service Monitoring"), "SRMサービスの稼働状態監視", _xlfn.REGEXTEST(C290, "SRM Driver Monitoring"), "SRMドライバーの稼働状態監視", _xlfn.REGEXTEST(C290, "Loggin"), "ログ出力状態・設定監視", _xlfn.REGEXTEST(C290, "Server Monitoring"), "サーバーの稼働状態監視", _xlfn.REGEXTEST(C290, "Server Connection Count"), "サーバーの接続数（コネクション数）", _xlfn.REGEXTEST(C290, "Server Outstanding Requests"), "サーバーの未処理リクエスト数（滞留要求数）", _xlfn.REGEXTEST(C290, "Repository Status"), "リポジトリのステータス状態", _xlfn.REGEXTEST(C290, "Monitor Long Running Task"), "長時間実行タスク（ジョブ）の監視", _xlfn.REGEXTEST(C290, "Token requests per second"), "1秒あたりのトークンリクエスト数（要求レート）", _xlfn.REGEXTEST(C290, "Connection Model Score"), "接続モデルスコア（コネクション品質）", _xlfn.REGEXTEST(C290, "Queue swap"), "キューのスワップ発生状態", _xlfn.REGEXTEST(C290, "NiFi Node Monitoring"), "NiFiノードの稼働状態監視", _xlfn.REGEXTEST(C290, "Host Clock Offset"), "ホストのクロックオフセット（時刻同期のズレ）", _xlfn.REGEXTEST(C290, "Memory Overcommit Validation"), "メモリオーバーコミット設定の検証", _xlfn.REGEXTEST(C290, "Gateway Logging"), "ゲートウェイのログ出力設定", _xlfn.REGEXTEST(C290, "CPU Balance"), "CPU使用率の分散バランス状態", _xlfn.REGEXTEST(C290, "Disk Balance"), "ディスク使用量の分散バランス状態", _xlfn.REGEXTEST(C290, "Network Inbound Balance"), "ネットワークインバウンド（受信）の分散バランス状態", _xlfn.REGEXTEST(C290, "Network Outbound Balance"), "ネットワークアウトバウンド（送信）の分散バランス状態", _xlfn.REGEXTEST(C290, "Replica Count Balance"), "レプリカ数の分散バランス状態", _xlfn.REGEXTEST(C290, "Disk Capacity"), "ディスク総容量の限界・使用容量", _xlfn.REGEXTEST(C290, "CPU Capacity"), "CPU総処理能力の限界・使用量", _xlfn.REGEXTEST(C290, "Network Inbound Capacity"), "ネットワークインバウンド（受信）帯域の限界・使用量", _xlfn.REGEXTEST(C290, "Network Outbound Capacity"), "ネットワークアウトバウンド（送信）帯域の限界・使用量", _xlfn.REGEXTEST(C290, "Leader Replica Count Balance"), "リーダーレプリカ数の分散バランス状態", _xlfn.REGEXTEST(C290, "Host DNS Resolution Duration"), "ホストのDNS名前解決の所要時間", _xlfn.REGEXTEST(C290, "TLS Certificate Expiry"), "TLS証明書の有効期限切れ", _xlfn.REGEXTEST(C290, "Host Entropy"), "ホストのエントロピー（乱数生成能力）の不足", _xlfn.REGEXTEST(C290, "File Descriptor"), "プロセスのファイルディスクリプタ使用率", _xlfn.REGEXTEST(C290, "Unexpected Exits"), "プロセスの異常終了（予期せぬ停止）", _xlfn.REGEXTEST(C290, "Swap Memory Thresholds"), "プロセスのスワップメモリ使用量", _xlfn.REGEXTEST(C290, "Swap Memory Usage Rate"), "スワップメモリ使用量の変化率（増加速度）", _xlfn.REGEXTEST(C290, "Log Directory Free Space.*Absolute"), "ログディレクトリの空き容量（絶対値）", _xlfn.REGEXTEST(C290, "Log Directory Free Space.*Percentage"), "ログディレクトリの空き容量割合（%）", _xlfn.REGEXTEST(C290, "Heap Dump Directory Free Space.*Absolute"), "ヒープダンプディレクトリの空き容量（絶対値）", _xlfn.REGEXTEST(C290, "Heap Dump Directory Free Space.*Percentage"), "ヒープダンプディレクトリの空き容量割合（%）", _xlfn.REGEXTEST(C290, "Data Directory Free Space.*Absolute"), "データディレクトリの空き容量（絶対値）", _xlfn.REGEXTEST(C290, "Data Directory Free Space.*Percentage"), "データディレクトリの空き容量割合（%）", _xlfn.REGEXTEST(C290, "Transaction Log Directory Free Space.*Absolute"), "トランザクションログディレクトリの空き容量（絶対値）", _xlfn.REGEXTEST(C290, "Logging Threshold|Logger Threshold"), "ログ出力レベルの閾値設定", _xlfn.REGEXTEST(C290, "Enable.*Alerts"), "ヘルスアラートの有効化状態", _xlfn.REGEXTEST(C290, "Triggers"), "カスタムアラート条件（トリガー設定）", _xlfn.REGEXTEST(C290, "Healthy Kafka Broker"), "Kafka Brokerの健全ノード割合（稼働率）", _xlfn.REGEXTEST(C290, "Healthy Kafka Connect"), "Kafka Connectの健全ノード割合（稼働率）", _xlfn.REGEXTEST(C290, "Healthy KRaft Controller"), "KRaft Controllerの健全ノード割合（稼働率）", _xlfn.REGEXTEST(C290, "Healthy Knox IDBroker"), "Knox IDBrokerの健全ノード割合（稼働率）", _xlfn.REGEXTEST(C290, "Healthy Knox Gateway"), "Knox Gatewayの健全ノード割合（稼働率）", _xlfn.REGEXTEST(C290, "Healthy ZooKeeper Server"), "ZooKeeper Serverの健全ノード割合（稼働率）", _xlfn.REGEXTEST(C290, "Healthy NodeManager"), "NodeManagerの健全ノード割合（稼働率）", _xlfn.REGEXTEST(C290, "Maximum Latency"), "リクエストの最大レイテンシ（処理遅延）", _xlfn.REGEXTEST(C290, "Garbage Collection Duration"), "Javaのガベージコレクション（GC）の所要時間", _xlfn.REGEXTEST(C290, "Spool Directory Usage"), "Rangerプラグインのスプールディレクトリ使用量", _xlfn.REGEXTEST(C290, "Process Directory Free Space Monitoring Absolute"), "プロセスディレクトリの空き容量（絶対値)", _xlfn.REGEXTEST(C290, "Process Directory Free Space.*Percentage"), "プロセスディレクトリの空き容量割合（%）", _xlfn.REGEXTEST(C290, "Parcel Directory Free Space.*Absolute"), "パーセルディレクトリの空き容量（絶対値）", _xlfn.REGEXTEST(C290, "Parcel Directory Free Space.*Percentage"), "パーセルディレクトリの空き容量割合（%）", _xlfn.REGEXTEST(C290, "Host Network Frame Error Percentage"), "ホストのネットワークフレームエラー割合（%）", _xlfn.REGEXTEST(C290, "Network Interfaces Slow Link Modes"), "ホストのネットワークインターフェースの低速リンクモード検出", _xlfn.REGEXTEST(C290, "Host Memory Swapping"), "ホストのメモリのスワップ発生状態", TRUE, "要手動確認")</f>
        <v>DataNodeの稼働状態監視</v>
      </c>
      <c r="H290" s="479" t="s">
        <v>1082</v>
      </c>
    </row>
    <row r="291" spans="1:8" ht="16.899999999999999">
      <c r="A291" s="514"/>
      <c r="B291" s="473"/>
      <c r="C291" s="471" t="s">
        <v>1083</v>
      </c>
      <c r="D291" s="471" t="s">
        <v>1084</v>
      </c>
      <c r="E291" s="471" t="s">
        <v>1033</v>
      </c>
      <c r="F291" s="471"/>
      <c r="G291" s="471" t="str" cm="1">
        <f t="array" ref="G291">_xlfn.IFS(C291 = "", "", _xlfn.REGEXTEST(C291, "Service Metric Migrator Minimum Consecutive Successful Checks"), "サービスメトリック移行ツールの連続正常チェック最小回数", _xlfn.REGEXTEST(C291, "Rebalancing"), "リバランシング（データ再配置）状態", _xlfn.REGEXTEST(C291, "Temporary Dump Directory"), "一時ダンプディレクトリの監視", _xlfn.REGEXTEST(C291, "Safemode Extension"), "セーフモード延長状態", _xlfn.REGEXTEST(C291, "Client Idle"), "クライアントのアイドル（待機）状態", _xlfn.REGEXTEST(C291, "Available Space Policy Balanced"), "空き容量ポリシーの分散バランス状態", _xlfn.REGEXTEST(C291, "Filesystem Checkpoint Transaction"), "ファイルシステムのチェックポイントトランザクション", _xlfn.REGEXTEST(C291, "Blocks With Corrupt Replicas Monitoring"), "破損レプリカを持つブロックの監視", _xlfn.REGEXTEST(C291, "Missing Block Monitoring"), "消失（ミッシング）ブロックの監視", _xlfn.REGEXTEST(C291, "Under-replicated Block Monitoring"), "レプリカ数不足ブロックの監視", _xlfn.REGEXTEST(C291, "HDFS Free Space Monitoring"), "HDFSの空き容量監視", _xlfn.REGEXTEST(C291, "DataNode Monitoring"), "DataNodeの稼働状態監視", _xlfn.REGEXTEST(C291, "Rules to Extract Events from Log Files"), "ログファイルからのイベント抽出ルール設定", _xlfn.REGEXTEST(C291, "Free Space Monitoring$"), "空き容量監視（一般設定）", _xlfn.REGEXTEST(C291, "Transceivers Usage"), "トランシーバー使用量（データ転送スレッド数）", _xlfn.REGEXTEST(C291, "Volume Failures"), "ボリューム障害（ディスクエラー）数", _xlfn.REGEXTEST(C291, "Block Count"), "ブロック総数", _xlfn.REGEXTEST(C291, "Audit Failure"), "監査（オーディット）ログの失敗イベント", _xlfn.REGEXTEST(C291, "Web Metric Collection Duration"), "Webメトリック収集の所要時間", _xlfn.REGEXTEST(C291, "Pause Duration"), "一時停止（ポーズ）の所要時間", _xlfn.REGEXTEST(C291, "Fsync Latency"), "Fsync（ディスク同期）のレイテンシ", _xlfn.REGEXTEST(C291, "Free Space Monitoring Absolute"), "空き容量（絶対値）", _xlfn.REGEXTEST(C291, "Free Space Monitoring Percentage"), "空き容量割合（%）", _xlfn.REGEXTEST(C291, "Age Monitoring"), "経過時間の監視", _xlfn.REGEXTEST(C291, "Transactions Monitoring"), "トランザクション数の監視", _xlfn.REGEXTEST(C291, "RPC Latency"), "RPC（遠隔手続き呼出し）のレイテンシ", _xlfn.REGEXTEST(C291, "Directory Failures"), "ディレクトリ障害数", _xlfn.REGEXTEST(C291, "Out-Of-Sync JournalNodes"), "同期ズレが発生しているJournalNode数", _xlfn.REGEXTEST(C291, "Safemode Threshold Percentage"), "セーフモード解除閾値の割合（%）", _xlfn.REGEXTEST(C291, "Kerberos Ticket Renewer Monitoring"), "Kerberosチケット更新プロセスの稼働状態監視", _xlfn.REGEXTEST(C291, "Load Balancer Monitoring"), "ロードバランサーの稼働状態監視", _xlfn.REGEXTEST(C291, "Navigator Audit Failure"), "Cloudera Navigator監査ログの失敗イベント", _xlfn.REGEXTEST(C291, "Schema Registry Server Monitoring"), "Schema Registry Serverの稼働状態監視", _xlfn.REGEXTEST(C291, "SRM Service Monitoring"), "SRMサービスの稼働状態監視", _xlfn.REGEXTEST(C291, "SRM Driver Monitoring"), "SRMドライバーの稼働状態監視", _xlfn.REGEXTEST(C291, "Loggin"), "ログ出力状態・設定監視", _xlfn.REGEXTEST(C291, "Server Monitoring"), "サーバーの稼働状態監視", _xlfn.REGEXTEST(C291, "Server Connection Count"), "サーバーの接続数（コネクション数）", _xlfn.REGEXTEST(C291, "Server Outstanding Requests"), "サーバーの未処理リクエスト数（滞留要求数）", _xlfn.REGEXTEST(C291, "Repository Status"), "リポジトリのステータス状態", _xlfn.REGEXTEST(C291, "Monitor Long Running Task"), "長時間実行タスク（ジョブ）の監視", _xlfn.REGEXTEST(C291, "Token requests per second"), "1秒あたりのトークンリクエスト数（要求レート）", _xlfn.REGEXTEST(C291, "Connection Model Score"), "接続モデルスコア（コネクション品質）", _xlfn.REGEXTEST(C291, "Queue swap"), "キューのスワップ発生状態", _xlfn.REGEXTEST(C291, "NiFi Node Monitoring"), "NiFiノードの稼働状態監視", _xlfn.REGEXTEST(C291, "Host Clock Offset"), "ホストのクロックオフセット（時刻同期のズレ）", _xlfn.REGEXTEST(C291, "Memory Overcommit Validation"), "メモリオーバーコミット設定の検証", _xlfn.REGEXTEST(C291, "Gateway Logging"), "ゲートウェイのログ出力設定", _xlfn.REGEXTEST(C291, "CPU Balance"), "CPU使用率の分散バランス状態", _xlfn.REGEXTEST(C291, "Disk Balance"), "ディスク使用量の分散バランス状態", _xlfn.REGEXTEST(C291, "Network Inbound Balance"), "ネットワークインバウンド（受信）の分散バランス状態", _xlfn.REGEXTEST(C291, "Network Outbound Balance"), "ネットワークアウトバウンド（送信）の分散バランス状態", _xlfn.REGEXTEST(C291, "Replica Count Balance"), "レプリカ数の分散バランス状態", _xlfn.REGEXTEST(C291, "Disk Capacity"), "ディスク総容量の限界・使用容量", _xlfn.REGEXTEST(C291, "CPU Capacity"), "CPU総処理能力の限界・使用量", _xlfn.REGEXTEST(C291, "Network Inbound Capacity"), "ネットワークインバウンド（受信）帯域の限界・使用量", _xlfn.REGEXTEST(C291, "Network Outbound Capacity"), "ネットワークアウトバウンド（送信）帯域の限界・使用量", _xlfn.REGEXTEST(C291, "Leader Replica Count Balance"), "リーダーレプリカ数の分散バランス状態", _xlfn.REGEXTEST(C291, "Host DNS Resolution Duration"), "ホストのDNS名前解決の所要時間", _xlfn.REGEXTEST(C291, "TLS Certificate Expiry"), "TLS証明書の有効期限切れ", _xlfn.REGEXTEST(C291, "Host Entropy"), "ホストのエントロピー（乱数生成能力）の不足", _xlfn.REGEXTEST(C291, "File Descriptor"), "プロセスのファイルディスクリプタ使用率", _xlfn.REGEXTEST(C291, "Unexpected Exits"), "プロセスの異常終了（予期せぬ停止）", _xlfn.REGEXTEST(C291, "Swap Memory Thresholds"), "プロセスのスワップメモリ使用量", _xlfn.REGEXTEST(C291, "Swap Memory Usage Rate"), "スワップメモリ使用量の変化率（増加速度）", _xlfn.REGEXTEST(C291, "Log Directory Free Space.*Absolute"), "ログディレクトリの空き容量（絶対値）", _xlfn.REGEXTEST(C291, "Log Directory Free Space.*Percentage"), "ログディレクトリの空き容量割合（%）", _xlfn.REGEXTEST(C291, "Heap Dump Directory Free Space.*Absolute"), "ヒープダンプディレクトリの空き容量（絶対値）", _xlfn.REGEXTEST(C291, "Heap Dump Directory Free Space.*Percentage"), "ヒープダンプディレクトリの空き容量割合（%）", _xlfn.REGEXTEST(C291, "Data Directory Free Space.*Absolute"), "データディレクトリの空き容量（絶対値）", _xlfn.REGEXTEST(C291, "Data Directory Free Space.*Percentage"), "データディレクトリの空き容量割合（%）", _xlfn.REGEXTEST(C291, "Transaction Log Directory Free Space.*Absolute"), "トランザクションログディレクトリの空き容量（絶対値）", _xlfn.REGEXTEST(C291, "Logging Threshold|Logger Threshold"), "ログ出力レベルの閾値設定", _xlfn.REGEXTEST(C291, "Enable.*Alerts"), "ヘルスアラートの有効化状態", _xlfn.REGEXTEST(C291, "Triggers"), "カスタムアラート条件（トリガー設定）", _xlfn.REGEXTEST(C291, "Healthy Kafka Broker"), "Kafka Brokerの健全ノード割合（稼働率）", _xlfn.REGEXTEST(C291, "Healthy Kafka Connect"), "Kafka Connectの健全ノード割合（稼働率）", _xlfn.REGEXTEST(C291, "Healthy KRaft Controller"), "KRaft Controllerの健全ノード割合（稼働率）", _xlfn.REGEXTEST(C291, "Healthy Knox IDBroker"), "Knox IDBrokerの健全ノード割合（稼働率）", _xlfn.REGEXTEST(C291, "Healthy Knox Gateway"), "Knox Gatewayの健全ノード割合（稼働率）", _xlfn.REGEXTEST(C291, "Healthy ZooKeeper Server"), "ZooKeeper Serverの健全ノード割合（稼働率）", _xlfn.REGEXTEST(C291, "Healthy NodeManager"), "NodeManagerの健全ノード割合（稼働率）", _xlfn.REGEXTEST(C291, "Maximum Latency"), "リクエストの最大レイテンシ（処理遅延）", _xlfn.REGEXTEST(C291, "Garbage Collection Duration"), "Javaのガベージコレクション（GC）の所要時間", _xlfn.REGEXTEST(C291, "Spool Directory Usage"), "Rangerプラグインのスプールディレクトリ使用量", _xlfn.REGEXTEST(C291, "Process Directory Free Space Monitoring Absolute"), "プロセスディレクトリの空き容量（絶対値)", _xlfn.REGEXTEST(C291, "Process Directory Free Space.*Percentage"), "プロセスディレクトリの空き容量割合（%）", _xlfn.REGEXTEST(C291, "Parcel Directory Free Space.*Absolute"), "パーセルディレクトリの空き容量（絶対値）", _xlfn.REGEXTEST(C291, "Parcel Directory Free Space.*Percentage"), "パーセルディレクトリの空き容量割合（%）", _xlfn.REGEXTEST(C291, "Host Network Frame Error Percentage"), "ホストのネットワークフレームエラー割合（%）", _xlfn.REGEXTEST(C291, "Network Interfaces Slow Link Modes"), "ホストのネットワークインターフェースの低速リンクモード検出", _xlfn.REGEXTEST(C291, "Host Memory Swapping"), "ホストのメモリのスワップ発生状態", TRUE, "要手動確認")</f>
        <v>ログファイルからのイベント抽出ルール設定</v>
      </c>
      <c r="H291" s="479" t="s">
        <v>1085</v>
      </c>
    </row>
    <row r="292" spans="1:8" ht="33.6">
      <c r="A292" s="514"/>
      <c r="B292" s="473"/>
      <c r="C292" s="471" t="s">
        <v>1086</v>
      </c>
      <c r="D292" s="471" t="s">
        <v>1087</v>
      </c>
      <c r="E292" s="471" t="s">
        <v>1047</v>
      </c>
      <c r="F292" s="471"/>
      <c r="G292" s="471" t="str" cm="1">
        <f t="array" ref="G292">_xlfn.IFS(C292 = "", "", _xlfn.REGEXTEST(C292, "Free Space Monitoring"), "空き容量監視（一般設定）", _xlfn.REGEXTEST(C292, "Service Metric Migrator Minimum Consecutive Successful Checks"), "サービスメトリック移行ツールの連続正常チェック最小回数", _xlfn.REGEXTEST(C292, "Rebalancing"), "リバランシング（データ再配置）状態", _xlfn.REGEXTEST(C292, "Temporary Dump Directory"), "一時ダンプディレクトリの監視", _xlfn.REGEXTEST(C292, "Safemode Extension"), "セーフモード延長状態", _xlfn.REGEXTEST(C292, "Client Idle"), "クライアントのアイドル（待機）状態", _xlfn.REGEXTEST(C292, "Available Space Policy Balanced"), "空き容量ポリシーの分散バランス状態", _xlfn.REGEXTEST(C292, "Filesystem Checkpoint Transaction"), "ファイルシステムのチェックポイントトランザクション", _xlfn.REGEXTEST(C292, "Blocks With Corrupt Replicas Monitoring"), "破損レプリカを持つブロックの監視", _xlfn.REGEXTEST(C292, "Missing Block Monitoring"), "消失（ミッシング）ブロックの監視", _xlfn.REGEXTEST(C292, "Under-replicated Block Monitoring"), "レプリカ数不足ブロックの監視", _xlfn.REGEXTEST(C292, "HDFS Free Space Monitoring"), "HDFSの空き容量監視", _xlfn.REGEXTEST(C292, "DataNode Monitoring"), "DataNodeの稼働状態監視", _xlfn.REGEXTEST(C292, "Rules to Extract Events from Log Files"), "ログファイルからのイベント抽出ルール設定", _xlfn.REGEXTEST(C292, "Free Space Monitoring$"), "空き容量監視（一般設定）", _xlfn.REGEXTEST(C292, "Transceivers Usage"), "トランシーバー使用量（データ転送スレッド数）", _xlfn.REGEXTEST(C292, "Volume Failures"), "ボリューム障害（ディスクエラー）数", _xlfn.REGEXTEST(C292, "Block Count"), "ブロック総数", _xlfn.REGEXTEST(C292, "Audit Failure"), "監査（オーディット）ログの失敗イベント", _xlfn.REGEXTEST(C292, "Web Metric Collection Duration"), "Webメトリック収集の所要時間", _xlfn.REGEXTEST(C292, "Pause Duration"), "一時停止（ポーズ）の所要時間", _xlfn.REGEXTEST(C292, "Fsync Latency"), "Fsync（ディスク同期）のレイテンシ", _xlfn.REGEXTEST(C292, "Free Space Monitoring Absolute"), "空き容量（絶対値）", _xlfn.REGEXTEST(C292, "Free Space Monitoring Percentage"), "空き容量割合（%）", _xlfn.REGEXTEST(C292, "Age Monitoring"), "経過時間の監視", _xlfn.REGEXTEST(C292, "Transactions Monitoring"), "トランザクション数の監視", _xlfn.REGEXTEST(C292, "RPC Latency"), "RPC（遠隔手続き呼出し）のレイテンシ", _xlfn.REGEXTEST(C292, "Directory Failures"), "ディレクトリ障害数", _xlfn.REGEXTEST(C292, "Out-Of-Sync JournalNodes"), "同期ズレが発生しているJournalNode数", _xlfn.REGEXTEST(C292, "Safemode Threshold Percentage"), "セーフモード解除閾値の割合（%）", _xlfn.REGEXTEST(C292, "Kerberos Ticket Renewer Monitoring"), "Kerberosチケット更新プロセスの稼働状態監視", _xlfn.REGEXTEST(C292, "Load Balancer Monitoring"), "ロードバランサーの稼働状態監視", _xlfn.REGEXTEST(C292, "Navigator Audit Failure"), "Cloudera Navigator監査ログの失敗イベント", _xlfn.REGEXTEST(C292, "Schema Registry Server Monitoring"), "Schema Registry Serverの稼働状態監視", _xlfn.REGEXTEST(C292, "SRM Service Monitoring"), "SRMサービスの稼働状態監視", _xlfn.REGEXTEST(C292, "SRM Driver Monitoring"), "SRMドライバーの稼働状態監視", _xlfn.REGEXTEST(C292, "Loggin"), "ログ出力状態・設定監視", _xlfn.REGEXTEST(C292, "Server Monitoring"), "サーバーの稼働状態監視", _xlfn.REGEXTEST(C292, "Server Connection Count"), "サーバーの接続数（コネクション数）", _xlfn.REGEXTEST(C292, "Server Outstanding Requests"), "サーバーの未処理リクエスト数（滞留要求数）", _xlfn.REGEXTEST(C292, "Repository Status"), "リポジトリのステータス状態", _xlfn.REGEXTEST(C292, "Monitor Long Running Task"), "長時間実行タスク（ジョブ）の監視", _xlfn.REGEXTEST(C292, "Token requests per second"), "1秒あたりのトークンリクエスト数（要求レート）", _xlfn.REGEXTEST(C292, "Connection Model Score"), "接続モデルスコア（コネクション品質）", _xlfn.REGEXTEST(C292, "Queue swap"), "キューのスワップ発生状態", _xlfn.REGEXTEST(C292, "NiFi Node Monitoring"), "NiFiノードの稼働状態監視", _xlfn.REGEXTEST(C292, "Host Clock Offset"), "ホストのクロックオフセット（時刻同期のズレ）", _xlfn.REGEXTEST(C292, "Memory Overcommit Validation"), "メモリオーバーコミット設定の検証", _xlfn.REGEXTEST(C292, "Gateway Logging"), "ゲートウェイのログ出力設定", _xlfn.REGEXTEST(C292, "CPU Balance"), "CPU使用率の分散バランス状態", _xlfn.REGEXTEST(C292, "Disk Balance"), "ディスク使用量の分散バランス状態", _xlfn.REGEXTEST(C292, "Network Inbound Balance"), "ネットワークインバウンド（受信）の分散バランス状態", _xlfn.REGEXTEST(C292, "Network Outbound Balance"), "ネットワークアウトバウンド（送信）の分散バランス状態", _xlfn.REGEXTEST(C292, "Replica Count Balance"), "レプリカ数の分散バランス状態", _xlfn.REGEXTEST(C292, "Disk Capacity"), "ディスク総容量の限界・使用容量", _xlfn.REGEXTEST(C292, "CPU Capacity"), "CPU総処理能力の限界・使用量", _xlfn.REGEXTEST(C292, "Network Inbound Capacity"), "ネットワークインバウンド（受信）帯域の限界・使用量", _xlfn.REGEXTEST(C292, "Network Outbound Capacity"), "ネットワークアウトバウンド（送信）帯域の限界・使用量", _xlfn.REGEXTEST(C292, "Leader Replica Count Balance"), "リーダーレプリカ数の分散バランス状態", _xlfn.REGEXTEST(C292, "Host DNS Resolution Duration"), "ホストのDNS名前解決の所要時間", _xlfn.REGEXTEST(C292, "TLS Certificate Expiry"), "TLS証明書の有効期限切れ", _xlfn.REGEXTEST(C292, "Host Entropy"), "ホストのエントロピー（乱数生成能力）の不足", _xlfn.REGEXTEST(C292, "File Descriptor"), "プロセスのファイルディスクリプタ使用率", _xlfn.REGEXTEST(C292, "Unexpected Exits"), "プロセスの異常終了（予期せぬ停止）", _xlfn.REGEXTEST(C292, "Swap Memory Thresholds"), "プロセスのスワップメモリ使用量", _xlfn.REGEXTEST(C292, "Swap Memory Usage Rate"), "スワップメモリ使用量の変化率（増加速度）", _xlfn.REGEXTEST(C292, "Log Directory Free Space.*Absolute"), "ログディレクトリの空き容量（絶対値）", _xlfn.REGEXTEST(C292, "Log Directory Free Space.*Percentage"), "ログディレクトリの空き容量割合（%）", _xlfn.REGEXTEST(C292, "Heap Dump Directory Free Space.*Absolute"), "ヒープダンプディレクトリの空き容量（絶対値）", _xlfn.REGEXTEST(C292, "Heap Dump Directory Free Space.*Percentage"), "ヒープダンプディレクトリの空き容量割合（%）", _xlfn.REGEXTEST(C292, "Data Directory Free Space.*Absolute"), "データディレクトリの空き容量（絶対値）", _xlfn.REGEXTEST(C292, "Data Directory Free Space.*Percentage"), "データディレクトリの空き容量割合（%）", _xlfn.REGEXTEST(C292, "Transaction Log Directory Free Space.*Absolute"), "トランザクションログディレクトリの空き容量（絶対値）", _xlfn.REGEXTEST(C292, "Logging Threshold|Logger Threshold"), "ログ出力レベルの閾値設定", _xlfn.REGEXTEST(C292, "Enable.*Alerts"), "ヘルスアラートの有効化状態", _xlfn.REGEXTEST(C292, "Triggers"), "カスタムアラート条件（トリガー設定）", _xlfn.REGEXTEST(C292, "Healthy Kafka Broker"), "Kafka Brokerの健全ノード割合（稼働率）", _xlfn.REGEXTEST(C292, "Healthy Kafka Connect"), "Kafka Connectの健全ノード割合（稼働率）", _xlfn.REGEXTEST(C292, "Healthy KRaft Controller"), "KRaft Controllerの健全ノード割合（稼働率）", _xlfn.REGEXTEST(C292, "Healthy Knox IDBroker"), "Knox IDBrokerの健全ノード割合（稼働率）", _xlfn.REGEXTEST(C292, "Healthy Knox Gateway"), "Knox Gatewayの健全ノード割合（稼働率）", _xlfn.REGEXTEST(C292, "Healthy ZooKeeper Server"), "ZooKeeper Serverの健全ノード割合（稼働率）", _xlfn.REGEXTEST(C292, "Healthy NodeManager"), "NodeManagerの健全ノード割合（稼働率）", _xlfn.REGEXTEST(C292, "Maximum Latency"), "リクエストの最大レイテンシ（処理遅延）", _xlfn.REGEXTEST(C292, "Garbage Collection Duration"), "Javaのガベージコレクション（GC）の所要時間", _xlfn.REGEXTEST(C292, "Spool Directory Usage"), "Rangerプラグインのスプールディレクトリ使用量", _xlfn.REGEXTEST(C292, "Process Directory Free Space Monitoring Absolute"), "プロセスディレクトリの空き容量（絶対値)", _xlfn.REGEXTEST(C292, "Process Directory Free Space.*Percentage"), "プロセスディレクトリの空き容量割合（%）", _xlfn.REGEXTEST(C292, "Parcel Directory Free Space.*Absolute"), "パーセルディレクトリの空き容量（絶対値）", _xlfn.REGEXTEST(C292, "Parcel Directory Free Space.*Percentage"), "パーセルディレクトリの空き容量割合（%）", _xlfn.REGEXTEST(C292, "Host Network Frame Error Percentage"), "ホストのネットワークフレームエラー割合（%）", _xlfn.REGEXTEST(C292, "Network Interfaces Slow Link Modes"), "ホストのネットワークインターフェースの低速リンクモード検出", _xlfn.REGEXTEST(C292, "Host Memory Swapping"), "ホストのメモリのスワップ発生状態", TRUE, "要手動確認")</f>
        <v>空き容量監視（一般設定）</v>
      </c>
      <c r="H292" s="479" t="s">
        <v>1078</v>
      </c>
    </row>
    <row r="293" spans="1:8" ht="33.6">
      <c r="A293" s="514"/>
      <c r="B293" s="473"/>
      <c r="C293" s="471" t="s">
        <v>1088</v>
      </c>
      <c r="D293" s="471" t="s">
        <v>1089</v>
      </c>
      <c r="E293" s="471" t="s">
        <v>1047</v>
      </c>
      <c r="F293" s="471"/>
      <c r="G293" s="471" t="str" cm="1">
        <f t="array" ref="G293">_xlfn.IFS(C293 = "", "", _xlfn.REGEXTEST(C293, "Service Metric Migrator Minimum Consecutive Successful Checks"), "サービスメトリック移行ツールの連続正常チェック最小回数", _xlfn.REGEXTEST(C293, "Rebalancing"), "リバランシング（データ再配置）状態", _xlfn.REGEXTEST(C293, "Temporary Dump Directory"), "一時ダンプディレクトリの監視", _xlfn.REGEXTEST(C293, "Safemode Extension"), "セーフモード延長状態", _xlfn.REGEXTEST(C293, "Client Idle"), "クライアントのアイドル（待機）状態", _xlfn.REGEXTEST(C293, "Available Space Policy Balanced"), "空き容量ポリシーの分散バランス状態", _xlfn.REGEXTEST(C293, "Filesystem Checkpoint Transaction"), "ファイルシステムのチェックポイントトランザクション", _xlfn.REGEXTEST(C293, "Blocks With Corrupt Replicas Monitoring"), "破損レプリカを持つブロックの監視", _xlfn.REGEXTEST(C293, "Missing Block Monitoring"), "消失（ミッシング）ブロックの監視", _xlfn.REGEXTEST(C293, "Under-replicated Block Monitoring"), "レプリカ数不足ブロックの監視", _xlfn.REGEXTEST(C293, "HDFS Free Space Monitoring"), "HDFSの空き容量監視", _xlfn.REGEXTEST(C293, "DataNode Monitoring"), "DataNodeの稼働状態監視", _xlfn.REGEXTEST(C293, "Rules to Extract Events from Log Files"), "ログファイルからのイベント抽出ルール設定", _xlfn.REGEXTEST(C293, "Free Space Monitoring$"), "空き容量監視（一般設定）", _xlfn.REGEXTEST(C293, "Transceivers Usage"), "トランシーバー使用量（データ転送スレッド数）", _xlfn.REGEXTEST(C293, "Volume Failures"), "ボリューム障害（ディスクエラー）数", _xlfn.REGEXTEST(C293, "Block Count"), "ブロック総数", _xlfn.REGEXTEST(C293, "Audit Failure"), "監査（オーディット）ログの失敗イベント", _xlfn.REGEXTEST(C293, "Web Metric Collection Duration"), "Webメトリック収集の所要時間", _xlfn.REGEXTEST(C293, "Pause Duration"), "一時停止（ポーズ）の所要時間", _xlfn.REGEXTEST(C293, "Fsync Latency"), "Fsync（ディスク同期）のレイテンシ", _xlfn.REGEXTEST(C293, "Free Space Monitoring Absolute"), "空き容量（絶対値）", _xlfn.REGEXTEST(C293, "Free Space Monitoring Percentage"), "空き容量割合（%）", _xlfn.REGEXTEST(C293, "Age Monitoring"), "経過時間の監視", _xlfn.REGEXTEST(C293, "Transactions Monitoring"), "トランザクション数の監視", _xlfn.REGEXTEST(C293, "RPC Latency"), "RPC（遠隔手続き呼出し）のレイテンシ", _xlfn.REGEXTEST(C293, "Directory Failures"), "ディレクトリ障害数", _xlfn.REGEXTEST(C293, "Out-Of-Sync JournalNodes"), "同期ズレが発生しているJournalNode数", _xlfn.REGEXTEST(C293, "Safemode Threshold Percentage"), "セーフモード解除閾値の割合（%）", _xlfn.REGEXTEST(C293, "Kerberos Ticket Renewer Monitoring"), "Kerberosチケット更新プロセスの稼働状態監視", _xlfn.REGEXTEST(C293, "Load Balancer Monitoring"), "ロードバランサーの稼働状態監視", _xlfn.REGEXTEST(C293, "Navigator Audit Failure"), "Cloudera Navigator監査ログの失敗イベント", _xlfn.REGEXTEST(C293, "Schema Registry Server Monitoring"), "Schema Registry Serverの稼働状態監視", _xlfn.REGEXTEST(C293, "SRM Service Monitoring"), "SRMサービスの稼働状態監視", _xlfn.REGEXTEST(C293, "SRM Driver Monitoring"), "SRMドライバーの稼働状態監視", _xlfn.REGEXTEST(C293, "Loggin"), "ログ出力状態・設定監視", _xlfn.REGEXTEST(C293, "Server Monitoring"), "サーバーの稼働状態監視", _xlfn.REGEXTEST(C293, "Server Connection Count"), "サーバーの接続数（コネクション数）", _xlfn.REGEXTEST(C293, "Server Outstanding Requests"), "サーバーの未処理リクエスト数（滞留要求数）", _xlfn.REGEXTEST(C293, "Repository Status"), "リポジトリのステータス状態", _xlfn.REGEXTEST(C293, "Monitor Long Running Task"), "長時間実行タスク（ジョブ）の監視", _xlfn.REGEXTEST(C293, "Token requests per second"), "1秒あたりのトークンリクエスト数（要求レート）", _xlfn.REGEXTEST(C293, "Connection Model Score"), "接続モデルスコア（コネクション品質）", _xlfn.REGEXTEST(C293, "Queue swap"), "キューのスワップ発生状態", _xlfn.REGEXTEST(C293, "NiFi Node Monitoring"), "NiFiノードの稼働状態監視", _xlfn.REGEXTEST(C293, "Host Clock Offset"), "ホストのクロックオフセット（時刻同期のズレ）", _xlfn.REGEXTEST(C293, "Memory Overcommit Validation"), "メモリオーバーコミット設定の検証", _xlfn.REGEXTEST(C293, "Gateway Logging"), "ゲートウェイのログ出力設定", _xlfn.REGEXTEST(C293, "CPU Balance"), "CPU使用率の分散バランス状態", _xlfn.REGEXTEST(C293, "Disk Balance"), "ディスク使用量の分散バランス状態", _xlfn.REGEXTEST(C293, "Network Inbound Balance"), "ネットワークインバウンド（受信）の分散バランス状態", _xlfn.REGEXTEST(C293, "Network Outbound Balance"), "ネットワークアウトバウンド（送信）の分散バランス状態", _xlfn.REGEXTEST(C293, "Replica Count Balance"), "レプリカ数の分散バランス状態", _xlfn.REGEXTEST(C293, "Disk Capacity"), "ディスク総容量の限界・使用容量", _xlfn.REGEXTEST(C293, "CPU Capacity"), "CPU総処理能力の限界・使用量", _xlfn.REGEXTEST(C293, "Network Inbound Capacity"), "ネットワークインバウンド（受信）帯域の限界・使用量", _xlfn.REGEXTEST(C293, "Network Outbound Capacity"), "ネットワークアウトバウンド（送信）帯域の限界・使用量", _xlfn.REGEXTEST(C293, "Leader Replica Count Balance"), "リーダーレプリカ数の分散バランス状態", _xlfn.REGEXTEST(C293, "Host DNS Resolution Duration"), "ホストのDNS名前解決の所要時間", _xlfn.REGEXTEST(C293, "TLS Certificate Expiry"), "TLS証明書の有効期限切れ", _xlfn.REGEXTEST(C293, "Host Entropy"), "ホストのエントロピー（乱数生成能力）の不足", _xlfn.REGEXTEST(C293, "File Descriptor"), "プロセスのファイルディスクリプタ使用率", _xlfn.REGEXTEST(C293, "Unexpected Exits"), "プロセスの異常終了（予期せぬ停止）", _xlfn.REGEXTEST(C293, "Swap Memory Thresholds"), "プロセスのスワップメモリ使用量", _xlfn.REGEXTEST(C293, "Swap Memory Usage Rate"), "スワップメモリ使用量の変化率（増加速度）", _xlfn.REGEXTEST(C293, "Log Directory Free Space.*Absolute"), "ログディレクトリの空き容量（絶対値）", _xlfn.REGEXTEST(C293, "Log Directory Free Space.*Percentage"), "ログディレクトリの空き容量割合（%）", _xlfn.REGEXTEST(C293, "Heap Dump Directory Free Space.*Absolute"), "ヒープダンプディレクトリの空き容量（絶対値）", _xlfn.REGEXTEST(C293, "Heap Dump Directory Free Space.*Percentage"), "ヒープダンプディレクトリの空き容量割合（%）", _xlfn.REGEXTEST(C293, "Data Directory Free Space.*Absolute"), "データディレクトリの空き容量（絶対値）", _xlfn.REGEXTEST(C293, "Data Directory Free Space.*Percentage"), "データディレクトリの空き容量割合（%）", _xlfn.REGEXTEST(C293, "Transaction Log Directory Free Space.*Absolute"), "トランザクションログディレクトリの空き容量（絶対値）", _xlfn.REGEXTEST(C293, "Logging Threshold|Logger Threshold"), "ログ出力レベルの閾値設定", _xlfn.REGEXTEST(C293, "Enable.*Alerts"), "ヘルスアラートの有効化状態", _xlfn.REGEXTEST(C293, "Triggers"), "カスタムアラート条件（トリガー設定）", _xlfn.REGEXTEST(C293, "Healthy Kafka Broker"), "Kafka Brokerの健全ノード割合（稼働率）", _xlfn.REGEXTEST(C293, "Healthy Kafka Connect"), "Kafka Connectの健全ノード割合（稼働率）", _xlfn.REGEXTEST(C293, "Healthy KRaft Controller"), "KRaft Controllerの健全ノード割合（稼働率）", _xlfn.REGEXTEST(C293, "Healthy Knox IDBroker"), "Knox IDBrokerの健全ノード割合（稼働率）", _xlfn.REGEXTEST(C293, "Healthy Knox Gateway"), "Knox Gatewayの健全ノード割合（稼働率）", _xlfn.REGEXTEST(C293, "Healthy ZooKeeper Server"), "ZooKeeper Serverの健全ノード割合（稼働率）", _xlfn.REGEXTEST(C293, "Healthy NodeManager"), "NodeManagerの健全ノード割合（稼働率）", _xlfn.REGEXTEST(C293, "Maximum Latency"), "リクエストの最大レイテンシ（処理遅延）", _xlfn.REGEXTEST(C293, "Garbage Collection Duration"), "Javaのガベージコレクション（GC）の所要時間", _xlfn.REGEXTEST(C293, "Spool Directory Usage"), "Rangerプラグインのスプールディレクトリ使用量", _xlfn.REGEXTEST(C293, "Process Directory Free Space Monitoring Absolute"), "プロセスディレクトリの空き容量（絶対値)", _xlfn.REGEXTEST(C293, "Process Directory Free Space.*Percentage"), "プロセスディレクトリの空き容量割合（%）", _xlfn.REGEXTEST(C293, "Parcel Directory Free Space.*Absolute"), "パーセルディレクトリの空き容量（絶対値）", _xlfn.REGEXTEST(C293, "Parcel Directory Free Space.*Percentage"), "パーセルディレクトリの空き容量割合（%）", _xlfn.REGEXTEST(C293, "Host Network Frame Error Percentage"), "ホストのネットワークフレームエラー割合（%）", _xlfn.REGEXTEST(C293, "Network Interfaces Slow Link Modes"), "ホストのネットワークインターフェースの低速リンクモード検出", _xlfn.REGEXTEST(C293, "Host Memory Swapping"), "ホストのメモリのスワップ発生状態", TRUE, "要手動確認")</f>
        <v>トランシーバー使用量（データ転送スレッド数）</v>
      </c>
      <c r="H293" s="479" t="s">
        <v>1090</v>
      </c>
    </row>
    <row r="294" spans="1:8" ht="33.6">
      <c r="A294" s="514"/>
      <c r="B294" s="473"/>
      <c r="C294" s="471" t="s">
        <v>1091</v>
      </c>
      <c r="D294" s="471" t="s">
        <v>1092</v>
      </c>
      <c r="E294" s="471" t="s">
        <v>1047</v>
      </c>
      <c r="F294" s="471"/>
      <c r="G294" s="471" t="str" cm="1">
        <f t="array" ref="G294">_xlfn.IFS(C294 = "", "", _xlfn.REGEXTEST(C294, "Service Metric Migrator Minimum Consecutive Successful Checks"), "サービスメトリック移行ツールの連続正常チェック最小回数", _xlfn.REGEXTEST(C294, "Rebalancing"), "リバランシング（データ再配置）状態", _xlfn.REGEXTEST(C294, "Temporary Dump Directory"), "一時ダンプディレクトリの監視", _xlfn.REGEXTEST(C294, "Safemode Extension"), "セーフモード延長状態", _xlfn.REGEXTEST(C294, "Client Idle"), "クライアントのアイドル（待機）状態", _xlfn.REGEXTEST(C294, "Available Space Policy Balanced"), "空き容量ポリシーの分散バランス状態", _xlfn.REGEXTEST(C294, "Filesystem Checkpoint Transaction"), "ファイルシステムのチェックポイントトランザクション", _xlfn.REGEXTEST(C294, "Blocks With Corrupt Replicas Monitoring"), "破損レプリカを持つブロックの監視", _xlfn.REGEXTEST(C294, "Missing Block Monitoring"), "消失（ミッシング）ブロックの監視", _xlfn.REGEXTEST(C294, "Under-replicated Block Monitoring"), "レプリカ数不足ブロックの監視", _xlfn.REGEXTEST(C294, "HDFS Free Space Monitoring"), "HDFSの空き容量監視", _xlfn.REGEXTEST(C294, "DataNode Monitoring"), "DataNodeの稼働状態監視", _xlfn.REGEXTEST(C294, "Rules to Extract Events from Log Files"), "ログファイルからのイベント抽出ルール設定", _xlfn.REGEXTEST(C294, "Free Space Monitoring$"), "空き容量監視（一般設定）", _xlfn.REGEXTEST(C294, "Transceivers Usage"), "トランシーバー使用量（データ転送スレッド数）", _xlfn.REGEXTEST(C294, "Volume Failures"), "ボリューム障害（ディスクエラー）数", _xlfn.REGEXTEST(C294, "Block Count"), "ブロック総数", _xlfn.REGEXTEST(C294, "Audit Failure"), "監査（オーディット）ログの失敗イベント", _xlfn.REGEXTEST(C294, "Web Metric Collection Duration"), "Webメトリック収集の所要時間", _xlfn.REGEXTEST(C294, "Pause Duration"), "一時停止（ポーズ）の所要時間", _xlfn.REGEXTEST(C294, "Fsync Latency"), "Fsync（ディスク同期）のレイテンシ", _xlfn.REGEXTEST(C294, "Free Space Monitoring Absolute"), "空き容量（絶対値）", _xlfn.REGEXTEST(C294, "Free Space Monitoring Percentage"), "空き容量割合（%）", _xlfn.REGEXTEST(C294, "Age Monitoring"), "経過時間の監視", _xlfn.REGEXTEST(C294, "Transactions Monitoring"), "トランザクション数の監視", _xlfn.REGEXTEST(C294, "RPC Latency"), "RPC（遠隔手続き呼出し）のレイテンシ", _xlfn.REGEXTEST(C294, "Directory Failures"), "ディレクトリ障害数", _xlfn.REGEXTEST(C294, "Out-Of-Sync JournalNodes"), "同期ズレが発生しているJournalNode数", _xlfn.REGEXTEST(C294, "Safemode Threshold Percentage"), "セーフモード解除閾値の割合（%）", _xlfn.REGEXTEST(C294, "Kerberos Ticket Renewer Monitoring"), "Kerberosチケット更新プロセスの稼働状態監視", _xlfn.REGEXTEST(C294, "Load Balancer Monitoring"), "ロードバランサーの稼働状態監視", _xlfn.REGEXTEST(C294, "Navigator Audit Failure"), "Cloudera Navigator監査ログの失敗イベント", _xlfn.REGEXTEST(C294, "Schema Registry Server Monitoring"), "Schema Registry Serverの稼働状態監視", _xlfn.REGEXTEST(C294, "SRM Service Monitoring"), "SRMサービスの稼働状態監視", _xlfn.REGEXTEST(C294, "SRM Driver Monitoring"), "SRMドライバーの稼働状態監視", _xlfn.REGEXTEST(C294, "Loggin"), "ログ出力状態・設定監視", _xlfn.REGEXTEST(C294, "Server Monitoring"), "サーバーの稼働状態監視", _xlfn.REGEXTEST(C294, "Server Connection Count"), "サーバーの接続数（コネクション数）", _xlfn.REGEXTEST(C294, "Server Outstanding Requests"), "サーバーの未処理リクエスト数（滞留要求数）", _xlfn.REGEXTEST(C294, "Repository Status"), "リポジトリのステータス状態", _xlfn.REGEXTEST(C294, "Monitor Long Running Task"), "長時間実行タスク（ジョブ）の監視", _xlfn.REGEXTEST(C294, "Token requests per second"), "1秒あたりのトークンリクエスト数（要求レート）", _xlfn.REGEXTEST(C294, "Connection Model Score"), "接続モデルスコア（コネクション品質）", _xlfn.REGEXTEST(C294, "Queue swap"), "キューのスワップ発生状態", _xlfn.REGEXTEST(C294, "NiFi Node Monitoring"), "NiFiノードの稼働状態監視", _xlfn.REGEXTEST(C294, "Host Clock Offset"), "ホストのクロックオフセット（時刻同期のズレ）", _xlfn.REGEXTEST(C294, "Memory Overcommit Validation"), "メモリオーバーコミット設定の検証", _xlfn.REGEXTEST(C294, "Gateway Logging"), "ゲートウェイのログ出力設定", _xlfn.REGEXTEST(C294, "CPU Balance"), "CPU使用率の分散バランス状態", _xlfn.REGEXTEST(C294, "Disk Balance"), "ディスク使用量の分散バランス状態", _xlfn.REGEXTEST(C294, "Network Inbound Balance"), "ネットワークインバウンド（受信）の分散バランス状態", _xlfn.REGEXTEST(C294, "Network Outbound Balance"), "ネットワークアウトバウンド（送信）の分散バランス状態", _xlfn.REGEXTEST(C294, "Replica Count Balance"), "レプリカ数の分散バランス状態", _xlfn.REGEXTEST(C294, "Disk Capacity"), "ディスク総容量の限界・使用容量", _xlfn.REGEXTEST(C294, "CPU Capacity"), "CPU総処理能力の限界・使用量", _xlfn.REGEXTEST(C294, "Network Inbound Capacity"), "ネットワークインバウンド（受信）帯域の限界・使用量", _xlfn.REGEXTEST(C294, "Network Outbound Capacity"), "ネットワークアウトバウンド（送信）帯域の限界・使用量", _xlfn.REGEXTEST(C294, "Leader Replica Count Balance"), "リーダーレプリカ数の分散バランス状態", _xlfn.REGEXTEST(C294, "Host DNS Resolution Duration"), "ホストのDNS名前解決の所要時間", _xlfn.REGEXTEST(C294, "TLS Certificate Expiry"), "TLS証明書の有効期限切れ", _xlfn.REGEXTEST(C294, "Host Entropy"), "ホストのエントロピー（乱数生成能力）の不足", _xlfn.REGEXTEST(C294, "File Descriptor"), "プロセスのファイルディスクリプタ使用率", _xlfn.REGEXTEST(C294, "Unexpected Exits"), "プロセスの異常終了（予期せぬ停止）", _xlfn.REGEXTEST(C294, "Swap Memory Thresholds"), "プロセスのスワップメモリ使用量", _xlfn.REGEXTEST(C294, "Swap Memory Usage Rate"), "スワップメモリ使用量の変化率（増加速度）", _xlfn.REGEXTEST(C294, "Log Directory Free Space.*Absolute"), "ログディレクトリの空き容量（絶対値）", _xlfn.REGEXTEST(C294, "Log Directory Free Space.*Percentage"), "ログディレクトリの空き容量割合（%）", _xlfn.REGEXTEST(C294, "Heap Dump Directory Free Space.*Absolute"), "ヒープダンプディレクトリの空き容量（絶対値）", _xlfn.REGEXTEST(C294, "Heap Dump Directory Free Space.*Percentage"), "ヒープダンプディレクトリの空き容量割合（%）", _xlfn.REGEXTEST(C294, "Data Directory Free Space.*Absolute"), "データディレクトリの空き容量（絶対値）", _xlfn.REGEXTEST(C294, "Data Directory Free Space.*Percentage"), "データディレクトリの空き容量割合（%）", _xlfn.REGEXTEST(C294, "Transaction Log Directory Free Space.*Absolute"), "トランザクションログディレクトリの空き容量（絶対値）", _xlfn.REGEXTEST(C294, "Logging Threshold|Logger Threshold"), "ログ出力レベルの閾値設定", _xlfn.REGEXTEST(C294, "Enable.*Alerts"), "ヘルスアラートの有効化状態", _xlfn.REGEXTEST(C294, "Triggers"), "カスタムアラート条件（トリガー設定）", _xlfn.REGEXTEST(C294, "Healthy Kafka Broker"), "Kafka Brokerの健全ノード割合（稼働率）", _xlfn.REGEXTEST(C294, "Healthy Kafka Connect"), "Kafka Connectの健全ノード割合（稼働率）", _xlfn.REGEXTEST(C294, "Healthy KRaft Controller"), "KRaft Controllerの健全ノード割合（稼働率）", _xlfn.REGEXTEST(C294, "Healthy Knox IDBroker"), "Knox IDBrokerの健全ノード割合（稼働率）", _xlfn.REGEXTEST(C294, "Healthy Knox Gateway"), "Knox Gatewayの健全ノード割合（稼働率）", _xlfn.REGEXTEST(C294, "Healthy ZooKeeper Server"), "ZooKeeper Serverの健全ノード割合（稼働率）", _xlfn.REGEXTEST(C294, "Healthy NodeManager"), "NodeManagerの健全ノード割合（稼働率）", _xlfn.REGEXTEST(C294, "Maximum Latency"), "リクエストの最大レイテンシ（処理遅延）", _xlfn.REGEXTEST(C294, "Garbage Collection Duration"), "Javaのガベージコレクション（GC）の所要時間", _xlfn.REGEXTEST(C294, "Spool Directory Usage"), "Rangerプラグインのスプールディレクトリ使用量", _xlfn.REGEXTEST(C294, "Process Directory Free Space Monitoring Absolute"), "プロセスディレクトリの空き容量（絶対値)", _xlfn.REGEXTEST(C294, "Process Directory Free Space.*Percentage"), "プロセスディレクトリの空き容量割合（%）", _xlfn.REGEXTEST(C294, "Parcel Directory Free Space.*Absolute"), "パーセルディレクトリの空き容量（絶対値）", _xlfn.REGEXTEST(C294, "Parcel Directory Free Space.*Percentage"), "パーセルディレクトリの空き容量割合（%）", _xlfn.REGEXTEST(C294, "Host Network Frame Error Percentage"), "ホストのネットワークフレームエラー割合（%）", _xlfn.REGEXTEST(C294, "Network Interfaces Slow Link Modes"), "ホストのネットワークインターフェースの低速リンクモード検出", _xlfn.REGEXTEST(C294, "Host Memory Swapping"), "ホストのメモリのスワップ発生状態", TRUE, "要手動確認")</f>
        <v>ボリューム障害（ディスクエラー）数</v>
      </c>
      <c r="H294" s="479" t="s">
        <v>818</v>
      </c>
    </row>
    <row r="295" spans="1:8" ht="33.6">
      <c r="A295" s="514"/>
      <c r="B295" s="473"/>
      <c r="C295" s="471" t="s">
        <v>1093</v>
      </c>
      <c r="D295" s="471" t="s">
        <v>1094</v>
      </c>
      <c r="E295" s="471" t="s">
        <v>1047</v>
      </c>
      <c r="F295" s="471"/>
      <c r="G295" s="471" t="str" cm="1">
        <f t="array" ref="G295">_xlfn.IFS(C295 = "", "", _xlfn.REGEXTEST(C295, "Service Metric Migrator Minimum Consecutive Successful Checks"), "サービスメトリック移行ツールの連続正常チェック最小回数", _xlfn.REGEXTEST(C295, "Rebalancing"), "リバランシング（データ再配置）状態", _xlfn.REGEXTEST(C295, "Temporary Dump Directory"), "一時ダンプディレクトリの監視", _xlfn.REGEXTEST(C295, "Safemode Extension"), "セーフモード延長状態", _xlfn.REGEXTEST(C295, "Client Idle"), "クライアントのアイドル（待機）状態", _xlfn.REGEXTEST(C295, "Available Space Policy Balanced"), "空き容量ポリシーの分散バランス状態", _xlfn.REGEXTEST(C295, "Filesystem Checkpoint Transaction"), "ファイルシステムのチェックポイントトランザクション", _xlfn.REGEXTEST(C295, "Blocks With Corrupt Replicas Monitoring"), "破損レプリカを持つブロックの監視", _xlfn.REGEXTEST(C295, "Missing Block Monitoring"), "消失（ミッシング）ブロックの監視", _xlfn.REGEXTEST(C295, "Under-replicated Block Monitoring"), "レプリカ数不足ブロックの監視", _xlfn.REGEXTEST(C295, "HDFS Free Space Monitoring"), "HDFSの空き容量監視", _xlfn.REGEXTEST(C295, "DataNode Monitoring"), "DataNodeの稼働状態監視", _xlfn.REGEXTEST(C295, "Rules to Extract Events from Log Files"), "ログファイルからのイベント抽出ルール設定", _xlfn.REGEXTEST(C295, "Free Space Monitoring$"), "空き容量監視（一般設定）", _xlfn.REGEXTEST(C295, "Transceivers Usage"), "トランシーバー使用量（データ転送スレッド数）", _xlfn.REGEXTEST(C295, "Volume Failures"), "ボリューム障害（ディスクエラー）数", _xlfn.REGEXTEST(C295, "Block Count"), "ブロック総数", _xlfn.REGEXTEST(C295, "Audit Failure"), "監査（オーディット）ログの失敗イベント", _xlfn.REGEXTEST(C295, "Web Metric Collection Duration"), "Webメトリック収集の所要時間", _xlfn.REGEXTEST(C295, "Pause Duration"), "一時停止（ポーズ）の所要時間", _xlfn.REGEXTEST(C295, "Fsync Latency"), "Fsync（ディスク同期）のレイテンシ", _xlfn.REGEXTEST(C295, "Free Space Monitoring Absolute"), "空き容量（絶対値）", _xlfn.REGEXTEST(C295, "Free Space Monitoring Percentage"), "空き容量割合（%）", _xlfn.REGEXTEST(C295, "Age Monitoring"), "経過時間の監視", _xlfn.REGEXTEST(C295, "Transactions Monitoring"), "トランザクション数の監視", _xlfn.REGEXTEST(C295, "RPC Latency"), "RPC（遠隔手続き呼出し）のレイテンシ", _xlfn.REGEXTEST(C295, "Directory Failures"), "ディレクトリ障害数", _xlfn.REGEXTEST(C295, "Out-Of-Sync JournalNodes"), "同期ズレが発生しているJournalNode数", _xlfn.REGEXTEST(C295, "Safemode Threshold Percentage"), "セーフモード解除閾値の割合（%）", _xlfn.REGEXTEST(C295, "Kerberos Ticket Renewer Monitoring"), "Kerberosチケット更新プロセスの稼働状態監視", _xlfn.REGEXTEST(C295, "Load Balancer Monitoring"), "ロードバランサーの稼働状態監視", _xlfn.REGEXTEST(C295, "Navigator Audit Failure"), "Cloudera Navigator監査ログの失敗イベント", _xlfn.REGEXTEST(C295, "Schema Registry Server Monitoring"), "Schema Registry Serverの稼働状態監視", _xlfn.REGEXTEST(C295, "SRM Service Monitoring"), "SRMサービスの稼働状態監視", _xlfn.REGEXTEST(C295, "SRM Driver Monitoring"), "SRMドライバーの稼働状態監視", _xlfn.REGEXTEST(C295, "Loggin"), "ログ出力状態・設定監視", _xlfn.REGEXTEST(C295, "Server Monitoring"), "サーバーの稼働状態監視", _xlfn.REGEXTEST(C295, "Server Connection Count"), "サーバーの接続数（コネクション数）", _xlfn.REGEXTEST(C295, "Server Outstanding Requests"), "サーバーの未処理リクエスト数（滞留要求数）", _xlfn.REGEXTEST(C295, "Repository Status"), "リポジトリのステータス状態", _xlfn.REGEXTEST(C295, "Monitor Long Running Task"), "長時間実行タスク（ジョブ）の監視", _xlfn.REGEXTEST(C295, "Token requests per second"), "1秒あたりのトークンリクエスト数（要求レート）", _xlfn.REGEXTEST(C295, "Connection Model Score"), "接続モデルスコア（コネクション品質）", _xlfn.REGEXTEST(C295, "Queue swap"), "キューのスワップ発生状態", _xlfn.REGEXTEST(C295, "NiFi Node Monitoring"), "NiFiノードの稼働状態監視", _xlfn.REGEXTEST(C295, "Host Clock Offset"), "ホストのクロックオフセット（時刻同期のズレ）", _xlfn.REGEXTEST(C295, "Memory Overcommit Validation"), "メモリオーバーコミット設定の検証", _xlfn.REGEXTEST(C295, "Gateway Logging"), "ゲートウェイのログ出力設定", _xlfn.REGEXTEST(C295, "CPU Balance"), "CPU使用率の分散バランス状態", _xlfn.REGEXTEST(C295, "Disk Balance"), "ディスク使用量の分散バランス状態", _xlfn.REGEXTEST(C295, "Network Inbound Balance"), "ネットワークインバウンド（受信）の分散バランス状態", _xlfn.REGEXTEST(C295, "Network Outbound Balance"), "ネットワークアウトバウンド（送信）の分散バランス状態", _xlfn.REGEXTEST(C295, "Replica Count Balance"), "レプリカ数の分散バランス状態", _xlfn.REGEXTEST(C295, "Disk Capacity"), "ディスク総容量の限界・使用容量", _xlfn.REGEXTEST(C295, "CPU Capacity"), "CPU総処理能力の限界・使用量", _xlfn.REGEXTEST(C295, "Network Inbound Capacity"), "ネットワークインバウンド（受信）帯域の限界・使用量", _xlfn.REGEXTEST(C295, "Network Outbound Capacity"), "ネットワークアウトバウンド（送信）帯域の限界・使用量", _xlfn.REGEXTEST(C295, "Leader Replica Count Balance"), "リーダーレプリカ数の分散バランス状態", _xlfn.REGEXTEST(C295, "Host DNS Resolution Duration"), "ホストのDNS名前解決の所要時間", _xlfn.REGEXTEST(C295, "TLS Certificate Expiry"), "TLS証明書の有効期限切れ", _xlfn.REGEXTEST(C295, "Host Entropy"), "ホストのエントロピー（乱数生成能力）の不足", _xlfn.REGEXTEST(C295, "File Descriptor"), "プロセスのファイルディスクリプタ使用率", _xlfn.REGEXTEST(C295, "Unexpected Exits"), "プロセスの異常終了（予期せぬ停止）", _xlfn.REGEXTEST(C295, "Swap Memory Thresholds"), "プロセスのスワップメモリ使用量", _xlfn.REGEXTEST(C295, "Swap Memory Usage Rate"), "スワップメモリ使用量の変化率（増加速度）", _xlfn.REGEXTEST(C295, "Log Directory Free Space.*Absolute"), "ログディレクトリの空き容量（絶対値）", _xlfn.REGEXTEST(C295, "Log Directory Free Space.*Percentage"), "ログディレクトリの空き容量割合（%）", _xlfn.REGEXTEST(C295, "Heap Dump Directory Free Space.*Absolute"), "ヒープダンプディレクトリの空き容量（絶対値）", _xlfn.REGEXTEST(C295, "Heap Dump Directory Free Space.*Percentage"), "ヒープダンプディレクトリの空き容量割合（%）", _xlfn.REGEXTEST(C295, "Data Directory Free Space.*Absolute"), "データディレクトリの空き容量（絶対値）", _xlfn.REGEXTEST(C295, "Data Directory Free Space.*Percentage"), "データディレクトリの空き容量割合（%）", _xlfn.REGEXTEST(C295, "Transaction Log Directory Free Space.*Absolute"), "トランザクションログディレクトリの空き容量（絶対値）", _xlfn.REGEXTEST(C295, "Logging Threshold|Logger Threshold"), "ログ出力レベルの閾値設定", _xlfn.REGEXTEST(C295, "Enable.*Alerts"), "ヘルスアラートの有効化状態", _xlfn.REGEXTEST(C295, "Triggers"), "カスタムアラート条件（トリガー設定）", _xlfn.REGEXTEST(C295, "Healthy Kafka Broker"), "Kafka Brokerの健全ノード割合（稼働率）", _xlfn.REGEXTEST(C295, "Healthy Kafka Connect"), "Kafka Connectの健全ノード割合（稼働率）", _xlfn.REGEXTEST(C295, "Healthy KRaft Controller"), "KRaft Controllerの健全ノード割合（稼働率）", _xlfn.REGEXTEST(C295, "Healthy Knox IDBroker"), "Knox IDBrokerの健全ノード割合（稼働率）", _xlfn.REGEXTEST(C295, "Healthy Knox Gateway"), "Knox Gatewayの健全ノード割合（稼働率）", _xlfn.REGEXTEST(C295, "Healthy ZooKeeper Server"), "ZooKeeper Serverの健全ノード割合（稼働率）", _xlfn.REGEXTEST(C295, "Healthy NodeManager"), "NodeManagerの健全ノード割合（稼働率）", _xlfn.REGEXTEST(C295, "Maximum Latency"), "リクエストの最大レイテンシ（処理遅延）", _xlfn.REGEXTEST(C295, "Garbage Collection Duration"), "Javaのガベージコレクション（GC）の所要時間", _xlfn.REGEXTEST(C295, "Spool Directory Usage"), "Rangerプラグインのスプールディレクトリ使用量", _xlfn.REGEXTEST(C295, "Process Directory Free Space Monitoring Absolute"), "プロセスディレクトリの空き容量（絶対値)", _xlfn.REGEXTEST(C295, "Process Directory Free Space.*Percentage"), "プロセスディレクトリの空き容量割合（%）", _xlfn.REGEXTEST(C295, "Parcel Directory Free Space.*Absolute"), "パーセルディレクトリの空き容量（絶対値）", _xlfn.REGEXTEST(C295, "Parcel Directory Free Space.*Percentage"), "パーセルディレクトリの空き容量割合（%）", _xlfn.REGEXTEST(C295, "Host Network Frame Error Percentage"), "ホストのネットワークフレームエラー割合（%）", _xlfn.REGEXTEST(C295, "Network Interfaces Slow Link Modes"), "ホストのネットワークインターフェースの低速リンクモード検出", _xlfn.REGEXTEST(C295, "Host Memory Swapping"), "ホストのメモリのスワップ発生状態", TRUE, "要手動確認")</f>
        <v>ブロック総数</v>
      </c>
      <c r="H295" s="479" t="s">
        <v>1095</v>
      </c>
    </row>
    <row r="296" spans="1:8" ht="33.6">
      <c r="A296" s="514"/>
      <c r="B296" s="473"/>
      <c r="C296" s="471" t="s">
        <v>1096</v>
      </c>
      <c r="D296" s="471" t="s">
        <v>1097</v>
      </c>
      <c r="E296" s="471" t="s">
        <v>1047</v>
      </c>
      <c r="F296" s="471"/>
      <c r="G296" s="471" t="str" cm="1">
        <f t="array" ref="G296">_xlfn.IFS(C296 = "", "", _xlfn.REGEXTEST(C296, "Service Metric Migrator Minimum Consecutive Successful Checks"), "サービスメトリック移行ツールの連続正常チェック最小回数", _xlfn.REGEXTEST(C296, "Rebalancing"), "リバランシング（データ再配置）状態", _xlfn.REGEXTEST(C296, "Temporary Dump Directory"), "一時ダンプディレクトリの監視", _xlfn.REGEXTEST(C296, "Safemode Extension"), "セーフモード延長状態", _xlfn.REGEXTEST(C296, "Client Idle"), "クライアントのアイドル（待機）状態", _xlfn.REGEXTEST(C296, "Available Space Policy Balanced"), "空き容量ポリシーの分散バランス状態", _xlfn.REGEXTEST(C296, "Filesystem Checkpoint Transaction"), "ファイルシステムのチェックポイントトランザクション", _xlfn.REGEXTEST(C296, "Blocks With Corrupt Replicas Monitoring"), "破損レプリカを持つブロックの監視", _xlfn.REGEXTEST(C296, "Missing Block Monitoring"), "消失（ミッシング）ブロックの監視", _xlfn.REGEXTEST(C296, "Under-replicated Block Monitoring"), "レプリカ数不足ブロックの監視", _xlfn.REGEXTEST(C296, "HDFS Free Space Monitoring"), "HDFSの空き容量監視", _xlfn.REGEXTEST(C296, "DataNode Monitoring"), "DataNodeの稼働状態監視", _xlfn.REGEXTEST(C296, "Rules to Extract Events from Log Files"), "ログファイルからのイベント抽出ルール設定", _xlfn.REGEXTEST(C296, "Free Space Monitoring$"), "空き容量監視（一般設定）", _xlfn.REGEXTEST(C296, "Transceivers Usage"), "トランシーバー使用量（データ転送スレッド数）", _xlfn.REGEXTEST(C296, "Volume Failures"), "ボリューム障害（ディスクエラー）数", _xlfn.REGEXTEST(C296, "Block Count"), "ブロック総数", _xlfn.REGEXTEST(C296, "Audit Failure"), "監査（オーディット）ログの失敗イベント", _xlfn.REGEXTEST(C296, "Web Metric Collection Duration"), "Webメトリック収集の所要時間", _xlfn.REGEXTEST(C296, "Pause Duration"), "一時停止（ポーズ）の所要時間", _xlfn.REGEXTEST(C296, "Fsync Latency"), "Fsync（ディスク同期）のレイテンシ", _xlfn.REGEXTEST(C296, "Free Space Monitoring Absolute"), "空き容量（絶対値）", _xlfn.REGEXTEST(C296, "Free Space Monitoring Percentage"), "空き容量割合（%）", _xlfn.REGEXTEST(C296, "Age Monitoring"), "経過時間の監視", _xlfn.REGEXTEST(C296, "Transactions Monitoring"), "トランザクション数の監視", _xlfn.REGEXTEST(C296, "RPC Latency"), "RPC（遠隔手続き呼出し）のレイテンシ", _xlfn.REGEXTEST(C296, "Directory Failures"), "ディレクトリ障害数", _xlfn.REGEXTEST(C296, "Out-Of-Sync JournalNodes"), "同期ズレが発生しているJournalNode数", _xlfn.REGEXTEST(C296, "Safemode Threshold Percentage"), "セーフモード解除閾値の割合（%）", _xlfn.REGEXTEST(C296, "Kerberos Ticket Renewer Monitoring"), "Kerberosチケット更新プロセスの稼働状態監視", _xlfn.REGEXTEST(C296, "Load Balancer Monitoring"), "ロードバランサーの稼働状態監視", _xlfn.REGEXTEST(C296, "Navigator Audit Failure"), "Cloudera Navigator監査ログの失敗イベント", _xlfn.REGEXTEST(C296, "Schema Registry Server Monitoring"), "Schema Registry Serverの稼働状態監視", _xlfn.REGEXTEST(C296, "SRM Service Monitoring"), "SRMサービスの稼働状態監視", _xlfn.REGEXTEST(C296, "SRM Driver Monitoring"), "SRMドライバーの稼働状態監視", _xlfn.REGEXTEST(C296, "Loggin"), "ログ出力状態・設定監視", _xlfn.REGEXTEST(C296, "Server Monitoring"), "サーバーの稼働状態監視", _xlfn.REGEXTEST(C296, "Server Connection Count"), "サーバーの接続数（コネクション数）", _xlfn.REGEXTEST(C296, "Server Outstanding Requests"), "サーバーの未処理リクエスト数（滞留要求数）", _xlfn.REGEXTEST(C296, "Repository Status"), "リポジトリのステータス状態", _xlfn.REGEXTEST(C296, "Monitor Long Running Task"), "長時間実行タスク（ジョブ）の監視", _xlfn.REGEXTEST(C296, "Token requests per second"), "1秒あたりのトークンリクエスト数（要求レート）", _xlfn.REGEXTEST(C296, "Connection Model Score"), "接続モデルスコア（コネクション品質）", _xlfn.REGEXTEST(C296, "Queue swap"), "キューのスワップ発生状態", _xlfn.REGEXTEST(C296, "NiFi Node Monitoring"), "NiFiノードの稼働状態監視", _xlfn.REGEXTEST(C296, "Host Clock Offset"), "ホストのクロックオフセット（時刻同期のズレ）", _xlfn.REGEXTEST(C296, "Memory Overcommit Validation"), "メモリオーバーコミット設定の検証", _xlfn.REGEXTEST(C296, "Gateway Logging"), "ゲートウェイのログ出力設定", _xlfn.REGEXTEST(C296, "CPU Balance"), "CPU使用率の分散バランス状態", _xlfn.REGEXTEST(C296, "Disk Balance"), "ディスク使用量の分散バランス状態", _xlfn.REGEXTEST(C296, "Network Inbound Balance"), "ネットワークインバウンド（受信）の分散バランス状態", _xlfn.REGEXTEST(C296, "Network Outbound Balance"), "ネットワークアウトバウンド（送信）の分散バランス状態", _xlfn.REGEXTEST(C296, "Replica Count Balance"), "レプリカ数の分散バランス状態", _xlfn.REGEXTEST(C296, "Disk Capacity"), "ディスク総容量の限界・使用容量", _xlfn.REGEXTEST(C296, "CPU Capacity"), "CPU総処理能力の限界・使用量", _xlfn.REGEXTEST(C296, "Network Inbound Capacity"), "ネットワークインバウンド（受信）帯域の限界・使用量", _xlfn.REGEXTEST(C296, "Network Outbound Capacity"), "ネットワークアウトバウンド（送信）帯域の限界・使用量", _xlfn.REGEXTEST(C296, "Leader Replica Count Balance"), "リーダーレプリカ数の分散バランス状態", _xlfn.REGEXTEST(C296, "Host DNS Resolution Duration"), "ホストのDNS名前解決の所要時間", _xlfn.REGEXTEST(C296, "TLS Certificate Expiry"), "TLS証明書の有効期限切れ", _xlfn.REGEXTEST(C296, "Host Entropy"), "ホストのエントロピー（乱数生成能力）の不足", _xlfn.REGEXTEST(C296, "File Descriptor"), "プロセスのファイルディスクリプタ使用率", _xlfn.REGEXTEST(C296, "Unexpected Exits"), "プロセスの異常終了（予期せぬ停止）", _xlfn.REGEXTEST(C296, "Swap Memory Thresholds"), "プロセスのスワップメモリ使用量", _xlfn.REGEXTEST(C296, "Swap Memory Usage Rate"), "スワップメモリ使用量の変化率（増加速度）", _xlfn.REGEXTEST(C296, "Log Directory Free Space.*Absolute"), "ログディレクトリの空き容量（絶対値）", _xlfn.REGEXTEST(C296, "Log Directory Free Space.*Percentage"), "ログディレクトリの空き容量割合（%）", _xlfn.REGEXTEST(C296, "Heap Dump Directory Free Space.*Absolute"), "ヒープダンプディレクトリの空き容量（絶対値）", _xlfn.REGEXTEST(C296, "Heap Dump Directory Free Space.*Percentage"), "ヒープダンプディレクトリの空き容量割合（%）", _xlfn.REGEXTEST(C296, "Data Directory Free Space.*Absolute"), "データディレクトリの空き容量（絶対値）", _xlfn.REGEXTEST(C296, "Data Directory Free Space.*Percentage"), "データディレクトリの空き容量割合（%）", _xlfn.REGEXTEST(C296, "Transaction Log Directory Free Space.*Absolute"), "トランザクションログディレクトリの空き容量（絶対値）", _xlfn.REGEXTEST(C296, "Logging Threshold|Logger Threshold"), "ログ出力レベルの閾値設定", _xlfn.REGEXTEST(C296, "Enable.*Alerts"), "ヘルスアラートの有効化状態", _xlfn.REGEXTEST(C296, "Triggers"), "カスタムアラート条件（トリガー設定）", _xlfn.REGEXTEST(C296, "Healthy Kafka Broker"), "Kafka Brokerの健全ノード割合（稼働率）", _xlfn.REGEXTEST(C296, "Healthy Kafka Connect"), "Kafka Connectの健全ノード割合（稼働率）", _xlfn.REGEXTEST(C296, "Healthy KRaft Controller"), "KRaft Controllerの健全ノード割合（稼働率）", _xlfn.REGEXTEST(C296, "Healthy Knox IDBroker"), "Knox IDBrokerの健全ノード割合（稼働率）", _xlfn.REGEXTEST(C296, "Healthy Knox Gateway"), "Knox Gatewayの健全ノード割合（稼働率）", _xlfn.REGEXTEST(C296, "Healthy ZooKeeper Server"), "ZooKeeper Serverの健全ノード割合（稼働率）", _xlfn.REGEXTEST(C296, "Healthy NodeManager"), "NodeManagerの健全ノード割合（稼働率）", _xlfn.REGEXTEST(C296, "Maximum Latency"), "リクエストの最大レイテンシ（処理遅延）", _xlfn.REGEXTEST(C296, "Garbage Collection Duration"), "Javaのガベージコレクション（GC）の所要時間", _xlfn.REGEXTEST(C296, "Spool Directory Usage"), "Rangerプラグインのスプールディレクトリ使用量", _xlfn.REGEXTEST(C296, "Process Directory Free Space Monitoring Absolute"), "プロセスディレクトリの空き容量（絶対値)", _xlfn.REGEXTEST(C296, "Process Directory Free Space.*Percentage"), "プロセスディレクトリの空き容量割合（%）", _xlfn.REGEXTEST(C296, "Parcel Directory Free Space.*Absolute"), "パーセルディレクトリの空き容量（絶対値）", _xlfn.REGEXTEST(C296, "Parcel Directory Free Space.*Percentage"), "パーセルディレクトリの空き容量割合（%）", _xlfn.REGEXTEST(C296, "Host Network Frame Error Percentage"), "ホストのネットワークフレームエラー割合（%）", _xlfn.REGEXTEST(C296, "Network Interfaces Slow Link Modes"), "ホストのネットワークインターフェースの低速リンクモード検出", _xlfn.REGEXTEST(C296, "Host Memory Swapping"), "ホストのメモリのスワップ発生状態", TRUE, "要手動確認")</f>
        <v>監査（オーディット）ログの失敗イベント</v>
      </c>
      <c r="H296" s="479" t="s">
        <v>818</v>
      </c>
    </row>
    <row r="297" spans="1:8" ht="16.899999999999999">
      <c r="A297" s="514"/>
      <c r="B297" s="473"/>
      <c r="C297" s="471" t="s">
        <v>798</v>
      </c>
      <c r="D297" s="471" t="s">
        <v>710</v>
      </c>
      <c r="E297" s="471" t="s">
        <v>1047</v>
      </c>
      <c r="F297" s="471"/>
      <c r="G297" s="471" t="str" cm="1">
        <f t="array" ref="G297">_xlfn.IFS(C297 = "", "", _xlfn.REGEXTEST(C297, "Service Metric Migrator Minimum Consecutive Successful Checks"), "サービスメトリック移行ツールの連続正常チェック最小回数", _xlfn.REGEXTEST(C297, "Rebalancing"), "リバランシング（データ再配置）状態", _xlfn.REGEXTEST(C297, "Temporary Dump Directory"), "一時ダンプディレクトリの監視", _xlfn.REGEXTEST(C297, "Safemode Extension"), "セーフモード延長状態", _xlfn.REGEXTEST(C297, "Client Idle"), "クライアントのアイドル（待機）状態", _xlfn.REGEXTEST(C297, "Available Space Policy Balanced"), "空き容量ポリシーの分散バランス状態", _xlfn.REGEXTEST(C297, "Filesystem Checkpoint Transaction"), "ファイルシステムのチェックポイントトランザクション", _xlfn.REGEXTEST(C297, "Blocks With Corrupt Replicas Monitoring"), "破損レプリカを持つブロックの監視", _xlfn.REGEXTEST(C297, "Missing Block Monitoring"), "消失（ミッシング）ブロックの監視", _xlfn.REGEXTEST(C297, "Under-replicated Block Monitoring"), "レプリカ数不足ブロックの監視", _xlfn.REGEXTEST(C297, "HDFS Free Space Monitoring"), "HDFSの空き容量監視", _xlfn.REGEXTEST(C297, "DataNode Monitoring"), "DataNodeの稼働状態監視", _xlfn.REGEXTEST(C297, "Rules to Extract Events from Log Files"), "ログファイルからのイベント抽出ルール設定", _xlfn.REGEXTEST(C297, "Free Space Monitoring$"), "空き容量監視（一般設定）", _xlfn.REGEXTEST(C297, "Transceivers Usage"), "トランシーバー使用量（データ転送スレッド数）", _xlfn.REGEXTEST(C297, "Volume Failures"), "ボリューム障害（ディスクエラー）数", _xlfn.REGEXTEST(C297, "Block Count"), "ブロック総数", _xlfn.REGEXTEST(C297, "Audit Failure"), "監査（オーディット）ログの失敗イベント", _xlfn.REGEXTEST(C297, "Web Metric Collection Duration"), "Webメトリック収集の所要時間", _xlfn.REGEXTEST(C297, "Pause Duration"), "一時停止（ポーズ）の所要時間", _xlfn.REGEXTEST(C297, "Fsync Latency"), "Fsync（ディスク同期）のレイテンシ", _xlfn.REGEXTEST(C297, "Free Space Monitoring Absolute"), "空き容量（絶対値）", _xlfn.REGEXTEST(C297, "Free Space Monitoring Percentage"), "空き容量割合（%）", _xlfn.REGEXTEST(C297, "Age Monitoring"), "経過時間の監視", _xlfn.REGEXTEST(C297, "Transactions Monitoring"), "トランザクション数の監視", _xlfn.REGEXTEST(C297, "RPC Latency"), "RPC（遠隔手続き呼出し）のレイテンシ", _xlfn.REGEXTEST(C297, "Directory Failures"), "ディレクトリ障害数", _xlfn.REGEXTEST(C297, "Out-Of-Sync JournalNodes"), "同期ズレが発生しているJournalNode数", _xlfn.REGEXTEST(C297, "Safemode Threshold Percentage"), "セーフモード解除閾値の割合（%）", _xlfn.REGEXTEST(C297, "Kerberos Ticket Renewer Monitoring"), "Kerberosチケット更新プロセスの稼働状態監視", _xlfn.REGEXTEST(C297, "Load Balancer Monitoring"), "ロードバランサーの稼働状態監視", _xlfn.REGEXTEST(C297, "Navigator Audit Failure"), "Cloudera Navigator監査ログの失敗イベント", _xlfn.REGEXTEST(C297, "Schema Registry Server Monitoring"), "Schema Registry Serverの稼働状態監視", _xlfn.REGEXTEST(C297, "SRM Service Monitoring"), "SRMサービスの稼働状態監視", _xlfn.REGEXTEST(C297, "SRM Driver Monitoring"), "SRMドライバーの稼働状態監視", _xlfn.REGEXTEST(C297, "Loggin"), "ログ出力状態・設定監視", _xlfn.REGEXTEST(C297, "Server Monitoring"), "サーバーの稼働状態監視", _xlfn.REGEXTEST(C297, "Server Connection Count"), "サーバーの接続数（コネクション数）", _xlfn.REGEXTEST(C297, "Server Outstanding Requests"), "サーバーの未処理リクエスト数（滞留要求数）", _xlfn.REGEXTEST(C297, "Repository Status"), "リポジトリのステータス状態", _xlfn.REGEXTEST(C297, "Monitor Long Running Task"), "長時間実行タスク（ジョブ）の監視", _xlfn.REGEXTEST(C297, "Token requests per second"), "1秒あたりのトークンリクエスト数（要求レート）", _xlfn.REGEXTEST(C297, "Connection Model Score"), "接続モデルスコア（コネクション品質）", _xlfn.REGEXTEST(C297, "Queue swap"), "キューのスワップ発生状態", _xlfn.REGEXTEST(C297, "NiFi Node Monitoring"), "NiFiノードの稼働状態監視", _xlfn.REGEXTEST(C297, "Host Clock Offset"), "ホストのクロックオフセット（時刻同期のズレ）", _xlfn.REGEXTEST(C297, "Memory Overcommit Validation"), "メモリオーバーコミット設定の検証", _xlfn.REGEXTEST(C297, "Gateway Logging"), "ゲートウェイのログ出力設定", _xlfn.REGEXTEST(C297, "CPU Balance"), "CPU使用率の分散バランス状態", _xlfn.REGEXTEST(C297, "Disk Balance"), "ディスク使用量の分散バランス状態", _xlfn.REGEXTEST(C297, "Network Inbound Balance"), "ネットワークインバウンド（受信）の分散バランス状態", _xlfn.REGEXTEST(C297, "Network Outbound Balance"), "ネットワークアウトバウンド（送信）の分散バランス状態", _xlfn.REGEXTEST(C297, "Replica Count Balance"), "レプリカ数の分散バランス状態", _xlfn.REGEXTEST(C297, "Disk Capacity"), "ディスク総容量の限界・使用容量", _xlfn.REGEXTEST(C297, "CPU Capacity"), "CPU総処理能力の限界・使用量", _xlfn.REGEXTEST(C297, "Network Inbound Capacity"), "ネットワークインバウンド（受信）帯域の限界・使用量", _xlfn.REGEXTEST(C297, "Network Outbound Capacity"), "ネットワークアウトバウンド（送信）帯域の限界・使用量", _xlfn.REGEXTEST(C297, "Leader Replica Count Balance"), "リーダーレプリカ数の分散バランス状態", _xlfn.REGEXTEST(C297, "Host DNS Resolution Duration"), "ホストのDNS名前解決の所要時間", _xlfn.REGEXTEST(C297, "TLS Certificate Expiry"), "TLS証明書の有効期限切れ", _xlfn.REGEXTEST(C297, "Host Entropy"), "ホストのエントロピー（乱数生成能力）の不足", _xlfn.REGEXTEST(C297, "File Descriptor"), "プロセスのファイルディスクリプタ使用率", _xlfn.REGEXTEST(C297, "Unexpected Exits"), "プロセスの異常終了（予期せぬ停止）", _xlfn.REGEXTEST(C297, "Swap Memory Thresholds"), "プロセスのスワップメモリ使用量", _xlfn.REGEXTEST(C297, "Swap Memory Usage Rate"), "スワップメモリ使用量の変化率（増加速度）", _xlfn.REGEXTEST(C297, "Log Directory Free Space.*Absolute"), "ログディレクトリの空き容量（絶対値）", _xlfn.REGEXTEST(C297, "Log Directory Free Space.*Percentage"), "ログディレクトリの空き容量割合（%）", _xlfn.REGEXTEST(C297, "Heap Dump Directory Free Space.*Absolute"), "ヒープダンプディレクトリの空き容量（絶対値）", _xlfn.REGEXTEST(C297, "Heap Dump Directory Free Space.*Percentage"), "ヒープダンプディレクトリの空き容量割合（%）", _xlfn.REGEXTEST(C297, "Data Directory Free Space.*Absolute"), "データディレクトリの空き容量（絶対値）", _xlfn.REGEXTEST(C297, "Data Directory Free Space.*Percentage"), "データディレクトリの空き容量割合（%）", _xlfn.REGEXTEST(C297, "Transaction Log Directory Free Space.*Absolute"), "トランザクションログディレクトリの空き容量（絶対値）", _xlfn.REGEXTEST(C297, "Logging Threshold|Logger Threshold"), "ログ出力レベルの閾値設定", _xlfn.REGEXTEST(C297, "Enable.*Alerts"), "ヘルスアラートの有効化状態", _xlfn.REGEXTEST(C297, "Triggers"), "カスタムアラート条件（トリガー設定）", _xlfn.REGEXTEST(C297, "Healthy Kafka Broker"), "Kafka Brokerの健全ノード割合（稼働率）", _xlfn.REGEXTEST(C297, "Healthy Kafka Connect"), "Kafka Connectの健全ノード割合（稼働率）", _xlfn.REGEXTEST(C297, "Healthy KRaft Controller"), "KRaft Controllerの健全ノード割合（稼働率）", _xlfn.REGEXTEST(C297, "Healthy Knox IDBroker"), "Knox IDBrokerの健全ノード割合（稼働率）", _xlfn.REGEXTEST(C297, "Healthy Knox Gateway"), "Knox Gatewayの健全ノード割合（稼働率）", _xlfn.REGEXTEST(C297, "Healthy ZooKeeper Server"), "ZooKeeper Serverの健全ノード割合（稼働率）", _xlfn.REGEXTEST(C297, "Healthy NodeManager"), "NodeManagerの健全ノード割合（稼働率）", _xlfn.REGEXTEST(C297, "Maximum Latency"), "リクエストの最大レイテンシ（処理遅延）", _xlfn.REGEXTEST(C297, "Garbage Collection Duration"), "Javaのガベージコレクション（GC）の所要時間", _xlfn.REGEXTEST(C297, "Spool Directory Usage"), "Rangerプラグインのスプールディレクトリ使用量", _xlfn.REGEXTEST(C297, "Process Directory Free Space Monitoring Absolute"), "プロセスディレクトリの空き容量（絶対値)", _xlfn.REGEXTEST(C297, "Process Directory Free Space.*Percentage"), "プロセスディレクトリの空き容量割合（%）", _xlfn.REGEXTEST(C297, "Parcel Directory Free Space.*Absolute"), "パーセルディレクトリの空き容量（絶対値）", _xlfn.REGEXTEST(C297, "Parcel Directory Free Space.*Percentage"), "パーセルディレクトリの空き容量割合（%）", _xlfn.REGEXTEST(C297, "Host Network Frame Error Percentage"), "ホストのネットワークフレームエラー割合（%）", _xlfn.REGEXTEST(C297, "Network Interfaces Slow Link Modes"), "ホストのネットワークインターフェースの低速リンクモード検出", _xlfn.REGEXTEST(C297, "Host Memory Swapping"), "ホストのメモリのスワップ発生状態", TRUE, "要手動確認")</f>
        <v>ヘルスアラートの有効化状態</v>
      </c>
      <c r="H297" s="479" t="s">
        <v>1079</v>
      </c>
    </row>
    <row r="298" spans="1:8" ht="33.6">
      <c r="A298" s="514"/>
      <c r="B298" s="473"/>
      <c r="C298" s="471" t="s">
        <v>736</v>
      </c>
      <c r="D298" s="471" t="s">
        <v>1098</v>
      </c>
      <c r="E298" s="471" t="s">
        <v>1047</v>
      </c>
      <c r="F298" s="471"/>
      <c r="G298" s="471" t="str" cm="1">
        <f t="array" ref="G298">_xlfn.IFS(C298 = "", "", _xlfn.REGEXTEST(C298, "Service Metric Migrator Minimum Consecutive Successful Checks"), "サービスメトリック移行ツールの連続正常チェック最小回数", _xlfn.REGEXTEST(C298, "Rebalancing"), "リバランシング（データ再配置）状態", _xlfn.REGEXTEST(C298, "Temporary Dump Directory"), "一時ダンプディレクトリの監視", _xlfn.REGEXTEST(C298, "Safemode Extension"), "セーフモード延長状態", _xlfn.REGEXTEST(C298, "Client Idle"), "クライアントのアイドル（待機）状態", _xlfn.REGEXTEST(C298, "Available Space Policy Balanced"), "空き容量ポリシーの分散バランス状態", _xlfn.REGEXTEST(C298, "Filesystem Checkpoint Transaction"), "ファイルシステムのチェックポイントトランザクション", _xlfn.REGEXTEST(C298, "Blocks With Corrupt Replicas Monitoring"), "破損レプリカを持つブロックの監視", _xlfn.REGEXTEST(C298, "Missing Block Monitoring"), "消失（ミッシング）ブロックの監視", _xlfn.REGEXTEST(C298, "Under-replicated Block Monitoring"), "レプリカ数不足ブロックの監視", _xlfn.REGEXTEST(C298, "HDFS Free Space Monitoring"), "HDFSの空き容量監視", _xlfn.REGEXTEST(C298, "DataNode Monitoring"), "DataNodeの稼働状態監視", _xlfn.REGEXTEST(C298, "Rules to Extract Events from Log Files"), "ログファイルからのイベント抽出ルール設定", _xlfn.REGEXTEST(C298, "Free Space Monitoring$"), "空き容量監視（一般設定）", _xlfn.REGEXTEST(C298, "Transceivers Usage"), "トランシーバー使用量（データ転送スレッド数）", _xlfn.REGEXTEST(C298, "Volume Failures"), "ボリューム障害（ディスクエラー）数", _xlfn.REGEXTEST(C298, "Block Count"), "ブロック総数", _xlfn.REGEXTEST(C298, "Audit Failure"), "監査（オーディット）ログの失敗イベント", _xlfn.REGEXTEST(C298, "Web Metric Collection Duration"), "Webメトリック収集の所要時間", _xlfn.REGEXTEST(C298, "Pause Duration"), "一時停止（ポーズ）の所要時間", _xlfn.REGEXTEST(C298, "Fsync Latency"), "Fsync（ディスク同期）のレイテンシ", _xlfn.REGEXTEST(C298, "Free Space Monitoring Absolute"), "空き容量（絶対値）", _xlfn.REGEXTEST(C298, "Free Space Monitoring Percentage"), "空き容量割合（%）", _xlfn.REGEXTEST(C298, "Age Monitoring"), "経過時間の監視", _xlfn.REGEXTEST(C298, "Transactions Monitoring"), "トランザクション数の監視", _xlfn.REGEXTEST(C298, "RPC Latency"), "RPC（遠隔手続き呼出し）のレイテンシ", _xlfn.REGEXTEST(C298, "Directory Failures"), "ディレクトリ障害数", _xlfn.REGEXTEST(C298, "Out-Of-Sync JournalNodes"), "同期ズレが発生しているJournalNode数", _xlfn.REGEXTEST(C298, "Safemode Threshold Percentage"), "セーフモード解除閾値の割合（%）", _xlfn.REGEXTEST(C298, "Kerberos Ticket Renewer Monitoring"), "Kerberosチケット更新プロセスの稼働状態監視", _xlfn.REGEXTEST(C298, "Load Balancer Monitoring"), "ロードバランサーの稼働状態監視", _xlfn.REGEXTEST(C298, "Navigator Audit Failure"), "Cloudera Navigator監査ログの失敗イベント", _xlfn.REGEXTEST(C298, "Schema Registry Server Monitoring"), "Schema Registry Serverの稼働状態監視", _xlfn.REGEXTEST(C298, "SRM Service Monitoring"), "SRMサービスの稼働状態監視", _xlfn.REGEXTEST(C298, "SRM Driver Monitoring"), "SRMドライバーの稼働状態監視", _xlfn.REGEXTEST(C298, "Loggin"), "ログ出力状態・設定監視", _xlfn.REGEXTEST(C298, "Server Monitoring"), "サーバーの稼働状態監視", _xlfn.REGEXTEST(C298, "Server Connection Count"), "サーバーの接続数（コネクション数）", _xlfn.REGEXTEST(C298, "Server Outstanding Requests"), "サーバーの未処理リクエスト数（滞留要求数）", _xlfn.REGEXTEST(C298, "Repository Status"), "リポジトリのステータス状態", _xlfn.REGEXTEST(C298, "Monitor Long Running Task"), "長時間実行タスク（ジョブ）の監視", _xlfn.REGEXTEST(C298, "Token requests per second"), "1秒あたりのトークンリクエスト数（要求レート）", _xlfn.REGEXTEST(C298, "Connection Model Score"), "接続モデルスコア（コネクション品質）", _xlfn.REGEXTEST(C298, "Queue swap"), "キューのスワップ発生状態", _xlfn.REGEXTEST(C298, "NiFi Node Monitoring"), "NiFiノードの稼働状態監視", _xlfn.REGEXTEST(C298, "Host Clock Offset"), "ホストのクロックオフセット（時刻同期のズレ）", _xlfn.REGEXTEST(C298, "Memory Overcommit Validation"), "メモリオーバーコミット設定の検証", _xlfn.REGEXTEST(C298, "Gateway Logging"), "ゲートウェイのログ出力設定", _xlfn.REGEXTEST(C298, "CPU Balance"), "CPU使用率の分散バランス状態", _xlfn.REGEXTEST(C298, "Disk Balance"), "ディスク使用量の分散バランス状態", _xlfn.REGEXTEST(C298, "Network Inbound Balance"), "ネットワークインバウンド（受信）の分散バランス状態", _xlfn.REGEXTEST(C298, "Network Outbound Balance"), "ネットワークアウトバウンド（送信）の分散バランス状態", _xlfn.REGEXTEST(C298, "Replica Count Balance"), "レプリカ数の分散バランス状態", _xlfn.REGEXTEST(C298, "Disk Capacity"), "ディスク総容量の限界・使用容量", _xlfn.REGEXTEST(C298, "CPU Capacity"), "CPU総処理能力の限界・使用量", _xlfn.REGEXTEST(C298, "Network Inbound Capacity"), "ネットワークインバウンド（受信）帯域の限界・使用量", _xlfn.REGEXTEST(C298, "Network Outbound Capacity"), "ネットワークアウトバウンド（送信）帯域の限界・使用量", _xlfn.REGEXTEST(C298, "Leader Replica Count Balance"), "リーダーレプリカ数の分散バランス状態", _xlfn.REGEXTEST(C298, "Host DNS Resolution Duration"), "ホストのDNS名前解決の所要時間", _xlfn.REGEXTEST(C298, "TLS Certificate Expiry"), "TLS証明書の有効期限切れ", _xlfn.REGEXTEST(C298, "Host Entropy"), "ホストのエントロピー（乱数生成能力）の不足", _xlfn.REGEXTEST(C298, "File Descriptor"), "プロセスのファイルディスクリプタ使用率", _xlfn.REGEXTEST(C298, "Unexpected Exits"), "プロセスの異常終了（予期せぬ停止）", _xlfn.REGEXTEST(C298, "Swap Memory Thresholds"), "プロセスのスワップメモリ使用量", _xlfn.REGEXTEST(C298, "Swap Memory Usage Rate"), "スワップメモリ使用量の変化率（増加速度）", _xlfn.REGEXTEST(C298, "Log Directory Free Space.*Absolute"), "ログディレクトリの空き容量（絶対値）", _xlfn.REGEXTEST(C298, "Log Directory Free Space.*Percentage"), "ログディレクトリの空き容量割合（%）", _xlfn.REGEXTEST(C298, "Heap Dump Directory Free Space.*Absolute"), "ヒープダンプディレクトリの空き容量（絶対値）", _xlfn.REGEXTEST(C298, "Heap Dump Directory Free Space.*Percentage"), "ヒープダンプディレクトリの空き容量割合（%）", _xlfn.REGEXTEST(C298, "Data Directory Free Space.*Absolute"), "データディレクトリの空き容量（絶対値）", _xlfn.REGEXTEST(C298, "Data Directory Free Space.*Percentage"), "データディレクトリの空き容量割合（%）", _xlfn.REGEXTEST(C298, "Transaction Log Directory Free Space.*Absolute"), "トランザクションログディレクトリの空き容量（絶対値）", _xlfn.REGEXTEST(C298, "Logging Threshold|Logger Threshold"), "ログ出力レベルの閾値設定", _xlfn.REGEXTEST(C298, "Enable.*Alerts"), "ヘルスアラートの有効化状態", _xlfn.REGEXTEST(C298, "Triggers"), "カスタムアラート条件（トリガー設定）", _xlfn.REGEXTEST(C298, "Healthy Kafka Broker"), "Kafka Brokerの健全ノード割合（稼働率）", _xlfn.REGEXTEST(C298, "Healthy Kafka Connect"), "Kafka Connectの健全ノード割合（稼働率）", _xlfn.REGEXTEST(C298, "Healthy KRaft Controller"), "KRaft Controllerの健全ノード割合（稼働率）", _xlfn.REGEXTEST(C298, "Healthy Knox IDBroker"), "Knox IDBrokerの健全ノード割合（稼働率）", _xlfn.REGEXTEST(C298, "Healthy Knox Gateway"), "Knox Gatewayの健全ノード割合（稼働率）", _xlfn.REGEXTEST(C298, "Healthy ZooKeeper Server"), "ZooKeeper Serverの健全ノード割合（稼働率）", _xlfn.REGEXTEST(C298, "Healthy NodeManager"), "NodeManagerの健全ノード割合（稼働率）", _xlfn.REGEXTEST(C298, "Maximum Latency"), "リクエストの最大レイテンシ（処理遅延）", _xlfn.REGEXTEST(C298, "Garbage Collection Duration"), "Javaのガベージコレクション（GC）の所要時間", _xlfn.REGEXTEST(C298, "Spool Directory Usage"), "Rangerプラグインのスプールディレクトリ使用量", _xlfn.REGEXTEST(C298, "Process Directory Free Space Monitoring Absolute"), "プロセスディレクトリの空き容量（絶対値)", _xlfn.REGEXTEST(C298, "Process Directory Free Space.*Percentage"), "プロセスディレクトリの空き容量割合（%）", _xlfn.REGEXTEST(C298, "Parcel Directory Free Space.*Absolute"), "パーセルディレクトリの空き容量（絶対値）", _xlfn.REGEXTEST(C298, "Parcel Directory Free Space.*Percentage"), "パーセルディレクトリの空き容量割合（%）", _xlfn.REGEXTEST(C298, "Host Network Frame Error Percentage"), "ホストのネットワークフレームエラー割合（%）", _xlfn.REGEXTEST(C298, "Network Interfaces Slow Link Modes"), "ホストのネットワークインターフェースの低速リンクモード検出", _xlfn.REGEXTEST(C298, "Host Memory Swapping"), "ホストのメモリのスワップ発生状態", TRUE, "要手動確認")</f>
        <v>プロセスのファイルディスクリプタ使用率</v>
      </c>
      <c r="H298" s="479" t="s">
        <v>813</v>
      </c>
    </row>
    <row r="299" spans="1:8" ht="33.6">
      <c r="A299" s="514"/>
      <c r="B299" s="473"/>
      <c r="C299" s="471" t="s">
        <v>741</v>
      </c>
      <c r="D299" s="471" t="s">
        <v>742</v>
      </c>
      <c r="E299" s="471" t="s">
        <v>1047</v>
      </c>
      <c r="F299" s="471"/>
      <c r="G299" s="471" t="str" cm="1">
        <f t="array" ref="G299">_xlfn.IFS(C299 = "", "", _xlfn.REGEXTEST(C299, "Service Metric Migrator Minimum Consecutive Successful Checks"), "サービスメトリック移行ツールの連続正常チェック最小回数", _xlfn.REGEXTEST(C299, "Rebalancing"), "リバランシング（データ再配置）状態", _xlfn.REGEXTEST(C299, "Temporary Dump Directory"), "一時ダンプディレクトリの監視", _xlfn.REGEXTEST(C299, "Safemode Extension"), "セーフモード延長状態", _xlfn.REGEXTEST(C299, "Client Idle"), "クライアントのアイドル（待機）状態", _xlfn.REGEXTEST(C299, "Available Space Policy Balanced"), "空き容量ポリシーの分散バランス状態", _xlfn.REGEXTEST(C299, "Filesystem Checkpoint Transaction"), "ファイルシステムのチェックポイントトランザクション", _xlfn.REGEXTEST(C299, "Blocks With Corrupt Replicas Monitoring"), "破損レプリカを持つブロックの監視", _xlfn.REGEXTEST(C299, "Missing Block Monitoring"), "消失（ミッシング）ブロックの監視", _xlfn.REGEXTEST(C299, "Under-replicated Block Monitoring"), "レプリカ数不足ブロックの監視", _xlfn.REGEXTEST(C299, "HDFS Free Space Monitoring"), "HDFSの空き容量監視", _xlfn.REGEXTEST(C299, "DataNode Monitoring"), "DataNodeの稼働状態監視", _xlfn.REGEXTEST(C299, "Rules to Extract Events from Log Files"), "ログファイルからのイベント抽出ルール設定", _xlfn.REGEXTEST(C299, "Free Space Monitoring$"), "空き容量監視（一般設定）", _xlfn.REGEXTEST(C299, "Transceivers Usage"), "トランシーバー使用量（データ転送スレッド数）", _xlfn.REGEXTEST(C299, "Volume Failures"), "ボリューム障害（ディスクエラー）数", _xlfn.REGEXTEST(C299, "Block Count"), "ブロック総数", _xlfn.REGEXTEST(C299, "Audit Failure"), "監査（オーディット）ログの失敗イベント", _xlfn.REGEXTEST(C299, "Web Metric Collection Duration"), "Webメトリック収集の所要時間", _xlfn.REGEXTEST(C299, "Pause Duration"), "一時停止（ポーズ）の所要時間", _xlfn.REGEXTEST(C299, "Fsync Latency"), "Fsync（ディスク同期）のレイテンシ", _xlfn.REGEXTEST(C299, "Free Space Monitoring Absolute"), "空き容量（絶対値）", _xlfn.REGEXTEST(C299, "Free Space Monitoring Percentage"), "空き容量割合（%）", _xlfn.REGEXTEST(C299, "Age Monitoring"), "経過時間の監視", _xlfn.REGEXTEST(C299, "Transactions Monitoring"), "トランザクション数の監視", _xlfn.REGEXTEST(C299, "RPC Latency"), "RPC（遠隔手続き呼出し）のレイテンシ", _xlfn.REGEXTEST(C299, "Directory Failures"), "ディレクトリ障害数", _xlfn.REGEXTEST(C299, "Out-Of-Sync JournalNodes"), "同期ズレが発生しているJournalNode数", _xlfn.REGEXTEST(C299, "Safemode Threshold Percentage"), "セーフモード解除閾値の割合（%）", _xlfn.REGEXTEST(C299, "Kerberos Ticket Renewer Monitoring"), "Kerberosチケット更新プロセスの稼働状態監視", _xlfn.REGEXTEST(C299, "Load Balancer Monitoring"), "ロードバランサーの稼働状態監視", _xlfn.REGEXTEST(C299, "Navigator Audit Failure"), "Cloudera Navigator監査ログの失敗イベント", _xlfn.REGEXTEST(C299, "Schema Registry Server Monitoring"), "Schema Registry Serverの稼働状態監視", _xlfn.REGEXTEST(C299, "SRM Service Monitoring"), "SRMサービスの稼働状態監視", _xlfn.REGEXTEST(C299, "SRM Driver Monitoring"), "SRMドライバーの稼働状態監視", _xlfn.REGEXTEST(C299, "Loggin"), "ログ出力状態・設定監視", _xlfn.REGEXTEST(C299, "Server Monitoring"), "サーバーの稼働状態監視", _xlfn.REGEXTEST(C299, "Server Connection Count"), "サーバーの接続数（コネクション数）", _xlfn.REGEXTEST(C299, "Server Outstanding Requests"), "サーバーの未処理リクエスト数（滞留要求数）", _xlfn.REGEXTEST(C299, "Repository Status"), "リポジトリのステータス状態", _xlfn.REGEXTEST(C299, "Monitor Long Running Task"), "長時間実行タスク（ジョブ）の監視", _xlfn.REGEXTEST(C299, "Token requests per second"), "1秒あたりのトークンリクエスト数（要求レート）", _xlfn.REGEXTEST(C299, "Connection Model Score"), "接続モデルスコア（コネクション品質）", _xlfn.REGEXTEST(C299, "Queue swap"), "キューのスワップ発生状態", _xlfn.REGEXTEST(C299, "NiFi Node Monitoring"), "NiFiノードの稼働状態監視", _xlfn.REGEXTEST(C299, "Host Clock Offset"), "ホストのクロックオフセット（時刻同期のズレ）", _xlfn.REGEXTEST(C299, "Memory Overcommit Validation"), "メモリオーバーコミット設定の検証", _xlfn.REGEXTEST(C299, "Gateway Logging"), "ゲートウェイのログ出力設定", _xlfn.REGEXTEST(C299, "CPU Balance"), "CPU使用率の分散バランス状態", _xlfn.REGEXTEST(C299, "Disk Balance"), "ディスク使用量の分散バランス状態", _xlfn.REGEXTEST(C299, "Network Inbound Balance"), "ネットワークインバウンド（受信）の分散バランス状態", _xlfn.REGEXTEST(C299, "Network Outbound Balance"), "ネットワークアウトバウンド（送信）の分散バランス状態", _xlfn.REGEXTEST(C299, "Replica Count Balance"), "レプリカ数の分散バランス状態", _xlfn.REGEXTEST(C299, "Disk Capacity"), "ディスク総容量の限界・使用容量", _xlfn.REGEXTEST(C299, "CPU Capacity"), "CPU総処理能力の限界・使用量", _xlfn.REGEXTEST(C299, "Network Inbound Capacity"), "ネットワークインバウンド（受信）帯域の限界・使用量", _xlfn.REGEXTEST(C299, "Network Outbound Capacity"), "ネットワークアウトバウンド（送信）帯域の限界・使用量", _xlfn.REGEXTEST(C299, "Leader Replica Count Balance"), "リーダーレプリカ数の分散バランス状態", _xlfn.REGEXTEST(C299, "Host DNS Resolution Duration"), "ホストのDNS名前解決の所要時間", _xlfn.REGEXTEST(C299, "TLS Certificate Expiry"), "TLS証明書の有効期限切れ", _xlfn.REGEXTEST(C299, "Host Entropy"), "ホストのエントロピー（乱数生成能力）の不足", _xlfn.REGEXTEST(C299, "File Descriptor"), "プロセスのファイルディスクリプタ使用率", _xlfn.REGEXTEST(C299, "Unexpected Exits"), "プロセスの異常終了（予期せぬ停止）", _xlfn.REGEXTEST(C299, "Swap Memory Thresholds"), "プロセスのスワップメモリ使用量", _xlfn.REGEXTEST(C299, "Swap Memory Usage Rate"), "スワップメモリ使用量の変化率（増加速度）", _xlfn.REGEXTEST(C299, "Log Directory Free Space.*Absolute"), "ログディレクトリの空き容量（絶対値）", _xlfn.REGEXTEST(C299, "Log Directory Free Space.*Percentage"), "ログディレクトリの空き容量割合（%）", _xlfn.REGEXTEST(C299, "Heap Dump Directory Free Space.*Absolute"), "ヒープダンプディレクトリの空き容量（絶対値）", _xlfn.REGEXTEST(C299, "Heap Dump Directory Free Space.*Percentage"), "ヒープダンプディレクトリの空き容量割合（%）", _xlfn.REGEXTEST(C299, "Data Directory Free Space.*Absolute"), "データディレクトリの空き容量（絶対値）", _xlfn.REGEXTEST(C299, "Data Directory Free Space.*Percentage"), "データディレクトリの空き容量割合（%）", _xlfn.REGEXTEST(C299, "Transaction Log Directory Free Space.*Absolute"), "トランザクションログディレクトリの空き容量（絶対値）", _xlfn.REGEXTEST(C299, "Logging Threshold|Logger Threshold"), "ログ出力レベルの閾値設定", _xlfn.REGEXTEST(C299, "Enable.*Alerts"), "ヘルスアラートの有効化状態", _xlfn.REGEXTEST(C299, "Triggers"), "カスタムアラート条件（トリガー設定）", _xlfn.REGEXTEST(C299, "Healthy Kafka Broker"), "Kafka Brokerの健全ノード割合（稼働率）", _xlfn.REGEXTEST(C299, "Healthy Kafka Connect"), "Kafka Connectの健全ノード割合（稼働率）", _xlfn.REGEXTEST(C299, "Healthy KRaft Controller"), "KRaft Controllerの健全ノード割合（稼働率）", _xlfn.REGEXTEST(C299, "Healthy Knox IDBroker"), "Knox IDBrokerの健全ノード割合（稼働率）", _xlfn.REGEXTEST(C299, "Healthy Knox Gateway"), "Knox Gatewayの健全ノード割合（稼働率）", _xlfn.REGEXTEST(C299, "Healthy ZooKeeper Server"), "ZooKeeper Serverの健全ノード割合（稼働率）", _xlfn.REGEXTEST(C299, "Healthy NodeManager"), "NodeManagerの健全ノード割合（稼働率）", _xlfn.REGEXTEST(C299, "Maximum Latency"), "リクエストの最大レイテンシ（処理遅延）", _xlfn.REGEXTEST(C299, "Garbage Collection Duration"), "Javaのガベージコレクション（GC）の所要時間", _xlfn.REGEXTEST(C299, "Spool Directory Usage"), "Rangerプラグインのスプールディレクトリ使用量", _xlfn.REGEXTEST(C299, "Process Directory Free Space Monitoring Absolute"), "プロセスディレクトリの空き容量（絶対値)", _xlfn.REGEXTEST(C299, "Process Directory Free Space.*Percentage"), "プロセスディレクトリの空き容量割合（%）", _xlfn.REGEXTEST(C299, "Parcel Directory Free Space.*Absolute"), "パーセルディレクトリの空き容量（絶対値）", _xlfn.REGEXTEST(C299, "Parcel Directory Free Space.*Percentage"), "パーセルディレクトリの空き容量割合（%）", _xlfn.REGEXTEST(C299, "Host Network Frame Error Percentage"), "ホストのネットワークフレームエラー割合（%）", _xlfn.REGEXTEST(C299, "Network Interfaces Slow Link Modes"), "ホストのネットワークインターフェースの低速リンクモード検出", _xlfn.REGEXTEST(C299, "Host Memory Swapping"), "ホストのメモリのスワップ発生状態", TRUE, "要手動確認")</f>
        <v>空き容量（絶対値）</v>
      </c>
      <c r="H299" s="479" t="s">
        <v>692</v>
      </c>
    </row>
    <row r="300" spans="1:8" ht="33.6">
      <c r="A300" s="514"/>
      <c r="B300" s="473"/>
      <c r="C300" s="471" t="s">
        <v>746</v>
      </c>
      <c r="D300" s="471" t="s">
        <v>747</v>
      </c>
      <c r="E300" s="471" t="s">
        <v>1047</v>
      </c>
      <c r="F300" s="471"/>
      <c r="G300" s="471" t="str" cm="1">
        <f t="array" ref="G300">_xlfn.IFS(C300 = "", "", _xlfn.REGEXTEST(C300, "Service Metric Migrator Minimum Consecutive Successful Checks"), "サービスメトリック移行ツールの連続正常チェック最小回数", _xlfn.REGEXTEST(C300, "Rebalancing"), "リバランシング（データ再配置）状態", _xlfn.REGEXTEST(C300, "Temporary Dump Directory"), "一時ダンプディレクトリの監視", _xlfn.REGEXTEST(C300, "Safemode Extension"), "セーフモード延長状態", _xlfn.REGEXTEST(C300, "Client Idle"), "クライアントのアイドル（待機）状態", _xlfn.REGEXTEST(C300, "Available Space Policy Balanced"), "空き容量ポリシーの分散バランス状態", _xlfn.REGEXTEST(C300, "Filesystem Checkpoint Transaction"), "ファイルシステムのチェックポイントトランザクション", _xlfn.REGEXTEST(C300, "Blocks With Corrupt Replicas Monitoring"), "破損レプリカを持つブロックの監視", _xlfn.REGEXTEST(C300, "Missing Block Monitoring"), "消失（ミッシング）ブロックの監視", _xlfn.REGEXTEST(C300, "Under-replicated Block Monitoring"), "レプリカ数不足ブロックの監視", _xlfn.REGEXTEST(C300, "HDFS Free Space Monitoring"), "HDFSの空き容量監視", _xlfn.REGEXTEST(C300, "DataNode Monitoring"), "DataNodeの稼働状態監視", _xlfn.REGEXTEST(C300, "Rules to Extract Events from Log Files"), "ログファイルからのイベント抽出ルール設定", _xlfn.REGEXTEST(C300, "Free Space Monitoring$"), "空き容量監視（一般設定）", _xlfn.REGEXTEST(C300, "Transceivers Usage"), "トランシーバー使用量（データ転送スレッド数）", _xlfn.REGEXTEST(C300, "Volume Failures"), "ボリューム障害（ディスクエラー）数", _xlfn.REGEXTEST(C300, "Block Count"), "ブロック総数", _xlfn.REGEXTEST(C300, "Audit Failure"), "監査（オーディット）ログの失敗イベント", _xlfn.REGEXTEST(C300, "Web Metric Collection Duration"), "Webメトリック収集の所要時間", _xlfn.REGEXTEST(C300, "Pause Duration"), "一時停止（ポーズ）の所要時間", _xlfn.REGEXTEST(C300, "Fsync Latency"), "Fsync（ディスク同期）のレイテンシ", _xlfn.REGEXTEST(C300, "Free Space Monitoring Absolute"), "空き容量（絶対値）", _xlfn.REGEXTEST(C300, "Free Space Monitoring Percentage"), "空き容量割合（%）", _xlfn.REGEXTEST(C300, "Age Monitoring"), "経過時間の監視", _xlfn.REGEXTEST(C300, "Transactions Monitoring"), "トランザクション数の監視", _xlfn.REGEXTEST(C300, "RPC Latency"), "RPC（遠隔手続き呼出し）のレイテンシ", _xlfn.REGEXTEST(C300, "Directory Failures"), "ディレクトリ障害数", _xlfn.REGEXTEST(C300, "Out-Of-Sync JournalNodes"), "同期ズレが発生しているJournalNode数", _xlfn.REGEXTEST(C300, "Safemode Threshold Percentage"), "セーフモード解除閾値の割合（%）", _xlfn.REGEXTEST(C300, "Kerberos Ticket Renewer Monitoring"), "Kerberosチケット更新プロセスの稼働状態監視", _xlfn.REGEXTEST(C300, "Load Balancer Monitoring"), "ロードバランサーの稼働状態監視", _xlfn.REGEXTEST(C300, "Navigator Audit Failure"), "Cloudera Navigator監査ログの失敗イベント", _xlfn.REGEXTEST(C300, "Schema Registry Server Monitoring"), "Schema Registry Serverの稼働状態監視", _xlfn.REGEXTEST(C300, "SRM Service Monitoring"), "SRMサービスの稼働状態監視", _xlfn.REGEXTEST(C300, "SRM Driver Monitoring"), "SRMドライバーの稼働状態監視", _xlfn.REGEXTEST(C300, "Loggin"), "ログ出力状態・設定監視", _xlfn.REGEXTEST(C300, "Server Monitoring"), "サーバーの稼働状態監視", _xlfn.REGEXTEST(C300, "Server Connection Count"), "サーバーの接続数（コネクション数）", _xlfn.REGEXTEST(C300, "Server Outstanding Requests"), "サーバーの未処理リクエスト数（滞留要求数）", _xlfn.REGEXTEST(C300, "Repository Status"), "リポジトリのステータス状態", _xlfn.REGEXTEST(C300, "Monitor Long Running Task"), "長時間実行タスク（ジョブ）の監視", _xlfn.REGEXTEST(C300, "Token requests per second"), "1秒あたりのトークンリクエスト数（要求レート）", _xlfn.REGEXTEST(C300, "Connection Model Score"), "接続モデルスコア（コネクション品質）", _xlfn.REGEXTEST(C300, "Queue swap"), "キューのスワップ発生状態", _xlfn.REGEXTEST(C300, "NiFi Node Monitoring"), "NiFiノードの稼働状態監視", _xlfn.REGEXTEST(C300, "Host Clock Offset"), "ホストのクロックオフセット（時刻同期のズレ）", _xlfn.REGEXTEST(C300, "Memory Overcommit Validation"), "メモリオーバーコミット設定の検証", _xlfn.REGEXTEST(C300, "Gateway Logging"), "ゲートウェイのログ出力設定", _xlfn.REGEXTEST(C300, "CPU Balance"), "CPU使用率の分散バランス状態", _xlfn.REGEXTEST(C300, "Disk Balance"), "ディスク使用量の分散バランス状態", _xlfn.REGEXTEST(C300, "Network Inbound Balance"), "ネットワークインバウンド（受信）の分散バランス状態", _xlfn.REGEXTEST(C300, "Network Outbound Balance"), "ネットワークアウトバウンド（送信）の分散バランス状態", _xlfn.REGEXTEST(C300, "Replica Count Balance"), "レプリカ数の分散バランス状態", _xlfn.REGEXTEST(C300, "Disk Capacity"), "ディスク総容量の限界・使用容量", _xlfn.REGEXTEST(C300, "CPU Capacity"), "CPU総処理能力の限界・使用量", _xlfn.REGEXTEST(C300, "Network Inbound Capacity"), "ネットワークインバウンド（受信）帯域の限界・使用量", _xlfn.REGEXTEST(C300, "Network Outbound Capacity"), "ネットワークアウトバウンド（送信）帯域の限界・使用量", _xlfn.REGEXTEST(C300, "Leader Replica Count Balance"), "リーダーレプリカ数の分散バランス状態", _xlfn.REGEXTEST(C300, "Host DNS Resolution Duration"), "ホストのDNS名前解決の所要時間", _xlfn.REGEXTEST(C300, "TLS Certificate Expiry"), "TLS証明書の有効期限切れ", _xlfn.REGEXTEST(C300, "Host Entropy"), "ホストのエントロピー（乱数生成能力）の不足", _xlfn.REGEXTEST(C300, "File Descriptor"), "プロセスのファイルディスクリプタ使用率", _xlfn.REGEXTEST(C300, "Unexpected Exits"), "プロセスの異常終了（予期せぬ停止）", _xlfn.REGEXTEST(C300, "Swap Memory Thresholds"), "プロセスのスワップメモリ使用量", _xlfn.REGEXTEST(C300, "Swap Memory Usage Rate"), "スワップメモリ使用量の変化率（増加速度）", _xlfn.REGEXTEST(C300, "Log Directory Free Space.*Absolute"), "ログディレクトリの空き容量（絶対値）", _xlfn.REGEXTEST(C300, "Log Directory Free Space.*Percentage"), "ログディレクトリの空き容量割合（%）", _xlfn.REGEXTEST(C300, "Heap Dump Directory Free Space.*Absolute"), "ヒープダンプディレクトリの空き容量（絶対値）", _xlfn.REGEXTEST(C300, "Heap Dump Directory Free Space.*Percentage"), "ヒープダンプディレクトリの空き容量割合（%）", _xlfn.REGEXTEST(C300, "Data Directory Free Space.*Absolute"), "データディレクトリの空き容量（絶対値）", _xlfn.REGEXTEST(C300, "Data Directory Free Space.*Percentage"), "データディレクトリの空き容量割合（%）", _xlfn.REGEXTEST(C300, "Transaction Log Directory Free Space.*Absolute"), "トランザクションログディレクトリの空き容量（絶対値）", _xlfn.REGEXTEST(C300, "Logging Threshold|Logger Threshold"), "ログ出力レベルの閾値設定", _xlfn.REGEXTEST(C300, "Enable.*Alerts"), "ヘルスアラートの有効化状態", _xlfn.REGEXTEST(C300, "Triggers"), "カスタムアラート条件（トリガー設定）", _xlfn.REGEXTEST(C300, "Healthy Kafka Broker"), "Kafka Brokerの健全ノード割合（稼働率）", _xlfn.REGEXTEST(C300, "Healthy Kafka Connect"), "Kafka Connectの健全ノード割合（稼働率）", _xlfn.REGEXTEST(C300, "Healthy KRaft Controller"), "KRaft Controllerの健全ノード割合（稼働率）", _xlfn.REGEXTEST(C300, "Healthy Knox IDBroker"), "Knox IDBrokerの健全ノード割合（稼働率）", _xlfn.REGEXTEST(C300, "Healthy Knox Gateway"), "Knox Gatewayの健全ノード割合（稼働率）", _xlfn.REGEXTEST(C300, "Healthy ZooKeeper Server"), "ZooKeeper Serverの健全ノード割合（稼働率）", _xlfn.REGEXTEST(C300, "Healthy NodeManager"), "NodeManagerの健全ノード割合（稼働率）", _xlfn.REGEXTEST(C300, "Maximum Latency"), "リクエストの最大レイテンシ（処理遅延）", _xlfn.REGEXTEST(C300, "Garbage Collection Duration"), "Javaのガベージコレクション（GC）の所要時間", _xlfn.REGEXTEST(C300, "Spool Directory Usage"), "Rangerプラグインのスプールディレクトリ使用量", _xlfn.REGEXTEST(C300, "Process Directory Free Space Monitoring Absolute"), "プロセスディレクトリの空き容量（絶対値)", _xlfn.REGEXTEST(C300, "Process Directory Free Space.*Percentage"), "プロセスディレクトリの空き容量割合（%）", _xlfn.REGEXTEST(C300, "Parcel Directory Free Space.*Absolute"), "パーセルディレクトリの空き容量（絶対値）", _xlfn.REGEXTEST(C300, "Parcel Directory Free Space.*Percentage"), "パーセルディレクトリの空き容量割合（%）", _xlfn.REGEXTEST(C300, "Host Network Frame Error Percentage"), "ホストのネットワークフレームエラー割合（%）", _xlfn.REGEXTEST(C300, "Network Interfaces Slow Link Modes"), "ホストのネットワークインターフェースの低速リンクモード検出", _xlfn.REGEXTEST(C300, "Host Memory Swapping"), "ホストのメモリのスワップ発生状態", TRUE, "要手動確認")</f>
        <v>空き容量割合（%）</v>
      </c>
      <c r="H300" s="479" t="s">
        <v>689</v>
      </c>
    </row>
    <row r="301" spans="1:8" ht="33.6">
      <c r="A301" s="514"/>
      <c r="B301" s="473"/>
      <c r="C301" s="471" t="s">
        <v>814</v>
      </c>
      <c r="D301" s="471" t="s">
        <v>815</v>
      </c>
      <c r="E301" s="471" t="s">
        <v>1047</v>
      </c>
      <c r="F301" s="471"/>
      <c r="G301" s="471" t="str" cm="1">
        <f t="array" ref="G301">_xlfn.IFS(C301 = "", "", _xlfn.REGEXTEST(C301, "Service Metric Migrator Minimum Consecutive Successful Checks"), "サービスメトリック移行ツールの連続正常チェック最小回数", _xlfn.REGEXTEST(C301, "Rebalancing"), "リバランシング（データ再配置）状態", _xlfn.REGEXTEST(C301, "Temporary Dump Directory"), "一時ダンプディレクトリの監視", _xlfn.REGEXTEST(C301, "Safemode Extension"), "セーフモード延長状態", _xlfn.REGEXTEST(C301, "Client Idle"), "クライアントのアイドル（待機）状態", _xlfn.REGEXTEST(C301, "Available Space Policy Balanced"), "空き容量ポリシーの分散バランス状態", _xlfn.REGEXTEST(C301, "Filesystem Checkpoint Transaction"), "ファイルシステムのチェックポイントトランザクション", _xlfn.REGEXTEST(C301, "Blocks With Corrupt Replicas Monitoring"), "破損レプリカを持つブロックの監視", _xlfn.REGEXTEST(C301, "Missing Block Monitoring"), "消失（ミッシング）ブロックの監視", _xlfn.REGEXTEST(C301, "Under-replicated Block Monitoring"), "レプリカ数不足ブロックの監視", _xlfn.REGEXTEST(C301, "HDFS Free Space Monitoring"), "HDFSの空き容量監視", _xlfn.REGEXTEST(C301, "DataNode Monitoring"), "DataNodeの稼働状態監視", _xlfn.REGEXTEST(C301, "Rules to Extract Events from Log Files"), "ログファイルからのイベント抽出ルール設定", _xlfn.REGEXTEST(C301, "Free Space Monitoring$"), "空き容量監視（一般設定）", _xlfn.REGEXTEST(C301, "Transceivers Usage"), "トランシーバー使用量（データ転送スレッド数）", _xlfn.REGEXTEST(C301, "Volume Failures"), "ボリューム障害（ディスクエラー）数", _xlfn.REGEXTEST(C301, "Block Count"), "ブロック総数", _xlfn.REGEXTEST(C301, "Audit Failure"), "監査（オーディット）ログの失敗イベント", _xlfn.REGEXTEST(C301, "Web Metric Collection Duration"), "Webメトリック収集の所要時間", _xlfn.REGEXTEST(C301, "Pause Duration"), "一時停止（ポーズ）の所要時間", _xlfn.REGEXTEST(C301, "Fsync Latency"), "Fsync（ディスク同期）のレイテンシ", _xlfn.REGEXTEST(C301, "Free Space Monitoring Absolute"), "空き容量（絶対値）", _xlfn.REGEXTEST(C301, "Free Space Monitoring Percentage"), "空き容量割合（%）", _xlfn.REGEXTEST(C301, "Age Monitoring"), "経過時間の監視", _xlfn.REGEXTEST(C301, "Transactions Monitoring"), "トランザクション数の監視", _xlfn.REGEXTEST(C301, "RPC Latency"), "RPC（遠隔手続き呼出し）のレイテンシ", _xlfn.REGEXTEST(C301, "Directory Failures"), "ディレクトリ障害数", _xlfn.REGEXTEST(C301, "Out-Of-Sync JournalNodes"), "同期ズレが発生しているJournalNode数", _xlfn.REGEXTEST(C301, "Safemode Threshold Percentage"), "セーフモード解除閾値の割合（%）", _xlfn.REGEXTEST(C301, "Kerberos Ticket Renewer Monitoring"), "Kerberosチケット更新プロセスの稼働状態監視", _xlfn.REGEXTEST(C301, "Load Balancer Monitoring"), "ロードバランサーの稼働状態監視", _xlfn.REGEXTEST(C301, "Navigator Audit Failure"), "Cloudera Navigator監査ログの失敗イベント", _xlfn.REGEXTEST(C301, "Schema Registry Server Monitoring"), "Schema Registry Serverの稼働状態監視", _xlfn.REGEXTEST(C301, "SRM Service Monitoring"), "SRMサービスの稼働状態監視", _xlfn.REGEXTEST(C301, "SRM Driver Monitoring"), "SRMドライバーの稼働状態監視", _xlfn.REGEXTEST(C301, "Loggin"), "ログ出力状態・設定監視", _xlfn.REGEXTEST(C301, "Server Monitoring"), "サーバーの稼働状態監視", _xlfn.REGEXTEST(C301, "Server Connection Count"), "サーバーの接続数（コネクション数）", _xlfn.REGEXTEST(C301, "Server Outstanding Requests"), "サーバーの未処理リクエスト数（滞留要求数）", _xlfn.REGEXTEST(C301, "Repository Status"), "リポジトリのステータス状態", _xlfn.REGEXTEST(C301, "Monitor Long Running Task"), "長時間実行タスク（ジョブ）の監視", _xlfn.REGEXTEST(C301, "Token requests per second"), "1秒あたりのトークンリクエスト数（要求レート）", _xlfn.REGEXTEST(C301, "Connection Model Score"), "接続モデルスコア（コネクション品質）", _xlfn.REGEXTEST(C301, "Queue swap"), "キューのスワップ発生状態", _xlfn.REGEXTEST(C301, "NiFi Node Monitoring"), "NiFiノードの稼働状態監視", _xlfn.REGEXTEST(C301, "Host Clock Offset"), "ホストのクロックオフセット（時刻同期のズレ）", _xlfn.REGEXTEST(C301, "Memory Overcommit Validation"), "メモリオーバーコミット設定の検証", _xlfn.REGEXTEST(C301, "Gateway Logging"), "ゲートウェイのログ出力設定", _xlfn.REGEXTEST(C301, "CPU Balance"), "CPU使用率の分散バランス状態", _xlfn.REGEXTEST(C301, "Disk Balance"), "ディスク使用量の分散バランス状態", _xlfn.REGEXTEST(C301, "Network Inbound Balance"), "ネットワークインバウンド（受信）の分散バランス状態", _xlfn.REGEXTEST(C301, "Network Outbound Balance"), "ネットワークアウトバウンド（送信）の分散バランス状態", _xlfn.REGEXTEST(C301, "Replica Count Balance"), "レプリカ数の分散バランス状態", _xlfn.REGEXTEST(C301, "Disk Capacity"), "ディスク総容量の限界・使用容量", _xlfn.REGEXTEST(C301, "CPU Capacity"), "CPU総処理能力の限界・使用量", _xlfn.REGEXTEST(C301, "Network Inbound Capacity"), "ネットワークインバウンド（受信）帯域の限界・使用量", _xlfn.REGEXTEST(C301, "Network Outbound Capacity"), "ネットワークアウトバウンド（送信）帯域の限界・使用量", _xlfn.REGEXTEST(C301, "Leader Replica Count Balance"), "リーダーレプリカ数の分散バランス状態", _xlfn.REGEXTEST(C301, "Host DNS Resolution Duration"), "ホストのDNS名前解決の所要時間", _xlfn.REGEXTEST(C301, "TLS Certificate Expiry"), "TLS証明書の有効期限切れ", _xlfn.REGEXTEST(C301, "Host Entropy"), "ホストのエントロピー（乱数生成能力）の不足", _xlfn.REGEXTEST(C301, "File Descriptor"), "プロセスのファイルディスクリプタ使用率", _xlfn.REGEXTEST(C301, "Unexpected Exits"), "プロセスの異常終了（予期せぬ停止）", _xlfn.REGEXTEST(C301, "Swap Memory Thresholds"), "プロセスのスワップメモリ使用量", _xlfn.REGEXTEST(C301, "Swap Memory Usage Rate"), "スワップメモリ使用量の変化率（増加速度）", _xlfn.REGEXTEST(C301, "Log Directory Free Space.*Absolute"), "ログディレクトリの空き容量（絶対値）", _xlfn.REGEXTEST(C301, "Log Directory Free Space.*Percentage"), "ログディレクトリの空き容量割合（%）", _xlfn.REGEXTEST(C301, "Heap Dump Directory Free Space.*Absolute"), "ヒープダンプディレクトリの空き容量（絶対値）", _xlfn.REGEXTEST(C301, "Heap Dump Directory Free Space.*Percentage"), "ヒープダンプディレクトリの空き容量割合（%）", _xlfn.REGEXTEST(C301, "Data Directory Free Space.*Absolute"), "データディレクトリの空き容量（絶対値）", _xlfn.REGEXTEST(C301, "Data Directory Free Space.*Percentage"), "データディレクトリの空き容量割合（%）", _xlfn.REGEXTEST(C301, "Transaction Log Directory Free Space.*Absolute"), "トランザクションログディレクトリの空き容量（絶対値）", _xlfn.REGEXTEST(C301, "Logging Threshold|Logger Threshold"), "ログ出力レベルの閾値設定", _xlfn.REGEXTEST(C301, "Enable.*Alerts"), "ヘルスアラートの有効化状態", _xlfn.REGEXTEST(C301, "Triggers"), "カスタムアラート条件（トリガー設定）", _xlfn.REGEXTEST(C301, "Healthy Kafka Broker"), "Kafka Brokerの健全ノード割合（稼働率）", _xlfn.REGEXTEST(C301, "Healthy Kafka Connect"), "Kafka Connectの健全ノード割合（稼働率）", _xlfn.REGEXTEST(C301, "Healthy KRaft Controller"), "KRaft Controllerの健全ノード割合（稼働率）", _xlfn.REGEXTEST(C301, "Healthy Knox IDBroker"), "Knox IDBrokerの健全ノード割合（稼働率）", _xlfn.REGEXTEST(C301, "Healthy Knox Gateway"), "Knox Gatewayの健全ノード割合（稼働率）", _xlfn.REGEXTEST(C301, "Healthy ZooKeeper Server"), "ZooKeeper Serverの健全ノード割合（稼働率）", _xlfn.REGEXTEST(C301, "Healthy NodeManager"), "NodeManagerの健全ノード割合（稼働率）", _xlfn.REGEXTEST(C301, "Maximum Latency"), "リクエストの最大レイテンシ（処理遅延）", _xlfn.REGEXTEST(C301, "Garbage Collection Duration"), "Javaのガベージコレクション（GC）の所要時間", _xlfn.REGEXTEST(C301, "Spool Directory Usage"), "Rangerプラグインのスプールディレクトリ使用量", _xlfn.REGEXTEST(C301, "Process Directory Free Space Monitoring Absolute"), "プロセスディレクトリの空き容量（絶対値)", _xlfn.REGEXTEST(C301, "Process Directory Free Space.*Percentage"), "プロセスディレクトリの空き容量割合（%）", _xlfn.REGEXTEST(C301, "Parcel Directory Free Space.*Absolute"), "パーセルディレクトリの空き容量（絶対値）", _xlfn.REGEXTEST(C301, "Parcel Directory Free Space.*Percentage"), "パーセルディレクトリの空き容量割合（%）", _xlfn.REGEXTEST(C301, "Host Network Frame Error Percentage"), "ホストのネットワークフレームエラー割合（%）", _xlfn.REGEXTEST(C301, "Network Interfaces Slow Link Modes"), "ホストのネットワークインターフェースの低速リンクモード検出", _xlfn.REGEXTEST(C301, "Host Memory Swapping"), "ホストのメモリのスワップ発生状態", TRUE, "要手動確認")</f>
        <v>空き容量（絶対値）</v>
      </c>
      <c r="H301" s="479" t="s">
        <v>692</v>
      </c>
    </row>
    <row r="302" spans="1:8" ht="33.6">
      <c r="A302" s="514"/>
      <c r="B302" s="473"/>
      <c r="C302" s="471" t="s">
        <v>816</v>
      </c>
      <c r="D302" s="471" t="s">
        <v>817</v>
      </c>
      <c r="E302" s="471" t="s">
        <v>1047</v>
      </c>
      <c r="F302" s="471"/>
      <c r="G302" s="471" t="str" cm="1">
        <f t="array" ref="G302">_xlfn.IFS(C302 = "", "", _xlfn.REGEXTEST(C302, "Service Metric Migrator Minimum Consecutive Successful Checks"), "サービスメトリック移行ツールの連続正常チェック最小回数", _xlfn.REGEXTEST(C302, "Rebalancing"), "リバランシング（データ再配置）状態", _xlfn.REGEXTEST(C302, "Temporary Dump Directory"), "一時ダンプディレクトリの監視", _xlfn.REGEXTEST(C302, "Safemode Extension"), "セーフモード延長状態", _xlfn.REGEXTEST(C302, "Client Idle"), "クライアントのアイドル（待機）状態", _xlfn.REGEXTEST(C302, "Available Space Policy Balanced"), "空き容量ポリシーの分散バランス状態", _xlfn.REGEXTEST(C302, "Filesystem Checkpoint Transaction"), "ファイルシステムのチェックポイントトランザクション", _xlfn.REGEXTEST(C302, "Blocks With Corrupt Replicas Monitoring"), "破損レプリカを持つブロックの監視", _xlfn.REGEXTEST(C302, "Missing Block Monitoring"), "消失（ミッシング）ブロックの監視", _xlfn.REGEXTEST(C302, "Under-replicated Block Monitoring"), "レプリカ数不足ブロックの監視", _xlfn.REGEXTEST(C302, "HDFS Free Space Monitoring"), "HDFSの空き容量監視", _xlfn.REGEXTEST(C302, "DataNode Monitoring"), "DataNodeの稼働状態監視", _xlfn.REGEXTEST(C302, "Rules to Extract Events from Log Files"), "ログファイルからのイベント抽出ルール設定", _xlfn.REGEXTEST(C302, "Free Space Monitoring$"), "空き容量監視（一般設定）", _xlfn.REGEXTEST(C302, "Transceivers Usage"), "トランシーバー使用量（データ転送スレッド数）", _xlfn.REGEXTEST(C302, "Volume Failures"), "ボリューム障害（ディスクエラー）数", _xlfn.REGEXTEST(C302, "Block Count"), "ブロック総数", _xlfn.REGEXTEST(C302, "Audit Failure"), "監査（オーディット）ログの失敗イベント", _xlfn.REGEXTEST(C302, "Web Metric Collection Duration"), "Webメトリック収集の所要時間", _xlfn.REGEXTEST(C302, "Pause Duration"), "一時停止（ポーズ）の所要時間", _xlfn.REGEXTEST(C302, "Fsync Latency"), "Fsync（ディスク同期）のレイテンシ", _xlfn.REGEXTEST(C302, "Free Space Monitoring Absolute"), "空き容量（絶対値）", _xlfn.REGEXTEST(C302, "Free Space Monitoring Percentage"), "空き容量割合（%）", _xlfn.REGEXTEST(C302, "Age Monitoring"), "経過時間の監視", _xlfn.REGEXTEST(C302, "Transactions Monitoring"), "トランザクション数の監視", _xlfn.REGEXTEST(C302, "RPC Latency"), "RPC（遠隔手続き呼出し）のレイテンシ", _xlfn.REGEXTEST(C302, "Directory Failures"), "ディレクトリ障害数", _xlfn.REGEXTEST(C302, "Out-Of-Sync JournalNodes"), "同期ズレが発生しているJournalNode数", _xlfn.REGEXTEST(C302, "Safemode Threshold Percentage"), "セーフモード解除閾値の割合（%）", _xlfn.REGEXTEST(C302, "Kerberos Ticket Renewer Monitoring"), "Kerberosチケット更新プロセスの稼働状態監視", _xlfn.REGEXTEST(C302, "Load Balancer Monitoring"), "ロードバランサーの稼働状態監視", _xlfn.REGEXTEST(C302, "Navigator Audit Failure"), "Cloudera Navigator監査ログの失敗イベント", _xlfn.REGEXTEST(C302, "Schema Registry Server Monitoring"), "Schema Registry Serverの稼働状態監視", _xlfn.REGEXTEST(C302, "SRM Service Monitoring"), "SRMサービスの稼働状態監視", _xlfn.REGEXTEST(C302, "SRM Driver Monitoring"), "SRMドライバーの稼働状態監視", _xlfn.REGEXTEST(C302, "Loggin"), "ログ出力状態・設定監視", _xlfn.REGEXTEST(C302, "Server Monitoring"), "サーバーの稼働状態監視", _xlfn.REGEXTEST(C302, "Server Connection Count"), "サーバーの接続数（コネクション数）", _xlfn.REGEXTEST(C302, "Server Outstanding Requests"), "サーバーの未処理リクエスト数（滞留要求数）", _xlfn.REGEXTEST(C302, "Repository Status"), "リポジトリのステータス状態", _xlfn.REGEXTEST(C302, "Monitor Long Running Task"), "長時間実行タスク（ジョブ）の監視", _xlfn.REGEXTEST(C302, "Token requests per second"), "1秒あたりのトークンリクエスト数（要求レート）", _xlfn.REGEXTEST(C302, "Connection Model Score"), "接続モデルスコア（コネクション品質）", _xlfn.REGEXTEST(C302, "Queue swap"), "キューのスワップ発生状態", _xlfn.REGEXTEST(C302, "NiFi Node Monitoring"), "NiFiノードの稼働状態監視", _xlfn.REGEXTEST(C302, "Host Clock Offset"), "ホストのクロックオフセット（時刻同期のズレ）", _xlfn.REGEXTEST(C302, "Memory Overcommit Validation"), "メモリオーバーコミット設定の検証", _xlfn.REGEXTEST(C302, "Gateway Logging"), "ゲートウェイのログ出力設定", _xlfn.REGEXTEST(C302, "CPU Balance"), "CPU使用率の分散バランス状態", _xlfn.REGEXTEST(C302, "Disk Balance"), "ディスク使用量の分散バランス状態", _xlfn.REGEXTEST(C302, "Network Inbound Balance"), "ネットワークインバウンド（受信）の分散バランス状態", _xlfn.REGEXTEST(C302, "Network Outbound Balance"), "ネットワークアウトバウンド（送信）の分散バランス状態", _xlfn.REGEXTEST(C302, "Replica Count Balance"), "レプリカ数の分散バランス状態", _xlfn.REGEXTEST(C302, "Disk Capacity"), "ディスク総容量の限界・使用容量", _xlfn.REGEXTEST(C302, "CPU Capacity"), "CPU総処理能力の限界・使用量", _xlfn.REGEXTEST(C302, "Network Inbound Capacity"), "ネットワークインバウンド（受信）帯域の限界・使用量", _xlfn.REGEXTEST(C302, "Network Outbound Capacity"), "ネットワークアウトバウンド（送信）帯域の限界・使用量", _xlfn.REGEXTEST(C302, "Leader Replica Count Balance"), "リーダーレプリカ数の分散バランス状態", _xlfn.REGEXTEST(C302, "Host DNS Resolution Duration"), "ホストのDNS名前解決の所要時間", _xlfn.REGEXTEST(C302, "TLS Certificate Expiry"), "TLS証明書の有効期限切れ", _xlfn.REGEXTEST(C302, "Host Entropy"), "ホストのエントロピー（乱数生成能力）の不足", _xlfn.REGEXTEST(C302, "File Descriptor"), "プロセスのファイルディスクリプタ使用率", _xlfn.REGEXTEST(C302, "Unexpected Exits"), "プロセスの異常終了（予期せぬ停止）", _xlfn.REGEXTEST(C302, "Swap Memory Thresholds"), "プロセスのスワップメモリ使用量", _xlfn.REGEXTEST(C302, "Swap Memory Usage Rate"), "スワップメモリ使用量の変化率（増加速度）", _xlfn.REGEXTEST(C302, "Log Directory Free Space.*Absolute"), "ログディレクトリの空き容量（絶対値）", _xlfn.REGEXTEST(C302, "Log Directory Free Space.*Percentage"), "ログディレクトリの空き容量割合（%）", _xlfn.REGEXTEST(C302, "Heap Dump Directory Free Space.*Absolute"), "ヒープダンプディレクトリの空き容量（絶対値）", _xlfn.REGEXTEST(C302, "Heap Dump Directory Free Space.*Percentage"), "ヒープダンプディレクトリの空き容量割合（%）", _xlfn.REGEXTEST(C302, "Data Directory Free Space.*Absolute"), "データディレクトリの空き容量（絶対値）", _xlfn.REGEXTEST(C302, "Data Directory Free Space.*Percentage"), "データディレクトリの空き容量割合（%）", _xlfn.REGEXTEST(C302, "Transaction Log Directory Free Space.*Absolute"), "トランザクションログディレクトリの空き容量（絶対値）", _xlfn.REGEXTEST(C302, "Logging Threshold|Logger Threshold"), "ログ出力レベルの閾値設定", _xlfn.REGEXTEST(C302, "Enable.*Alerts"), "ヘルスアラートの有効化状態", _xlfn.REGEXTEST(C302, "Triggers"), "カスタムアラート条件（トリガー設定）", _xlfn.REGEXTEST(C302, "Healthy Kafka Broker"), "Kafka Brokerの健全ノード割合（稼働率）", _xlfn.REGEXTEST(C302, "Healthy Kafka Connect"), "Kafka Connectの健全ノード割合（稼働率）", _xlfn.REGEXTEST(C302, "Healthy KRaft Controller"), "KRaft Controllerの健全ノード割合（稼働率）", _xlfn.REGEXTEST(C302, "Healthy Knox IDBroker"), "Knox IDBrokerの健全ノード割合（稼働率）", _xlfn.REGEXTEST(C302, "Healthy Knox Gateway"), "Knox Gatewayの健全ノード割合（稼働率）", _xlfn.REGEXTEST(C302, "Healthy ZooKeeper Server"), "ZooKeeper Serverの健全ノード割合（稼働率）", _xlfn.REGEXTEST(C302, "Healthy NodeManager"), "NodeManagerの健全ノード割合（稼働率）", _xlfn.REGEXTEST(C302, "Maximum Latency"), "リクエストの最大レイテンシ（処理遅延）", _xlfn.REGEXTEST(C302, "Garbage Collection Duration"), "Javaのガベージコレクション（GC）の所要時間", _xlfn.REGEXTEST(C302, "Spool Directory Usage"), "Rangerプラグインのスプールディレクトリ使用量", _xlfn.REGEXTEST(C302, "Process Directory Free Space Monitoring Absolute"), "プロセスディレクトリの空き容量（絶対値)", _xlfn.REGEXTEST(C302, "Process Directory Free Space.*Percentage"), "プロセスディレクトリの空き容量割合（%）", _xlfn.REGEXTEST(C302, "Parcel Directory Free Space.*Absolute"), "パーセルディレクトリの空き容量（絶対値）", _xlfn.REGEXTEST(C302, "Parcel Directory Free Space.*Percentage"), "パーセルディレクトリの空き容量割合（%）", _xlfn.REGEXTEST(C302, "Host Network Frame Error Percentage"), "ホストのネットワークフレームエラー割合（%）", _xlfn.REGEXTEST(C302, "Network Interfaces Slow Link Modes"), "ホストのネットワークインターフェースの低速リンクモード検出", _xlfn.REGEXTEST(C302, "Host Memory Swapping"), "ホストのメモリのスワップ発生状態", TRUE, "要手動確認")</f>
        <v>空き容量割合（%）</v>
      </c>
      <c r="H302" s="479" t="s">
        <v>689</v>
      </c>
    </row>
    <row r="303" spans="1:8" ht="33.6">
      <c r="A303" s="514"/>
      <c r="B303" s="473"/>
      <c r="C303" s="471" t="s">
        <v>749</v>
      </c>
      <c r="D303" s="471" t="s">
        <v>750</v>
      </c>
      <c r="E303" s="471" t="s">
        <v>1047</v>
      </c>
      <c r="F303" s="471"/>
      <c r="G303" s="471" t="str" cm="1">
        <f t="array" ref="G303">_xlfn.IFS(C303 = "", "", _xlfn.REGEXTEST(C303, "Service Metric Migrator Minimum Consecutive Successful Checks"), "サービスメトリック移行ツールの連続正常チェック最小回数", _xlfn.REGEXTEST(C303, "Rebalancing"), "リバランシング（データ再配置）状態", _xlfn.REGEXTEST(C303, "Temporary Dump Directory"), "一時ダンプディレクトリの監視", _xlfn.REGEXTEST(C303, "Safemode Extension"), "セーフモード延長状態", _xlfn.REGEXTEST(C303, "Client Idle"), "クライアントのアイドル（待機）状態", _xlfn.REGEXTEST(C303, "Available Space Policy Balanced"), "空き容量ポリシーの分散バランス状態", _xlfn.REGEXTEST(C303, "Filesystem Checkpoint Transaction"), "ファイルシステムのチェックポイントトランザクション", _xlfn.REGEXTEST(C303, "Blocks With Corrupt Replicas Monitoring"), "破損レプリカを持つブロックの監視", _xlfn.REGEXTEST(C303, "Missing Block Monitoring"), "消失（ミッシング）ブロックの監視", _xlfn.REGEXTEST(C303, "Under-replicated Block Monitoring"), "レプリカ数不足ブロックの監視", _xlfn.REGEXTEST(C303, "HDFS Free Space Monitoring"), "HDFSの空き容量監視", _xlfn.REGEXTEST(C303, "DataNode Monitoring"), "DataNodeの稼働状態監視", _xlfn.REGEXTEST(C303, "Rules to Extract Events from Log Files"), "ログファイルからのイベント抽出ルール設定", _xlfn.REGEXTEST(C303, "Free Space Monitoring$"), "空き容量監視（一般設定）", _xlfn.REGEXTEST(C303, "Transceivers Usage"), "トランシーバー使用量（データ転送スレッド数）", _xlfn.REGEXTEST(C303, "Volume Failures"), "ボリューム障害（ディスクエラー）数", _xlfn.REGEXTEST(C303, "Block Count"), "ブロック総数", _xlfn.REGEXTEST(C303, "Audit Failure"), "監査（オーディット）ログの失敗イベント", _xlfn.REGEXTEST(C303, "Web Metric Collection Duration"), "Webメトリック収集の所要時間", _xlfn.REGEXTEST(C303, "Pause Duration"), "一時停止（ポーズ）の所要時間", _xlfn.REGEXTEST(C303, "Fsync Latency"), "Fsync（ディスク同期）のレイテンシ", _xlfn.REGEXTEST(C303, "Free Space Monitoring Absolute"), "空き容量（絶対値）", _xlfn.REGEXTEST(C303, "Free Space Monitoring Percentage"), "空き容量割合（%）", _xlfn.REGEXTEST(C303, "Age Monitoring"), "経過時間の監視", _xlfn.REGEXTEST(C303, "Transactions Monitoring"), "トランザクション数の監視", _xlfn.REGEXTEST(C303, "RPC Latency"), "RPC（遠隔手続き呼出し）のレイテンシ", _xlfn.REGEXTEST(C303, "Directory Failures"), "ディレクトリ障害数", _xlfn.REGEXTEST(C303, "Out-Of-Sync JournalNodes"), "同期ズレが発生しているJournalNode数", _xlfn.REGEXTEST(C303, "Safemode Threshold Percentage"), "セーフモード解除閾値の割合（%）", _xlfn.REGEXTEST(C303, "Kerberos Ticket Renewer Monitoring"), "Kerberosチケット更新プロセスの稼働状態監視", _xlfn.REGEXTEST(C303, "Load Balancer Monitoring"), "ロードバランサーの稼働状態監視", _xlfn.REGEXTEST(C303, "Navigator Audit Failure"), "Cloudera Navigator監査ログの失敗イベント", _xlfn.REGEXTEST(C303, "Schema Registry Server Monitoring"), "Schema Registry Serverの稼働状態監視", _xlfn.REGEXTEST(C303, "SRM Service Monitoring"), "SRMサービスの稼働状態監視", _xlfn.REGEXTEST(C303, "SRM Driver Monitoring"), "SRMドライバーの稼働状態監視", _xlfn.REGEXTEST(C303, "Loggin"), "ログ出力状態・設定監視", _xlfn.REGEXTEST(C303, "Server Monitoring"), "サーバーの稼働状態監視", _xlfn.REGEXTEST(C303, "Server Connection Count"), "サーバーの接続数（コネクション数）", _xlfn.REGEXTEST(C303, "Server Outstanding Requests"), "サーバーの未処理リクエスト数（滞留要求数）", _xlfn.REGEXTEST(C303, "Repository Status"), "リポジトリのステータス状態", _xlfn.REGEXTEST(C303, "Monitor Long Running Task"), "長時間実行タスク（ジョブ）の監視", _xlfn.REGEXTEST(C303, "Token requests per second"), "1秒あたりのトークンリクエスト数（要求レート）", _xlfn.REGEXTEST(C303, "Connection Model Score"), "接続モデルスコア（コネクション品質）", _xlfn.REGEXTEST(C303, "Queue swap"), "キューのスワップ発生状態", _xlfn.REGEXTEST(C303, "NiFi Node Monitoring"), "NiFiノードの稼働状態監視", _xlfn.REGEXTEST(C303, "Host Clock Offset"), "ホストのクロックオフセット（時刻同期のズレ）", _xlfn.REGEXTEST(C303, "Memory Overcommit Validation"), "メモリオーバーコミット設定の検証", _xlfn.REGEXTEST(C303, "Gateway Logging"), "ゲートウェイのログ出力設定", _xlfn.REGEXTEST(C303, "CPU Balance"), "CPU使用率の分散バランス状態", _xlfn.REGEXTEST(C303, "Disk Balance"), "ディスク使用量の分散バランス状態", _xlfn.REGEXTEST(C303, "Network Inbound Balance"), "ネットワークインバウンド（受信）の分散バランス状態", _xlfn.REGEXTEST(C303, "Network Outbound Balance"), "ネットワークアウトバウンド（送信）の分散バランス状態", _xlfn.REGEXTEST(C303, "Replica Count Balance"), "レプリカ数の分散バランス状態", _xlfn.REGEXTEST(C303, "Disk Capacity"), "ディスク総容量の限界・使用容量", _xlfn.REGEXTEST(C303, "CPU Capacity"), "CPU総処理能力の限界・使用量", _xlfn.REGEXTEST(C303, "Network Inbound Capacity"), "ネットワークインバウンド（受信）帯域の限界・使用量", _xlfn.REGEXTEST(C303, "Network Outbound Capacity"), "ネットワークアウトバウンド（送信）帯域の限界・使用量", _xlfn.REGEXTEST(C303, "Leader Replica Count Balance"), "リーダーレプリカ数の分散バランス状態", _xlfn.REGEXTEST(C303, "Host DNS Resolution Duration"), "ホストのDNS名前解決の所要時間", _xlfn.REGEXTEST(C303, "TLS Certificate Expiry"), "TLS証明書の有効期限切れ", _xlfn.REGEXTEST(C303, "Host Entropy"), "ホストのエントロピー（乱数生成能力）の不足", _xlfn.REGEXTEST(C303, "File Descriptor"), "プロセスのファイルディスクリプタ使用率", _xlfn.REGEXTEST(C303, "Unexpected Exits"), "プロセスの異常終了（予期せぬ停止）", _xlfn.REGEXTEST(C303, "Swap Memory Thresholds"), "プロセスのスワップメモリ使用量", _xlfn.REGEXTEST(C303, "Swap Memory Usage Rate"), "スワップメモリ使用量の変化率（増加速度）", _xlfn.REGEXTEST(C303, "Log Directory Free Space.*Absolute"), "ログディレクトリの空き容量（絶対値）", _xlfn.REGEXTEST(C303, "Log Directory Free Space.*Percentage"), "ログディレクトリの空き容量割合（%）", _xlfn.REGEXTEST(C303, "Heap Dump Directory Free Space.*Absolute"), "ヒープダンプディレクトリの空き容量（絶対値）", _xlfn.REGEXTEST(C303, "Heap Dump Directory Free Space.*Percentage"), "ヒープダンプディレクトリの空き容量割合（%）", _xlfn.REGEXTEST(C303, "Data Directory Free Space.*Absolute"), "データディレクトリの空き容量（絶対値）", _xlfn.REGEXTEST(C303, "Data Directory Free Space.*Percentage"), "データディレクトリの空き容量割合（%）", _xlfn.REGEXTEST(C303, "Transaction Log Directory Free Space.*Absolute"), "トランザクションログディレクトリの空き容量（絶対値）", _xlfn.REGEXTEST(C303, "Logging Threshold|Logger Threshold"), "ログ出力レベルの閾値設定", _xlfn.REGEXTEST(C303, "Enable.*Alerts"), "ヘルスアラートの有効化状態", _xlfn.REGEXTEST(C303, "Triggers"), "カスタムアラート条件（トリガー設定）", _xlfn.REGEXTEST(C303, "Healthy Kafka Broker"), "Kafka Brokerの健全ノード割合（稼働率）", _xlfn.REGEXTEST(C303, "Healthy Kafka Connect"), "Kafka Connectの健全ノード割合（稼働率）", _xlfn.REGEXTEST(C303, "Healthy KRaft Controller"), "KRaft Controllerの健全ノード割合（稼働率）", _xlfn.REGEXTEST(C303, "Healthy Knox IDBroker"), "Knox IDBrokerの健全ノード割合（稼働率）", _xlfn.REGEXTEST(C303, "Healthy Knox Gateway"), "Knox Gatewayの健全ノード割合（稼働率）", _xlfn.REGEXTEST(C303, "Healthy ZooKeeper Server"), "ZooKeeper Serverの健全ノード割合（稼働率）", _xlfn.REGEXTEST(C303, "Healthy NodeManager"), "NodeManagerの健全ノード割合（稼働率）", _xlfn.REGEXTEST(C303, "Maximum Latency"), "リクエストの最大レイテンシ（処理遅延）", _xlfn.REGEXTEST(C303, "Garbage Collection Duration"), "Javaのガベージコレクション（GC）の所要時間", _xlfn.REGEXTEST(C303, "Spool Directory Usage"), "Rangerプラグインのスプールディレクトリ使用量", _xlfn.REGEXTEST(C303, "Process Directory Free Space Monitoring Absolute"), "プロセスディレクトリの空き容量（絶対値)", _xlfn.REGEXTEST(C303, "Process Directory Free Space.*Percentage"), "プロセスディレクトリの空き容量割合（%）", _xlfn.REGEXTEST(C303, "Parcel Directory Free Space.*Absolute"), "パーセルディレクトリの空き容量（絶対値）", _xlfn.REGEXTEST(C303, "Parcel Directory Free Space.*Percentage"), "パーセルディレクトリの空き容量割合（%）", _xlfn.REGEXTEST(C303, "Host Network Frame Error Percentage"), "ホストのネットワークフレームエラー割合（%）", _xlfn.REGEXTEST(C303, "Network Interfaces Slow Link Modes"), "ホストのネットワークインターフェースの低速リンクモード検出", _xlfn.REGEXTEST(C303, "Host Memory Swapping"), "ホストのメモリのスワップ発生状態", TRUE, "要手動確認")</f>
        <v>プロセスの異常終了（予期せぬ停止）</v>
      </c>
      <c r="H303" s="479" t="s">
        <v>818</v>
      </c>
    </row>
    <row r="304" spans="1:8" ht="16.899999999999999">
      <c r="A304" s="514"/>
      <c r="B304" s="473"/>
      <c r="C304" s="471" t="s">
        <v>752</v>
      </c>
      <c r="D304" s="471" t="s">
        <v>753</v>
      </c>
      <c r="E304" s="471" t="s">
        <v>1047</v>
      </c>
      <c r="F304" s="471"/>
      <c r="G304" s="471" t="str" cm="1">
        <f t="array" ref="G304">_xlfn.IFS(C304 = "", "", _xlfn.REGEXTEST(C304, "Service Metric Migrator Minimum Consecutive Successful Checks"), "サービスメトリック移行ツールの連続正常チェック最小回数", _xlfn.REGEXTEST(C304, "Rebalancing"), "リバランシング（データ再配置）状態", _xlfn.REGEXTEST(C304, "Temporary Dump Directory"), "一時ダンプディレクトリの監視", _xlfn.REGEXTEST(C304, "Safemode Extension"), "セーフモード延長状態", _xlfn.REGEXTEST(C304, "Client Idle"), "クライアントのアイドル（待機）状態", _xlfn.REGEXTEST(C304, "Available Space Policy Balanced"), "空き容量ポリシーの分散バランス状態", _xlfn.REGEXTEST(C304, "Filesystem Checkpoint Transaction"), "ファイルシステムのチェックポイントトランザクション", _xlfn.REGEXTEST(C304, "Blocks With Corrupt Replicas Monitoring"), "破損レプリカを持つブロックの監視", _xlfn.REGEXTEST(C304, "Missing Block Monitoring"), "消失（ミッシング）ブロックの監視", _xlfn.REGEXTEST(C304, "Under-replicated Block Monitoring"), "レプリカ数不足ブロックの監視", _xlfn.REGEXTEST(C304, "HDFS Free Space Monitoring"), "HDFSの空き容量監視", _xlfn.REGEXTEST(C304, "DataNode Monitoring"), "DataNodeの稼働状態監視", _xlfn.REGEXTEST(C304, "Rules to Extract Events from Log Files"), "ログファイルからのイベント抽出ルール設定", _xlfn.REGEXTEST(C304, "Free Space Monitoring$"), "空き容量監視（一般設定）", _xlfn.REGEXTEST(C304, "Transceivers Usage"), "トランシーバー使用量（データ転送スレッド数）", _xlfn.REGEXTEST(C304, "Volume Failures"), "ボリューム障害（ディスクエラー）数", _xlfn.REGEXTEST(C304, "Block Count"), "ブロック総数", _xlfn.REGEXTEST(C304, "Audit Failure"), "監査（オーディット）ログの失敗イベント", _xlfn.REGEXTEST(C304, "Web Metric Collection Duration"), "Webメトリック収集の所要時間", _xlfn.REGEXTEST(C304, "Pause Duration"), "一時停止（ポーズ）の所要時間", _xlfn.REGEXTEST(C304, "Fsync Latency"), "Fsync（ディスク同期）のレイテンシ", _xlfn.REGEXTEST(C304, "Free Space Monitoring Absolute"), "空き容量（絶対値）", _xlfn.REGEXTEST(C304, "Free Space Monitoring Percentage"), "空き容量割合（%）", _xlfn.REGEXTEST(C304, "Age Monitoring"), "経過時間の監視", _xlfn.REGEXTEST(C304, "Transactions Monitoring"), "トランザクション数の監視", _xlfn.REGEXTEST(C304, "RPC Latency"), "RPC（遠隔手続き呼出し）のレイテンシ", _xlfn.REGEXTEST(C304, "Directory Failures"), "ディレクトリ障害数", _xlfn.REGEXTEST(C304, "Out-Of-Sync JournalNodes"), "同期ズレが発生しているJournalNode数", _xlfn.REGEXTEST(C304, "Safemode Threshold Percentage"), "セーフモード解除閾値の割合（%）", _xlfn.REGEXTEST(C304, "Kerberos Ticket Renewer Monitoring"), "Kerberosチケット更新プロセスの稼働状態監視", _xlfn.REGEXTEST(C304, "Load Balancer Monitoring"), "ロードバランサーの稼働状態監視", _xlfn.REGEXTEST(C304, "Navigator Audit Failure"), "Cloudera Navigator監査ログの失敗イベント", _xlfn.REGEXTEST(C304, "Schema Registry Server Monitoring"), "Schema Registry Serverの稼働状態監視", _xlfn.REGEXTEST(C304, "SRM Service Monitoring"), "SRMサービスの稼働状態監視", _xlfn.REGEXTEST(C304, "SRM Driver Monitoring"), "SRMドライバーの稼働状態監視", _xlfn.REGEXTEST(C304, "Loggin"), "ログ出力状態・設定監視", _xlfn.REGEXTEST(C304, "Server Monitoring"), "サーバーの稼働状態監視", _xlfn.REGEXTEST(C304, "Server Connection Count"), "サーバーの接続数（コネクション数）", _xlfn.REGEXTEST(C304, "Server Outstanding Requests"), "サーバーの未処理リクエスト数（滞留要求数）", _xlfn.REGEXTEST(C304, "Repository Status"), "リポジトリのステータス状態", _xlfn.REGEXTEST(C304, "Monitor Long Running Task"), "長時間実行タスク（ジョブ）の監視", _xlfn.REGEXTEST(C304, "Token requests per second"), "1秒あたりのトークンリクエスト数（要求レート）", _xlfn.REGEXTEST(C304, "Connection Model Score"), "接続モデルスコア（コネクション品質）", _xlfn.REGEXTEST(C304, "Queue swap"), "キューのスワップ発生状態", _xlfn.REGEXTEST(C304, "NiFi Node Monitoring"), "NiFiノードの稼働状態監視", _xlfn.REGEXTEST(C304, "Host Clock Offset"), "ホストのクロックオフセット（時刻同期のズレ）", _xlfn.REGEXTEST(C304, "Memory Overcommit Validation"), "メモリオーバーコミット設定の検証", _xlfn.REGEXTEST(C304, "Gateway Logging"), "ゲートウェイのログ出力設定", _xlfn.REGEXTEST(C304, "CPU Balance"), "CPU使用率の分散バランス状態", _xlfn.REGEXTEST(C304, "Disk Balance"), "ディスク使用量の分散バランス状態", _xlfn.REGEXTEST(C304, "Network Inbound Balance"), "ネットワークインバウンド（受信）の分散バランス状態", _xlfn.REGEXTEST(C304, "Network Outbound Balance"), "ネットワークアウトバウンド（送信）の分散バランス状態", _xlfn.REGEXTEST(C304, "Replica Count Balance"), "レプリカ数の分散バランス状態", _xlfn.REGEXTEST(C304, "Disk Capacity"), "ディスク総容量の限界・使用容量", _xlfn.REGEXTEST(C304, "CPU Capacity"), "CPU総処理能力の限界・使用量", _xlfn.REGEXTEST(C304, "Network Inbound Capacity"), "ネットワークインバウンド（受信）帯域の限界・使用量", _xlfn.REGEXTEST(C304, "Network Outbound Capacity"), "ネットワークアウトバウンド（送信）帯域の限界・使用量", _xlfn.REGEXTEST(C304, "Leader Replica Count Balance"), "リーダーレプリカ数の分散バランス状態", _xlfn.REGEXTEST(C304, "Host DNS Resolution Duration"), "ホストのDNS名前解決の所要時間", _xlfn.REGEXTEST(C304, "TLS Certificate Expiry"), "TLS証明書の有効期限切れ", _xlfn.REGEXTEST(C304, "Host Entropy"), "ホストのエントロピー（乱数生成能力）の不足", _xlfn.REGEXTEST(C304, "File Descriptor"), "プロセスのファイルディスクリプタ使用率", _xlfn.REGEXTEST(C304, "Unexpected Exits"), "プロセスの異常終了（予期せぬ停止）", _xlfn.REGEXTEST(C304, "Swap Memory Thresholds"), "プロセスのスワップメモリ使用量", _xlfn.REGEXTEST(C304, "Swap Memory Usage Rate"), "スワップメモリ使用量の変化率（増加速度）", _xlfn.REGEXTEST(C304, "Log Directory Free Space.*Absolute"), "ログディレクトリの空き容量（絶対値）", _xlfn.REGEXTEST(C304, "Log Directory Free Space.*Percentage"), "ログディレクトリの空き容量割合（%）", _xlfn.REGEXTEST(C304, "Heap Dump Directory Free Space.*Absolute"), "ヒープダンプディレクトリの空き容量（絶対値）", _xlfn.REGEXTEST(C304, "Heap Dump Directory Free Space.*Percentage"), "ヒープダンプディレクトリの空き容量割合（%）", _xlfn.REGEXTEST(C304, "Data Directory Free Space.*Absolute"), "データディレクトリの空き容量（絶対値）", _xlfn.REGEXTEST(C304, "Data Directory Free Space.*Percentage"), "データディレクトリの空き容量割合（%）", _xlfn.REGEXTEST(C304, "Transaction Log Directory Free Space.*Absolute"), "トランザクションログディレクトリの空き容量（絶対値）", _xlfn.REGEXTEST(C304, "Logging Threshold|Logger Threshold"), "ログ出力レベルの閾値設定", _xlfn.REGEXTEST(C304, "Enable.*Alerts"), "ヘルスアラートの有効化状態", _xlfn.REGEXTEST(C304, "Triggers"), "カスタムアラート条件（トリガー設定）", _xlfn.REGEXTEST(C304, "Healthy Kafka Broker"), "Kafka Brokerの健全ノード割合（稼働率）", _xlfn.REGEXTEST(C304, "Healthy Kafka Connect"), "Kafka Connectの健全ノード割合（稼働率）", _xlfn.REGEXTEST(C304, "Healthy KRaft Controller"), "KRaft Controllerの健全ノード割合（稼働率）", _xlfn.REGEXTEST(C304, "Healthy Knox IDBroker"), "Knox IDBrokerの健全ノード割合（稼働率）", _xlfn.REGEXTEST(C304, "Healthy Knox Gateway"), "Knox Gatewayの健全ノード割合（稼働率）", _xlfn.REGEXTEST(C304, "Healthy ZooKeeper Server"), "ZooKeeper Serverの健全ノード割合（稼働率）", _xlfn.REGEXTEST(C304, "Healthy NodeManager"), "NodeManagerの健全ノード割合（稼働率）", _xlfn.REGEXTEST(C304, "Maximum Latency"), "リクエストの最大レイテンシ（処理遅延）", _xlfn.REGEXTEST(C304, "Garbage Collection Duration"), "Javaのガベージコレクション（GC）の所要時間", _xlfn.REGEXTEST(C304, "Spool Directory Usage"), "Rangerプラグインのスプールディレクトリ使用量", _xlfn.REGEXTEST(C304, "Process Directory Free Space Monitoring Absolute"), "プロセスディレクトリの空き容量（絶対値)", _xlfn.REGEXTEST(C304, "Process Directory Free Space.*Percentage"), "プロセスディレクトリの空き容量割合（%）", _xlfn.REGEXTEST(C304, "Parcel Directory Free Space.*Absolute"), "パーセルディレクトリの空き容量（絶対値）", _xlfn.REGEXTEST(C304, "Parcel Directory Free Space.*Percentage"), "パーセルディレクトリの空き容量割合（%）", _xlfn.REGEXTEST(C304, "Host Network Frame Error Percentage"), "ホストのネットワークフレームエラー割合（%）", _xlfn.REGEXTEST(C304, "Network Interfaces Slow Link Modes"), "ホストのネットワークインターフェースの低速リンクモード検出", _xlfn.REGEXTEST(C304, "Host Memory Swapping"), "ホストのメモリのスワップ発生状態", TRUE, "要手動確認")</f>
        <v>カスタムアラート条件（トリガー設定）</v>
      </c>
      <c r="H304" s="479" t="s">
        <v>714</v>
      </c>
    </row>
    <row r="305" spans="1:8" ht="33.6">
      <c r="A305" s="514"/>
      <c r="B305" s="473"/>
      <c r="C305" s="471" t="s">
        <v>755</v>
      </c>
      <c r="D305" s="471" t="s">
        <v>756</v>
      </c>
      <c r="E305" s="471" t="s">
        <v>1047</v>
      </c>
      <c r="F305" s="471"/>
      <c r="G305" s="471" t="str" cm="1">
        <f t="array" ref="G305">_xlfn.IFS(C305 = "", "", _xlfn.REGEXTEST(C305, "Service Metric Migrator Minimum Consecutive Successful Checks"), "サービスメトリック移行ツールの連続正常チェック最小回数", _xlfn.REGEXTEST(C305, "Rebalancing"), "リバランシング（データ再配置）状態", _xlfn.REGEXTEST(C305, "Temporary Dump Directory"), "一時ダンプディレクトリの監視", _xlfn.REGEXTEST(C305, "Safemode Extension"), "セーフモード延長状態", _xlfn.REGEXTEST(C305, "Client Idle"), "クライアントのアイドル（待機）状態", _xlfn.REGEXTEST(C305, "Available Space Policy Balanced"), "空き容量ポリシーの分散バランス状態", _xlfn.REGEXTEST(C305, "Filesystem Checkpoint Transaction"), "ファイルシステムのチェックポイントトランザクション", _xlfn.REGEXTEST(C305, "Blocks With Corrupt Replicas Monitoring"), "破損レプリカを持つブロックの監視", _xlfn.REGEXTEST(C305, "Missing Block Monitoring"), "消失（ミッシング）ブロックの監視", _xlfn.REGEXTEST(C305, "Under-replicated Block Monitoring"), "レプリカ数不足ブロックの監視", _xlfn.REGEXTEST(C305, "HDFS Free Space Monitoring"), "HDFSの空き容量監視", _xlfn.REGEXTEST(C305, "DataNode Monitoring"), "DataNodeの稼働状態監視", _xlfn.REGEXTEST(C305, "Rules to Extract Events from Log Files"), "ログファイルからのイベント抽出ルール設定", _xlfn.REGEXTEST(C305, "Free Space Monitoring$"), "空き容量監視（一般設定）", _xlfn.REGEXTEST(C305, "Transceivers Usage"), "トランシーバー使用量（データ転送スレッド数）", _xlfn.REGEXTEST(C305, "Volume Failures"), "ボリューム障害（ディスクエラー）数", _xlfn.REGEXTEST(C305, "Block Count"), "ブロック総数", _xlfn.REGEXTEST(C305, "Audit Failure"), "監査（オーディット）ログの失敗イベント", _xlfn.REGEXTEST(C305, "Web Metric Collection Duration"), "Webメトリック収集の所要時間", _xlfn.REGEXTEST(C305, "Pause Duration"), "一時停止（ポーズ）の所要時間", _xlfn.REGEXTEST(C305, "Fsync Latency"), "Fsync（ディスク同期）のレイテンシ", _xlfn.REGEXTEST(C305, "Free Space Monitoring Absolute"), "空き容量（絶対値）", _xlfn.REGEXTEST(C305, "Free Space Monitoring Percentage"), "空き容量割合（%）", _xlfn.REGEXTEST(C305, "Age Monitoring"), "経過時間の監視", _xlfn.REGEXTEST(C305, "Transactions Monitoring"), "トランザクション数の監視", _xlfn.REGEXTEST(C305, "RPC Latency"), "RPC（遠隔手続き呼出し）のレイテンシ", _xlfn.REGEXTEST(C305, "Directory Failures"), "ディレクトリ障害数", _xlfn.REGEXTEST(C305, "Out-Of-Sync JournalNodes"), "同期ズレが発生しているJournalNode数", _xlfn.REGEXTEST(C305, "Safemode Threshold Percentage"), "セーフモード解除閾値の割合（%）", _xlfn.REGEXTEST(C305, "Kerberos Ticket Renewer Monitoring"), "Kerberosチケット更新プロセスの稼働状態監視", _xlfn.REGEXTEST(C305, "Load Balancer Monitoring"), "ロードバランサーの稼働状態監視", _xlfn.REGEXTEST(C305, "Navigator Audit Failure"), "Cloudera Navigator監査ログの失敗イベント", _xlfn.REGEXTEST(C305, "Schema Registry Server Monitoring"), "Schema Registry Serverの稼働状態監視", _xlfn.REGEXTEST(C305, "SRM Service Monitoring"), "SRMサービスの稼働状態監視", _xlfn.REGEXTEST(C305, "SRM Driver Monitoring"), "SRMドライバーの稼働状態監視", _xlfn.REGEXTEST(C305, "Loggin"), "ログ出力状態・設定監視", _xlfn.REGEXTEST(C305, "Server Monitoring"), "サーバーの稼働状態監視", _xlfn.REGEXTEST(C305, "Server Connection Count"), "サーバーの接続数（コネクション数）", _xlfn.REGEXTEST(C305, "Server Outstanding Requests"), "サーバーの未処理リクエスト数（滞留要求数）", _xlfn.REGEXTEST(C305, "Repository Status"), "リポジトリのステータス状態", _xlfn.REGEXTEST(C305, "Monitor Long Running Task"), "長時間実行タスク（ジョブ）の監視", _xlfn.REGEXTEST(C305, "Token requests per second"), "1秒あたりのトークンリクエスト数（要求レート）", _xlfn.REGEXTEST(C305, "Connection Model Score"), "接続モデルスコア（コネクション品質）", _xlfn.REGEXTEST(C305, "Queue swap"), "キューのスワップ発生状態", _xlfn.REGEXTEST(C305, "NiFi Node Monitoring"), "NiFiノードの稼働状態監視", _xlfn.REGEXTEST(C305, "Host Clock Offset"), "ホストのクロックオフセット（時刻同期のズレ）", _xlfn.REGEXTEST(C305, "Memory Overcommit Validation"), "メモリオーバーコミット設定の検証", _xlfn.REGEXTEST(C305, "Gateway Logging"), "ゲートウェイのログ出力設定", _xlfn.REGEXTEST(C305, "CPU Balance"), "CPU使用率の分散バランス状態", _xlfn.REGEXTEST(C305, "Disk Balance"), "ディスク使用量の分散バランス状態", _xlfn.REGEXTEST(C305, "Network Inbound Balance"), "ネットワークインバウンド（受信）の分散バランス状態", _xlfn.REGEXTEST(C305, "Network Outbound Balance"), "ネットワークアウトバウンド（送信）の分散バランス状態", _xlfn.REGEXTEST(C305, "Replica Count Balance"), "レプリカ数の分散バランス状態", _xlfn.REGEXTEST(C305, "Disk Capacity"), "ディスク総容量の限界・使用容量", _xlfn.REGEXTEST(C305, "CPU Capacity"), "CPU総処理能力の限界・使用量", _xlfn.REGEXTEST(C305, "Network Inbound Capacity"), "ネットワークインバウンド（受信）帯域の限界・使用量", _xlfn.REGEXTEST(C305, "Network Outbound Capacity"), "ネットワークアウトバウンド（送信）帯域の限界・使用量", _xlfn.REGEXTEST(C305, "Leader Replica Count Balance"), "リーダーレプリカ数の分散バランス状態", _xlfn.REGEXTEST(C305, "Host DNS Resolution Duration"), "ホストのDNS名前解決の所要時間", _xlfn.REGEXTEST(C305, "TLS Certificate Expiry"), "TLS証明書の有効期限切れ", _xlfn.REGEXTEST(C305, "Host Entropy"), "ホストのエントロピー（乱数生成能力）の不足", _xlfn.REGEXTEST(C305, "File Descriptor"), "プロセスのファイルディスクリプタ使用率", _xlfn.REGEXTEST(C305, "Unexpected Exits"), "プロセスの異常終了（予期せぬ停止）", _xlfn.REGEXTEST(C305, "Swap Memory Thresholds"), "プロセスのスワップメモリ使用量", _xlfn.REGEXTEST(C305, "Swap Memory Usage Rate"), "スワップメモリ使用量の変化率（増加速度）", _xlfn.REGEXTEST(C305, "Log Directory Free Space.*Absolute"), "ログディレクトリの空き容量（絶対値）", _xlfn.REGEXTEST(C305, "Log Directory Free Space.*Percentage"), "ログディレクトリの空き容量割合（%）", _xlfn.REGEXTEST(C305, "Heap Dump Directory Free Space.*Absolute"), "ヒープダンプディレクトリの空き容量（絶対値）", _xlfn.REGEXTEST(C305, "Heap Dump Directory Free Space.*Percentage"), "ヒープダンプディレクトリの空き容量割合（%）", _xlfn.REGEXTEST(C305, "Data Directory Free Space.*Absolute"), "データディレクトリの空き容量（絶対値）", _xlfn.REGEXTEST(C305, "Data Directory Free Space.*Percentage"), "データディレクトリの空き容量割合（%）", _xlfn.REGEXTEST(C305, "Transaction Log Directory Free Space.*Absolute"), "トランザクションログディレクトリの空き容量（絶対値）", _xlfn.REGEXTEST(C305, "Logging Threshold|Logger Threshold"), "ログ出力レベルの閾値設定", _xlfn.REGEXTEST(C305, "Enable.*Alerts"), "ヘルスアラートの有効化状態", _xlfn.REGEXTEST(C305, "Triggers"), "カスタムアラート条件（トリガー設定）", _xlfn.REGEXTEST(C305, "Healthy Kafka Broker"), "Kafka Brokerの健全ノード割合（稼働率）", _xlfn.REGEXTEST(C305, "Healthy Kafka Connect"), "Kafka Connectの健全ノード割合（稼働率）", _xlfn.REGEXTEST(C305, "Healthy KRaft Controller"), "KRaft Controllerの健全ノード割合（稼働率）", _xlfn.REGEXTEST(C305, "Healthy Knox IDBroker"), "Knox IDBrokerの健全ノード割合（稼働率）", _xlfn.REGEXTEST(C305, "Healthy Knox Gateway"), "Knox Gatewayの健全ノード割合（稼働率）", _xlfn.REGEXTEST(C305, "Healthy ZooKeeper Server"), "ZooKeeper Serverの健全ノード割合（稼働率）", _xlfn.REGEXTEST(C305, "Healthy NodeManager"), "NodeManagerの健全ノード割合（稼働率）", _xlfn.REGEXTEST(C305, "Maximum Latency"), "リクエストの最大レイテンシ（処理遅延）", _xlfn.REGEXTEST(C305, "Garbage Collection Duration"), "Javaのガベージコレクション（GC）の所要時間", _xlfn.REGEXTEST(C305, "Spool Directory Usage"), "Rangerプラグインのスプールディレクトリ使用量", _xlfn.REGEXTEST(C305, "Process Directory Free Space Monitoring Absolute"), "プロセスディレクトリの空き容量（絶対値)", _xlfn.REGEXTEST(C305, "Process Directory Free Space.*Percentage"), "プロセスディレクトリの空き容量割合（%）", _xlfn.REGEXTEST(C305, "Parcel Directory Free Space.*Absolute"), "パーセルディレクトリの空き容量（絶対値）", _xlfn.REGEXTEST(C305, "Parcel Directory Free Space.*Percentage"), "パーセルディレクトリの空き容量割合（%）", _xlfn.REGEXTEST(C305, "Host Network Frame Error Percentage"), "ホストのネットワークフレームエラー割合（%）", _xlfn.REGEXTEST(C305, "Network Interfaces Slow Link Modes"), "ホストのネットワークインターフェースの低速リンクモード検出", _xlfn.REGEXTEST(C305, "Host Memory Swapping"), "ホストのメモリのスワップ発生状態", TRUE, "要手動確認")</f>
        <v>プロセスのスワップメモリ使用量</v>
      </c>
      <c r="H305" s="479" t="s">
        <v>819</v>
      </c>
    </row>
    <row r="306" spans="1:8" ht="33.6">
      <c r="A306" s="514"/>
      <c r="B306" s="473"/>
      <c r="C306" s="471" t="s">
        <v>758</v>
      </c>
      <c r="D306" s="471" t="s">
        <v>759</v>
      </c>
      <c r="E306" s="471" t="s">
        <v>1047</v>
      </c>
      <c r="F306" s="471"/>
      <c r="G306" s="471" t="str" cm="1">
        <f t="array" ref="G306">_xlfn.IFS(C306 = "", "", _xlfn.REGEXTEST(C306, "Service Metric Migrator Minimum Consecutive Successful Checks"), "サービスメトリック移行ツールの連続正常チェック最小回数", _xlfn.REGEXTEST(C306, "Rebalancing"), "リバランシング（データ再配置）状態", _xlfn.REGEXTEST(C306, "Temporary Dump Directory"), "一時ダンプディレクトリの監視", _xlfn.REGEXTEST(C306, "Safemode Extension"), "セーフモード延長状態", _xlfn.REGEXTEST(C306, "Client Idle"), "クライアントのアイドル（待機）状態", _xlfn.REGEXTEST(C306, "Available Space Policy Balanced"), "空き容量ポリシーの分散バランス状態", _xlfn.REGEXTEST(C306, "Filesystem Checkpoint Transaction"), "ファイルシステムのチェックポイントトランザクション", _xlfn.REGEXTEST(C306, "Blocks With Corrupt Replicas Monitoring"), "破損レプリカを持つブロックの監視", _xlfn.REGEXTEST(C306, "Missing Block Monitoring"), "消失（ミッシング）ブロックの監視", _xlfn.REGEXTEST(C306, "Under-replicated Block Monitoring"), "レプリカ数不足ブロックの監視", _xlfn.REGEXTEST(C306, "HDFS Free Space Monitoring"), "HDFSの空き容量監視", _xlfn.REGEXTEST(C306, "DataNode Monitoring"), "DataNodeの稼働状態監視", _xlfn.REGEXTEST(C306, "Rules to Extract Events from Log Files"), "ログファイルからのイベント抽出ルール設定", _xlfn.REGEXTEST(C306, "Free Space Monitoring$"), "空き容量監視（一般設定）", _xlfn.REGEXTEST(C306, "Transceivers Usage"), "トランシーバー使用量（データ転送スレッド数）", _xlfn.REGEXTEST(C306, "Volume Failures"), "ボリューム障害（ディスクエラー）数", _xlfn.REGEXTEST(C306, "Block Count"), "ブロック総数", _xlfn.REGEXTEST(C306, "Audit Failure"), "監査（オーディット）ログの失敗イベント", _xlfn.REGEXTEST(C306, "Web Metric Collection Duration"), "Webメトリック収集の所要時間", _xlfn.REGEXTEST(C306, "Pause Duration"), "一時停止（ポーズ）の所要時間", _xlfn.REGEXTEST(C306, "Fsync Latency"), "Fsync（ディスク同期）のレイテンシ", _xlfn.REGEXTEST(C306, "Free Space Monitoring Absolute"), "空き容量（絶対値）", _xlfn.REGEXTEST(C306, "Free Space Monitoring Percentage"), "空き容量割合（%）", _xlfn.REGEXTEST(C306, "Age Monitoring"), "経過時間の監視", _xlfn.REGEXTEST(C306, "Transactions Monitoring"), "トランザクション数の監視", _xlfn.REGEXTEST(C306, "RPC Latency"), "RPC（遠隔手続き呼出し）のレイテンシ", _xlfn.REGEXTEST(C306, "Directory Failures"), "ディレクトリ障害数", _xlfn.REGEXTEST(C306, "Out-Of-Sync JournalNodes"), "同期ズレが発生しているJournalNode数", _xlfn.REGEXTEST(C306, "Safemode Threshold Percentage"), "セーフモード解除閾値の割合（%）", _xlfn.REGEXTEST(C306, "Kerberos Ticket Renewer Monitoring"), "Kerberosチケット更新プロセスの稼働状態監視", _xlfn.REGEXTEST(C306, "Load Balancer Monitoring"), "ロードバランサーの稼働状態監視", _xlfn.REGEXTEST(C306, "Navigator Audit Failure"), "Cloudera Navigator監査ログの失敗イベント", _xlfn.REGEXTEST(C306, "Schema Registry Server Monitoring"), "Schema Registry Serverの稼働状態監視", _xlfn.REGEXTEST(C306, "SRM Service Monitoring"), "SRMサービスの稼働状態監視", _xlfn.REGEXTEST(C306, "SRM Driver Monitoring"), "SRMドライバーの稼働状態監視", _xlfn.REGEXTEST(C306, "Loggin"), "ログ出力状態・設定監視", _xlfn.REGEXTEST(C306, "Server Monitoring"), "サーバーの稼働状態監視", _xlfn.REGEXTEST(C306, "Server Connection Count"), "サーバーの接続数（コネクション数）", _xlfn.REGEXTEST(C306, "Server Outstanding Requests"), "サーバーの未処理リクエスト数（滞留要求数）", _xlfn.REGEXTEST(C306, "Repository Status"), "リポジトリのステータス状態", _xlfn.REGEXTEST(C306, "Monitor Long Running Task"), "長時間実行タスク（ジョブ）の監視", _xlfn.REGEXTEST(C306, "Token requests per second"), "1秒あたりのトークンリクエスト数（要求レート）", _xlfn.REGEXTEST(C306, "Connection Model Score"), "接続モデルスコア（コネクション品質）", _xlfn.REGEXTEST(C306, "Queue swap"), "キューのスワップ発生状態", _xlfn.REGEXTEST(C306, "NiFi Node Monitoring"), "NiFiノードの稼働状態監視", _xlfn.REGEXTEST(C306, "Host Clock Offset"), "ホストのクロックオフセット（時刻同期のズレ）", _xlfn.REGEXTEST(C306, "Memory Overcommit Validation"), "メモリオーバーコミット設定の検証", _xlfn.REGEXTEST(C306, "Gateway Logging"), "ゲートウェイのログ出力設定", _xlfn.REGEXTEST(C306, "CPU Balance"), "CPU使用率の分散バランス状態", _xlfn.REGEXTEST(C306, "Disk Balance"), "ディスク使用量の分散バランス状態", _xlfn.REGEXTEST(C306, "Network Inbound Balance"), "ネットワークインバウンド（受信）の分散バランス状態", _xlfn.REGEXTEST(C306, "Network Outbound Balance"), "ネットワークアウトバウンド（送信）の分散バランス状態", _xlfn.REGEXTEST(C306, "Replica Count Balance"), "レプリカ数の分散バランス状態", _xlfn.REGEXTEST(C306, "Disk Capacity"), "ディスク総容量の限界・使用容量", _xlfn.REGEXTEST(C306, "CPU Capacity"), "CPU総処理能力の限界・使用量", _xlfn.REGEXTEST(C306, "Network Inbound Capacity"), "ネットワークインバウンド（受信）帯域の限界・使用量", _xlfn.REGEXTEST(C306, "Network Outbound Capacity"), "ネットワークアウトバウンド（送信）帯域の限界・使用量", _xlfn.REGEXTEST(C306, "Leader Replica Count Balance"), "リーダーレプリカ数の分散バランス状態", _xlfn.REGEXTEST(C306, "Host DNS Resolution Duration"), "ホストのDNS名前解決の所要時間", _xlfn.REGEXTEST(C306, "TLS Certificate Expiry"), "TLS証明書の有効期限切れ", _xlfn.REGEXTEST(C306, "Host Entropy"), "ホストのエントロピー（乱数生成能力）の不足", _xlfn.REGEXTEST(C306, "File Descriptor"), "プロセスのファイルディスクリプタ使用率", _xlfn.REGEXTEST(C306, "Unexpected Exits"), "プロセスの異常終了（予期せぬ停止）", _xlfn.REGEXTEST(C306, "Swap Memory Thresholds"), "プロセスのスワップメモリ使用量", _xlfn.REGEXTEST(C306, "Swap Memory Usage Rate"), "スワップメモリ使用量の変化率（増加速度）", _xlfn.REGEXTEST(C306, "Log Directory Free Space.*Absolute"), "ログディレクトリの空き容量（絶対値）", _xlfn.REGEXTEST(C306, "Log Directory Free Space.*Percentage"), "ログディレクトリの空き容量割合（%）", _xlfn.REGEXTEST(C306, "Heap Dump Directory Free Space.*Absolute"), "ヒープダンプディレクトリの空き容量（絶対値）", _xlfn.REGEXTEST(C306, "Heap Dump Directory Free Space.*Percentage"), "ヒープダンプディレクトリの空き容量割合（%）", _xlfn.REGEXTEST(C306, "Data Directory Free Space.*Absolute"), "データディレクトリの空き容量（絶対値）", _xlfn.REGEXTEST(C306, "Data Directory Free Space.*Percentage"), "データディレクトリの空き容量割合（%）", _xlfn.REGEXTEST(C306, "Transaction Log Directory Free Space.*Absolute"), "トランザクションログディレクトリの空き容量（絶対値）", _xlfn.REGEXTEST(C306, "Logging Threshold|Logger Threshold"), "ログ出力レベルの閾値設定", _xlfn.REGEXTEST(C306, "Enable.*Alerts"), "ヘルスアラートの有効化状態", _xlfn.REGEXTEST(C306, "Triggers"), "カスタムアラート条件（トリガー設定）", _xlfn.REGEXTEST(C306, "Healthy Kafka Broker"), "Kafka Brokerの健全ノード割合（稼働率）", _xlfn.REGEXTEST(C306, "Healthy Kafka Connect"), "Kafka Connectの健全ノード割合（稼働率）", _xlfn.REGEXTEST(C306, "Healthy KRaft Controller"), "KRaft Controllerの健全ノード割合（稼働率）", _xlfn.REGEXTEST(C306, "Healthy Knox IDBroker"), "Knox IDBrokerの健全ノード割合（稼働率）", _xlfn.REGEXTEST(C306, "Healthy Knox Gateway"), "Knox Gatewayの健全ノード割合（稼働率）", _xlfn.REGEXTEST(C306, "Healthy ZooKeeper Server"), "ZooKeeper Serverの健全ノード割合（稼働率）", _xlfn.REGEXTEST(C306, "Healthy NodeManager"), "NodeManagerの健全ノード割合（稼働率）", _xlfn.REGEXTEST(C306, "Maximum Latency"), "リクエストの最大レイテンシ（処理遅延）", _xlfn.REGEXTEST(C306, "Garbage Collection Duration"), "Javaのガベージコレクション（GC）の所要時間", _xlfn.REGEXTEST(C306, "Spool Directory Usage"), "Rangerプラグインのスプールディレクトリ使用量", _xlfn.REGEXTEST(C306, "Process Directory Free Space Monitoring Absolute"), "プロセスディレクトリの空き容量（絶対値)", _xlfn.REGEXTEST(C306, "Process Directory Free Space.*Percentage"), "プロセスディレクトリの空き容量割合（%）", _xlfn.REGEXTEST(C306, "Parcel Directory Free Space.*Absolute"), "パーセルディレクトリの空き容量（絶対値）", _xlfn.REGEXTEST(C306, "Parcel Directory Free Space.*Percentage"), "パーセルディレクトリの空き容量割合（%）", _xlfn.REGEXTEST(C306, "Host Network Frame Error Percentage"), "ホストのネットワークフレームエラー割合（%）", _xlfn.REGEXTEST(C306, "Network Interfaces Slow Link Modes"), "ホストのネットワークインターフェースの低速リンクモード検出", _xlfn.REGEXTEST(C306, "Host Memory Swapping"), "ホストのメモリのスワップ発生状態", TRUE, "要手動確認")</f>
        <v>スワップメモリ使用量の変化率（増加速度）</v>
      </c>
      <c r="H306" s="479" t="s">
        <v>689</v>
      </c>
    </row>
    <row r="307" spans="1:8" ht="33.6">
      <c r="A307" s="514"/>
      <c r="B307" s="473"/>
      <c r="C307" s="471" t="s">
        <v>1099</v>
      </c>
      <c r="D307" s="471" t="s">
        <v>1100</v>
      </c>
      <c r="E307" s="471" t="s">
        <v>1047</v>
      </c>
      <c r="F307" s="471"/>
      <c r="G307" s="471" t="str" cm="1">
        <f t="array" ref="G307">_xlfn.IFS(C307 = "", "", _xlfn.REGEXTEST(C307, "Service Metric Migrator Minimum Consecutive Successful Checks"), "サービスメトリック移行ツールの連続正常チェック最小回数", _xlfn.REGEXTEST(C307, "Rebalancing"), "リバランシング（データ再配置）状態", _xlfn.REGEXTEST(C307, "Temporary Dump Directory"), "一時ダンプディレクトリの監視", _xlfn.REGEXTEST(C307, "Safemode Extension"), "セーフモード延長状態", _xlfn.REGEXTEST(C307, "Client Idle"), "クライアントのアイドル（待機）状態", _xlfn.REGEXTEST(C307, "Available Space Policy Balanced"), "空き容量ポリシーの分散バランス状態", _xlfn.REGEXTEST(C307, "Filesystem Checkpoint Transaction"), "ファイルシステムのチェックポイントトランザクション", _xlfn.REGEXTEST(C307, "Blocks With Corrupt Replicas Monitoring"), "破損レプリカを持つブロックの監視", _xlfn.REGEXTEST(C307, "Missing Block Monitoring"), "消失（ミッシング）ブロックの監視", _xlfn.REGEXTEST(C307, "Under-replicated Block Monitoring"), "レプリカ数不足ブロックの監視", _xlfn.REGEXTEST(C307, "HDFS Free Space Monitoring"), "HDFSの空き容量監視", _xlfn.REGEXTEST(C307, "DataNode Monitoring"), "DataNodeの稼働状態監視", _xlfn.REGEXTEST(C307, "Rules to Extract Events from Log Files"), "ログファイルからのイベント抽出ルール設定", _xlfn.REGEXTEST(C307, "Free Space Monitoring$"), "空き容量監視（一般設定）", _xlfn.REGEXTEST(C307, "Transceivers Usage"), "トランシーバー使用量（データ転送スレッド数）", _xlfn.REGEXTEST(C307, "Volume Failures"), "ボリューム障害（ディスクエラー）数", _xlfn.REGEXTEST(C307, "Block Count"), "ブロック総数", _xlfn.REGEXTEST(C307, "Audit Failure"), "監査（オーディット）ログの失敗イベント", _xlfn.REGEXTEST(C307, "Web Metric Collection Duration"), "Webメトリック収集の所要時間", _xlfn.REGEXTEST(C307, "Pause Duration"), "一時停止（ポーズ）の所要時間", _xlfn.REGEXTEST(C307, "Fsync Latency"), "Fsync（ディスク同期）のレイテンシ", _xlfn.REGEXTEST(C307, "Free Space Monitoring Absolute"), "空き容量（絶対値）", _xlfn.REGEXTEST(C307, "Free Space Monitoring Percentage"), "空き容量割合（%）", _xlfn.REGEXTEST(C307, "Age Monitoring"), "経過時間の監視", _xlfn.REGEXTEST(C307, "Transactions Monitoring"), "トランザクション数の監視", _xlfn.REGEXTEST(C307, "RPC Latency"), "RPC（遠隔手続き呼出し）のレイテンシ", _xlfn.REGEXTEST(C307, "Directory Failures"), "ディレクトリ障害数", _xlfn.REGEXTEST(C307, "Out-Of-Sync JournalNodes"), "同期ズレが発生しているJournalNode数", _xlfn.REGEXTEST(C307, "Safemode Threshold Percentage"), "セーフモード解除閾値の割合（%）", _xlfn.REGEXTEST(C307, "Kerberos Ticket Renewer Monitoring"), "Kerberosチケット更新プロセスの稼働状態監視", _xlfn.REGEXTEST(C307, "Load Balancer Monitoring"), "ロードバランサーの稼働状態監視", _xlfn.REGEXTEST(C307, "Navigator Audit Failure"), "Cloudera Navigator監査ログの失敗イベント", _xlfn.REGEXTEST(C307, "Schema Registry Server Monitoring"), "Schema Registry Serverの稼働状態監視", _xlfn.REGEXTEST(C307, "SRM Service Monitoring"), "SRMサービスの稼働状態監視", _xlfn.REGEXTEST(C307, "SRM Driver Monitoring"), "SRMドライバーの稼働状態監視", _xlfn.REGEXTEST(C307, "Loggin"), "ログ出力状態・設定監視", _xlfn.REGEXTEST(C307, "Server Monitoring"), "サーバーの稼働状態監視", _xlfn.REGEXTEST(C307, "Server Connection Count"), "サーバーの接続数（コネクション数）", _xlfn.REGEXTEST(C307, "Server Outstanding Requests"), "サーバーの未処理リクエスト数（滞留要求数）", _xlfn.REGEXTEST(C307, "Repository Status"), "リポジトリのステータス状態", _xlfn.REGEXTEST(C307, "Monitor Long Running Task"), "長時間実行タスク（ジョブ）の監視", _xlfn.REGEXTEST(C307, "Token requests per second"), "1秒あたりのトークンリクエスト数（要求レート）", _xlfn.REGEXTEST(C307, "Connection Model Score"), "接続モデルスコア（コネクション品質）", _xlfn.REGEXTEST(C307, "Queue swap"), "キューのスワップ発生状態", _xlfn.REGEXTEST(C307, "NiFi Node Monitoring"), "NiFiノードの稼働状態監視", _xlfn.REGEXTEST(C307, "Host Clock Offset"), "ホストのクロックオフセット（時刻同期のズレ）", _xlfn.REGEXTEST(C307, "Memory Overcommit Validation"), "メモリオーバーコミット設定の検証", _xlfn.REGEXTEST(C307, "Gateway Logging"), "ゲートウェイのログ出力設定", _xlfn.REGEXTEST(C307, "CPU Balance"), "CPU使用率の分散バランス状態", _xlfn.REGEXTEST(C307, "Disk Balance"), "ディスク使用量の分散バランス状態", _xlfn.REGEXTEST(C307, "Network Inbound Balance"), "ネットワークインバウンド（受信）の分散バランス状態", _xlfn.REGEXTEST(C307, "Network Outbound Balance"), "ネットワークアウトバウンド（送信）の分散バランス状態", _xlfn.REGEXTEST(C307, "Replica Count Balance"), "レプリカ数の分散バランス状態", _xlfn.REGEXTEST(C307, "Disk Capacity"), "ディスク総容量の限界・使用容量", _xlfn.REGEXTEST(C307, "CPU Capacity"), "CPU総処理能力の限界・使用量", _xlfn.REGEXTEST(C307, "Network Inbound Capacity"), "ネットワークインバウンド（受信）帯域の限界・使用量", _xlfn.REGEXTEST(C307, "Network Outbound Capacity"), "ネットワークアウトバウンド（送信）帯域の限界・使用量", _xlfn.REGEXTEST(C307, "Leader Replica Count Balance"), "リーダーレプリカ数の分散バランス状態", _xlfn.REGEXTEST(C307, "Host DNS Resolution Duration"), "ホストのDNS名前解決の所要時間", _xlfn.REGEXTEST(C307, "TLS Certificate Expiry"), "TLS証明書の有効期限切れ", _xlfn.REGEXTEST(C307, "Host Entropy"), "ホストのエントロピー（乱数生成能力）の不足", _xlfn.REGEXTEST(C307, "File Descriptor"), "プロセスのファイルディスクリプタ使用率", _xlfn.REGEXTEST(C307, "Unexpected Exits"), "プロセスの異常終了（予期せぬ停止）", _xlfn.REGEXTEST(C307, "Swap Memory Thresholds"), "プロセスのスワップメモリ使用量", _xlfn.REGEXTEST(C307, "Swap Memory Usage Rate"), "スワップメモリ使用量の変化率（増加速度）", _xlfn.REGEXTEST(C307, "Log Directory Free Space.*Absolute"), "ログディレクトリの空き容量（絶対値）", _xlfn.REGEXTEST(C307, "Log Directory Free Space.*Percentage"), "ログディレクトリの空き容量割合（%）", _xlfn.REGEXTEST(C307, "Heap Dump Directory Free Space.*Absolute"), "ヒープダンプディレクトリの空き容量（絶対値）", _xlfn.REGEXTEST(C307, "Heap Dump Directory Free Space.*Percentage"), "ヒープダンプディレクトリの空き容量割合（%）", _xlfn.REGEXTEST(C307, "Data Directory Free Space.*Absolute"), "データディレクトリの空き容量（絶対値）", _xlfn.REGEXTEST(C307, "Data Directory Free Space.*Percentage"), "データディレクトリの空き容量割合（%）", _xlfn.REGEXTEST(C307, "Transaction Log Directory Free Space.*Absolute"), "トランザクションログディレクトリの空き容量（絶対値）", _xlfn.REGEXTEST(C307, "Logging Threshold|Logger Threshold"), "ログ出力レベルの閾値設定", _xlfn.REGEXTEST(C307, "Enable.*Alerts"), "ヘルスアラートの有効化状態", _xlfn.REGEXTEST(C307, "Triggers"), "カスタムアラート条件（トリガー設定）", _xlfn.REGEXTEST(C307, "Healthy Kafka Broker"), "Kafka Brokerの健全ノード割合（稼働率）", _xlfn.REGEXTEST(C307, "Healthy Kafka Connect"), "Kafka Connectの健全ノード割合（稼働率）", _xlfn.REGEXTEST(C307, "Healthy KRaft Controller"), "KRaft Controllerの健全ノード割合（稼働率）", _xlfn.REGEXTEST(C307, "Healthy Knox IDBroker"), "Knox IDBrokerの健全ノード割合（稼働率）", _xlfn.REGEXTEST(C307, "Healthy Knox Gateway"), "Knox Gatewayの健全ノード割合（稼働率）", _xlfn.REGEXTEST(C307, "Healthy ZooKeeper Server"), "ZooKeeper Serverの健全ノード割合（稼働率）", _xlfn.REGEXTEST(C307, "Healthy NodeManager"), "NodeManagerの健全ノード割合（稼働率）", _xlfn.REGEXTEST(C307, "Maximum Latency"), "リクエストの最大レイテンシ（処理遅延）", _xlfn.REGEXTEST(C307, "Garbage Collection Duration"), "Javaのガベージコレクション（GC）の所要時間", _xlfn.REGEXTEST(C307, "Spool Directory Usage"), "Rangerプラグインのスプールディレクトリ使用量", _xlfn.REGEXTEST(C307, "Process Directory Free Space Monitoring Absolute"), "プロセスディレクトリの空き容量（絶対値)", _xlfn.REGEXTEST(C307, "Process Directory Free Space.*Percentage"), "プロセスディレクトリの空き容量割合（%）", _xlfn.REGEXTEST(C307, "Parcel Directory Free Space.*Absolute"), "パーセルディレクトリの空き容量（絶対値）", _xlfn.REGEXTEST(C307, "Parcel Directory Free Space.*Percentage"), "パーセルディレクトリの空き容量割合（%）", _xlfn.REGEXTEST(C307, "Host Network Frame Error Percentage"), "ホストのネットワークフレームエラー割合（%）", _xlfn.REGEXTEST(C307, "Network Interfaces Slow Link Modes"), "ホストのネットワークインターフェースの低速リンクモード検出", _xlfn.REGEXTEST(C307, "Host Memory Swapping"), "ホストのメモリのスワップ発生状態", TRUE, "要手動確認")</f>
        <v>Webメトリック収集の所要時間</v>
      </c>
      <c r="H307" s="479" t="s">
        <v>1101</v>
      </c>
    </row>
    <row r="308" spans="1:8" ht="33.6">
      <c r="A308" s="514"/>
      <c r="B308" s="473"/>
      <c r="C308" s="471" t="s">
        <v>1102</v>
      </c>
      <c r="D308" s="471" t="s">
        <v>1103</v>
      </c>
      <c r="E308" s="471" t="s">
        <v>1047</v>
      </c>
      <c r="F308" s="471"/>
      <c r="G308" s="471" t="str" cm="1">
        <f t="array" ref="G308">_xlfn.IFS(C308 = "", "", _xlfn.REGEXTEST(C308, "Service Metric Migrator Minimum Consecutive Successful Checks"), "サービスメトリック移行ツールの連続正常チェック最小回数", _xlfn.REGEXTEST(C308, "Rebalancing"), "リバランシング（データ再配置）状態", _xlfn.REGEXTEST(C308, "Temporary Dump Directory"), "一時ダンプディレクトリの監視", _xlfn.REGEXTEST(C308, "Safemode Extension"), "セーフモード延長状態", _xlfn.REGEXTEST(C308, "Client Idle"), "クライアントのアイドル（待機）状態", _xlfn.REGEXTEST(C308, "Available Space Policy Balanced"), "空き容量ポリシーの分散バランス状態", _xlfn.REGEXTEST(C308, "Filesystem Checkpoint Transaction"), "ファイルシステムのチェックポイントトランザクション", _xlfn.REGEXTEST(C308, "Blocks With Corrupt Replicas Monitoring"), "破損レプリカを持つブロックの監視", _xlfn.REGEXTEST(C308, "Missing Block Monitoring"), "消失（ミッシング）ブロックの監視", _xlfn.REGEXTEST(C308, "Under-replicated Block Monitoring"), "レプリカ数不足ブロックの監視", _xlfn.REGEXTEST(C308, "HDFS Free Space Monitoring"), "HDFSの空き容量監視", _xlfn.REGEXTEST(C308, "DataNode Monitoring"), "DataNodeの稼働状態監視", _xlfn.REGEXTEST(C308, "Rules to Extract Events from Log Files"), "ログファイルからのイベント抽出ルール設定", _xlfn.REGEXTEST(C308, "Free Space Monitoring$"), "空き容量監視（一般設定）", _xlfn.REGEXTEST(C308, "Transceivers Usage"), "トランシーバー使用量（データ転送スレッド数）", _xlfn.REGEXTEST(C308, "Volume Failures"), "ボリューム障害（ディスクエラー）数", _xlfn.REGEXTEST(C308, "Block Count"), "ブロック総数", _xlfn.REGEXTEST(C308, "Audit Failure"), "監査（オーディット）ログの失敗イベント", _xlfn.REGEXTEST(C308, "Web Metric Collection Duration"), "Webメトリック収集の所要時間", _xlfn.REGEXTEST(C308, "Pause Duration"), "一時停止（ポーズ）の所要時間", _xlfn.REGEXTEST(C308, "Fsync Latency"), "Fsync（ディスク同期）のレイテンシ", _xlfn.REGEXTEST(C308, "Free Space Monitoring Absolute"), "空き容量（絶対値）", _xlfn.REGEXTEST(C308, "Free Space Monitoring Percentage"), "空き容量割合（%）", _xlfn.REGEXTEST(C308, "Age Monitoring"), "経過時間の監視", _xlfn.REGEXTEST(C308, "Transactions Monitoring"), "トランザクション数の監視", _xlfn.REGEXTEST(C308, "RPC Latency"), "RPC（遠隔手続き呼出し）のレイテンシ", _xlfn.REGEXTEST(C308, "Directory Failures"), "ディレクトリ障害数", _xlfn.REGEXTEST(C308, "Out-Of-Sync JournalNodes"), "同期ズレが発生しているJournalNode数", _xlfn.REGEXTEST(C308, "Safemode Threshold Percentage"), "セーフモード解除閾値の割合（%）", _xlfn.REGEXTEST(C308, "Kerberos Ticket Renewer Monitoring"), "Kerberosチケット更新プロセスの稼働状態監視", _xlfn.REGEXTEST(C308, "Load Balancer Monitoring"), "ロードバランサーの稼働状態監視", _xlfn.REGEXTEST(C308, "Navigator Audit Failure"), "Cloudera Navigator監査ログの失敗イベント", _xlfn.REGEXTEST(C308, "Schema Registry Server Monitoring"), "Schema Registry Serverの稼働状態監視", _xlfn.REGEXTEST(C308, "SRM Service Monitoring"), "SRMサービスの稼働状態監視", _xlfn.REGEXTEST(C308, "SRM Driver Monitoring"), "SRMドライバーの稼働状態監視", _xlfn.REGEXTEST(C308, "Loggin"), "ログ出力状態・設定監視", _xlfn.REGEXTEST(C308, "Server Monitoring"), "サーバーの稼働状態監視", _xlfn.REGEXTEST(C308, "Server Connection Count"), "サーバーの接続数（コネクション数）", _xlfn.REGEXTEST(C308, "Server Outstanding Requests"), "サーバーの未処理リクエスト数（滞留要求数）", _xlfn.REGEXTEST(C308, "Repository Status"), "リポジトリのステータス状態", _xlfn.REGEXTEST(C308, "Monitor Long Running Task"), "長時間実行タスク（ジョブ）の監視", _xlfn.REGEXTEST(C308, "Token requests per second"), "1秒あたりのトークンリクエスト数（要求レート）", _xlfn.REGEXTEST(C308, "Connection Model Score"), "接続モデルスコア（コネクション品質）", _xlfn.REGEXTEST(C308, "Queue swap"), "キューのスワップ発生状態", _xlfn.REGEXTEST(C308, "NiFi Node Monitoring"), "NiFiノードの稼働状態監視", _xlfn.REGEXTEST(C308, "Host Clock Offset"), "ホストのクロックオフセット（時刻同期のズレ）", _xlfn.REGEXTEST(C308, "Memory Overcommit Validation"), "メモリオーバーコミット設定の検証", _xlfn.REGEXTEST(C308, "Gateway Logging"), "ゲートウェイのログ出力設定", _xlfn.REGEXTEST(C308, "CPU Balance"), "CPU使用率の分散バランス状態", _xlfn.REGEXTEST(C308, "Disk Balance"), "ディスク使用量の分散バランス状態", _xlfn.REGEXTEST(C308, "Network Inbound Balance"), "ネットワークインバウンド（受信）の分散バランス状態", _xlfn.REGEXTEST(C308, "Network Outbound Balance"), "ネットワークアウトバウンド（送信）の分散バランス状態", _xlfn.REGEXTEST(C308, "Replica Count Balance"), "レプリカ数の分散バランス状態", _xlfn.REGEXTEST(C308, "Disk Capacity"), "ディスク総容量の限界・使用容量", _xlfn.REGEXTEST(C308, "CPU Capacity"), "CPU総処理能力の限界・使用量", _xlfn.REGEXTEST(C308, "Network Inbound Capacity"), "ネットワークインバウンド（受信）帯域の限界・使用量", _xlfn.REGEXTEST(C308, "Network Outbound Capacity"), "ネットワークアウトバウンド（送信）帯域の限界・使用量", _xlfn.REGEXTEST(C308, "Leader Replica Count Balance"), "リーダーレプリカ数の分散バランス状態", _xlfn.REGEXTEST(C308, "Host DNS Resolution Duration"), "ホストのDNS名前解決の所要時間", _xlfn.REGEXTEST(C308, "TLS Certificate Expiry"), "TLS証明書の有効期限切れ", _xlfn.REGEXTEST(C308, "Host Entropy"), "ホストのエントロピー（乱数生成能力）の不足", _xlfn.REGEXTEST(C308, "File Descriptor"), "プロセスのファイルディスクリプタ使用率", _xlfn.REGEXTEST(C308, "Unexpected Exits"), "プロセスの異常終了（予期せぬ停止）", _xlfn.REGEXTEST(C308, "Swap Memory Thresholds"), "プロセスのスワップメモリ使用量", _xlfn.REGEXTEST(C308, "Swap Memory Usage Rate"), "スワップメモリ使用量の変化率（増加速度）", _xlfn.REGEXTEST(C308, "Log Directory Free Space.*Absolute"), "ログディレクトリの空き容量（絶対値）", _xlfn.REGEXTEST(C308, "Log Directory Free Space.*Percentage"), "ログディレクトリの空き容量割合（%）", _xlfn.REGEXTEST(C308, "Heap Dump Directory Free Space.*Absolute"), "ヒープダンプディレクトリの空き容量（絶対値）", _xlfn.REGEXTEST(C308, "Heap Dump Directory Free Space.*Percentage"), "ヒープダンプディレクトリの空き容量割合（%）", _xlfn.REGEXTEST(C308, "Data Directory Free Space.*Absolute"), "データディレクトリの空き容量（絶対値）", _xlfn.REGEXTEST(C308, "Data Directory Free Space.*Percentage"), "データディレクトリの空き容量割合（%）", _xlfn.REGEXTEST(C308, "Transaction Log Directory Free Space.*Absolute"), "トランザクションログディレクトリの空き容量（絶対値）", _xlfn.REGEXTEST(C308, "Logging Threshold|Logger Threshold"), "ログ出力レベルの閾値設定", _xlfn.REGEXTEST(C308, "Enable.*Alerts"), "ヘルスアラートの有効化状態", _xlfn.REGEXTEST(C308, "Triggers"), "カスタムアラート条件（トリガー設定）", _xlfn.REGEXTEST(C308, "Healthy Kafka Broker"), "Kafka Brokerの健全ノード割合（稼働率）", _xlfn.REGEXTEST(C308, "Healthy Kafka Connect"), "Kafka Connectの健全ノード割合（稼働率）", _xlfn.REGEXTEST(C308, "Healthy KRaft Controller"), "KRaft Controllerの健全ノード割合（稼働率）", _xlfn.REGEXTEST(C308, "Healthy Knox IDBroker"), "Knox IDBrokerの健全ノード割合（稼働率）", _xlfn.REGEXTEST(C308, "Healthy Knox Gateway"), "Knox Gatewayの健全ノード割合（稼働率）", _xlfn.REGEXTEST(C308, "Healthy ZooKeeper Server"), "ZooKeeper Serverの健全ノード割合（稼働率）", _xlfn.REGEXTEST(C308, "Healthy NodeManager"), "NodeManagerの健全ノード割合（稼働率）", _xlfn.REGEXTEST(C308, "Maximum Latency"), "リクエストの最大レイテンシ（処理遅延）", _xlfn.REGEXTEST(C308, "Garbage Collection Duration"), "Javaのガベージコレクション（GC）の所要時間", _xlfn.REGEXTEST(C308, "Spool Directory Usage"), "Rangerプラグインのスプールディレクトリ使用量", _xlfn.REGEXTEST(C308, "Process Directory Free Space Monitoring Absolute"), "プロセスディレクトリの空き容量（絶対値)", _xlfn.REGEXTEST(C308, "Process Directory Free Space.*Percentage"), "プロセスディレクトリの空き容量割合（%）", _xlfn.REGEXTEST(C308, "Parcel Directory Free Space.*Absolute"), "パーセルディレクトリの空き容量（絶対値）", _xlfn.REGEXTEST(C308, "Parcel Directory Free Space.*Percentage"), "パーセルディレクトリの空き容量割合（%）", _xlfn.REGEXTEST(C308, "Host Network Frame Error Percentage"), "ホストのネットワークフレームエラー割合（%）", _xlfn.REGEXTEST(C308, "Network Interfaces Slow Link Modes"), "ホストのネットワークインターフェースの低速リンクモード検出", _xlfn.REGEXTEST(C308, "Host Memory Swapping"), "ホストのメモリのスワップ発生状態", TRUE, "要手動確認")</f>
        <v>一時停止（ポーズ）の所要時間</v>
      </c>
      <c r="H308" s="479" t="s">
        <v>822</v>
      </c>
    </row>
    <row r="309" spans="1:8" ht="33.6">
      <c r="A309" s="514"/>
      <c r="B309" s="473"/>
      <c r="C309" s="471" t="s">
        <v>1104</v>
      </c>
      <c r="D309" s="471" t="s">
        <v>1105</v>
      </c>
      <c r="E309" s="471" t="s">
        <v>1047</v>
      </c>
      <c r="F309" s="471"/>
      <c r="G309" s="471" t="str" cm="1">
        <f t="array" ref="G309">_xlfn.IFS(C309 = "", "", _xlfn.REGEXTEST(C309, "Service Metric Migrator Minimum Consecutive Successful Checks"), "サービスメトリック移行ツールの連続正常チェック最小回数", _xlfn.REGEXTEST(C309, "Rebalancing"), "リバランシング（データ再配置）状態", _xlfn.REGEXTEST(C309, "Temporary Dump Directory"), "一時ダンプディレクトリの監視", _xlfn.REGEXTEST(C309, "Safemode Extension"), "セーフモード延長状態", _xlfn.REGEXTEST(C309, "Client Idle"), "クライアントのアイドル（待機）状態", _xlfn.REGEXTEST(C309, "Available Space Policy Balanced"), "空き容量ポリシーの分散バランス状態", _xlfn.REGEXTEST(C309, "Filesystem Checkpoint Transaction"), "ファイルシステムのチェックポイントトランザクション", _xlfn.REGEXTEST(C309, "Blocks With Corrupt Replicas Monitoring"), "破損レプリカを持つブロックの監視", _xlfn.REGEXTEST(C309, "Missing Block Monitoring"), "消失（ミッシング）ブロックの監視", _xlfn.REGEXTEST(C309, "Under-replicated Block Monitoring"), "レプリカ数不足ブロックの監視", _xlfn.REGEXTEST(C309, "HDFS Free Space Monitoring"), "HDFSの空き容量監視", _xlfn.REGEXTEST(C309, "DataNode Monitoring"), "DataNodeの稼働状態監視", _xlfn.REGEXTEST(C309, "Rules to Extract Events from Log Files"), "ログファイルからのイベント抽出ルール設定", _xlfn.REGEXTEST(C309, "Free Space Monitoring$"), "空き容量監視（一般設定）", _xlfn.REGEXTEST(C309, "Transceivers Usage"), "トランシーバー使用量（データ転送スレッド数）", _xlfn.REGEXTEST(C309, "Volume Failures"), "ボリューム障害（ディスクエラー）数", _xlfn.REGEXTEST(C309, "Block Count"), "ブロック総数", _xlfn.REGEXTEST(C309, "Audit Failure"), "監査（オーディット）ログの失敗イベント", _xlfn.REGEXTEST(C309, "Web Metric Collection Duration"), "Webメトリック収集の所要時間", _xlfn.REGEXTEST(C309, "Pause Duration"), "一時停止（ポーズ）の所要時間", _xlfn.REGEXTEST(C309, "Fsync Latency"), "Fsync（ディスク同期）のレイテンシ", _xlfn.REGEXTEST(C309, "Free Space Monitoring Absolute"), "空き容量（絶対値）", _xlfn.REGEXTEST(C309, "Free Space Monitoring Percentage"), "空き容量割合（%）", _xlfn.REGEXTEST(C309, "Age Monitoring"), "経過時間の監視", _xlfn.REGEXTEST(C309, "Transactions Monitoring"), "トランザクション数の監視", _xlfn.REGEXTEST(C309, "RPC Latency"), "RPC（遠隔手続き呼出し）のレイテンシ", _xlfn.REGEXTEST(C309, "Directory Failures"), "ディレクトリ障害数", _xlfn.REGEXTEST(C309, "Out-Of-Sync JournalNodes"), "同期ズレが発生しているJournalNode数", _xlfn.REGEXTEST(C309, "Safemode Threshold Percentage"), "セーフモード解除閾値の割合（%）", _xlfn.REGEXTEST(C309, "Kerberos Ticket Renewer Monitoring"), "Kerberosチケット更新プロセスの稼働状態監視", _xlfn.REGEXTEST(C309, "Load Balancer Monitoring"), "ロードバランサーの稼働状態監視", _xlfn.REGEXTEST(C309, "Navigator Audit Failure"), "Cloudera Navigator監査ログの失敗イベント", _xlfn.REGEXTEST(C309, "Schema Registry Server Monitoring"), "Schema Registry Serverの稼働状態監視", _xlfn.REGEXTEST(C309, "SRM Service Monitoring"), "SRMサービスの稼働状態監視", _xlfn.REGEXTEST(C309, "SRM Driver Monitoring"), "SRMドライバーの稼働状態監視", _xlfn.REGEXTEST(C309, "Loggin"), "ログ出力状態・設定監視", _xlfn.REGEXTEST(C309, "Server Monitoring"), "サーバーの稼働状態監視", _xlfn.REGEXTEST(C309, "Server Connection Count"), "サーバーの接続数（コネクション数）", _xlfn.REGEXTEST(C309, "Server Outstanding Requests"), "サーバーの未処理リクエスト数（滞留要求数）", _xlfn.REGEXTEST(C309, "Repository Status"), "リポジトリのステータス状態", _xlfn.REGEXTEST(C309, "Monitor Long Running Task"), "長時間実行タスク（ジョブ）の監視", _xlfn.REGEXTEST(C309, "Token requests per second"), "1秒あたりのトークンリクエスト数（要求レート）", _xlfn.REGEXTEST(C309, "Connection Model Score"), "接続モデルスコア（コネクション品質）", _xlfn.REGEXTEST(C309, "Queue swap"), "キューのスワップ発生状態", _xlfn.REGEXTEST(C309, "NiFi Node Monitoring"), "NiFiノードの稼働状態監視", _xlfn.REGEXTEST(C309, "Host Clock Offset"), "ホストのクロックオフセット（時刻同期のズレ）", _xlfn.REGEXTEST(C309, "Memory Overcommit Validation"), "メモリオーバーコミット設定の検証", _xlfn.REGEXTEST(C309, "Gateway Logging"), "ゲートウェイのログ出力設定", _xlfn.REGEXTEST(C309, "CPU Balance"), "CPU使用率の分散バランス状態", _xlfn.REGEXTEST(C309, "Disk Balance"), "ディスク使用量の分散バランス状態", _xlfn.REGEXTEST(C309, "Network Inbound Balance"), "ネットワークインバウンド（受信）の分散バランス状態", _xlfn.REGEXTEST(C309, "Network Outbound Balance"), "ネットワークアウトバウンド（送信）の分散バランス状態", _xlfn.REGEXTEST(C309, "Replica Count Balance"), "レプリカ数の分散バランス状態", _xlfn.REGEXTEST(C309, "Disk Capacity"), "ディスク総容量の限界・使用容量", _xlfn.REGEXTEST(C309, "CPU Capacity"), "CPU総処理能力の限界・使用量", _xlfn.REGEXTEST(C309, "Network Inbound Capacity"), "ネットワークインバウンド（受信）帯域の限界・使用量", _xlfn.REGEXTEST(C309, "Network Outbound Capacity"), "ネットワークアウトバウンド（送信）帯域の限界・使用量", _xlfn.REGEXTEST(C309, "Leader Replica Count Balance"), "リーダーレプリカ数の分散バランス状態", _xlfn.REGEXTEST(C309, "Host DNS Resolution Duration"), "ホストのDNS名前解決の所要時間", _xlfn.REGEXTEST(C309, "TLS Certificate Expiry"), "TLS証明書の有効期限切れ", _xlfn.REGEXTEST(C309, "Host Entropy"), "ホストのエントロピー（乱数生成能力）の不足", _xlfn.REGEXTEST(C309, "File Descriptor"), "プロセスのファイルディスクリプタ使用率", _xlfn.REGEXTEST(C309, "Unexpected Exits"), "プロセスの異常終了（予期せぬ停止）", _xlfn.REGEXTEST(C309, "Swap Memory Thresholds"), "プロセスのスワップメモリ使用量", _xlfn.REGEXTEST(C309, "Swap Memory Usage Rate"), "スワップメモリ使用量の変化率（増加速度）", _xlfn.REGEXTEST(C309, "Log Directory Free Space.*Absolute"), "ログディレクトリの空き容量（絶対値）", _xlfn.REGEXTEST(C309, "Log Directory Free Space.*Percentage"), "ログディレクトリの空き容量割合（%）", _xlfn.REGEXTEST(C309, "Heap Dump Directory Free Space.*Absolute"), "ヒープダンプディレクトリの空き容量（絶対値）", _xlfn.REGEXTEST(C309, "Heap Dump Directory Free Space.*Percentage"), "ヒープダンプディレクトリの空き容量割合（%）", _xlfn.REGEXTEST(C309, "Data Directory Free Space.*Absolute"), "データディレクトリの空き容量（絶対値）", _xlfn.REGEXTEST(C309, "Data Directory Free Space.*Percentage"), "データディレクトリの空き容量割合（%）", _xlfn.REGEXTEST(C309, "Transaction Log Directory Free Space.*Absolute"), "トランザクションログディレクトリの空き容量（絶対値）", _xlfn.REGEXTEST(C309, "Logging Threshold|Logger Threshold"), "ログ出力レベルの閾値設定", _xlfn.REGEXTEST(C309, "Enable.*Alerts"), "ヘルスアラートの有効化状態", _xlfn.REGEXTEST(C309, "Triggers"), "カスタムアラート条件（トリガー設定）", _xlfn.REGEXTEST(C309, "Healthy Kafka Broker"), "Kafka Brokerの健全ノード割合（稼働率）", _xlfn.REGEXTEST(C309, "Healthy Kafka Connect"), "Kafka Connectの健全ノード割合（稼働率）", _xlfn.REGEXTEST(C309, "Healthy KRaft Controller"), "KRaft Controllerの健全ノード割合（稼働率）", _xlfn.REGEXTEST(C309, "Healthy Knox IDBroker"), "Knox IDBrokerの健全ノード割合（稼働率）", _xlfn.REGEXTEST(C309, "Healthy Knox Gateway"), "Knox Gatewayの健全ノード割合（稼働率）", _xlfn.REGEXTEST(C309, "Healthy ZooKeeper Server"), "ZooKeeper Serverの健全ノード割合（稼働率）", _xlfn.REGEXTEST(C309, "Healthy NodeManager"), "NodeManagerの健全ノード割合（稼働率）", _xlfn.REGEXTEST(C309, "Maximum Latency"), "リクエストの最大レイテンシ（処理遅延）", _xlfn.REGEXTEST(C309, "Garbage Collection Duration"), "Javaのガベージコレクション（GC）の所要時間", _xlfn.REGEXTEST(C309, "Spool Directory Usage"), "Rangerプラグインのスプールディレクトリ使用量", _xlfn.REGEXTEST(C309, "Process Directory Free Space Monitoring Absolute"), "プロセスディレクトリの空き容量（絶対値)", _xlfn.REGEXTEST(C309, "Process Directory Free Space.*Percentage"), "プロセスディレクトリの空き容量割合（%）", _xlfn.REGEXTEST(C309, "Parcel Directory Free Space.*Absolute"), "パーセルディレクトリの空き容量（絶対値）", _xlfn.REGEXTEST(C309, "Parcel Directory Free Space.*Percentage"), "パーセルディレクトリの空き容量割合（%）", _xlfn.REGEXTEST(C309, "Host Network Frame Error Percentage"), "ホストのネットワークフレームエラー割合（%）", _xlfn.REGEXTEST(C309, "Network Interfaces Slow Link Modes"), "ホストのネットワークインターフェースの低速リンクモード検出", _xlfn.REGEXTEST(C309, "Host Memory Swapping"), "ホストのメモリのスワップ発生状態", TRUE, "要手動確認")</f>
        <v>空き容量（絶対値）</v>
      </c>
      <c r="H309" s="479" t="s">
        <v>692</v>
      </c>
    </row>
    <row r="310" spans="1:8" ht="33.6">
      <c r="A310" s="514"/>
      <c r="B310" s="473"/>
      <c r="C310" s="471" t="s">
        <v>1106</v>
      </c>
      <c r="D310" s="471" t="s">
        <v>1107</v>
      </c>
      <c r="E310" s="471" t="s">
        <v>1047</v>
      </c>
      <c r="F310" s="471"/>
      <c r="G310" s="471" t="str" cm="1">
        <f t="array" ref="G310">_xlfn.IFS(C310 = "", "", _xlfn.REGEXTEST(C310, "Service Metric Migrator Minimum Consecutive Successful Checks"), "サービスメトリック移行ツールの連続正常チェック最小回数", _xlfn.REGEXTEST(C310, "Rebalancing"), "リバランシング（データ再配置）状態", _xlfn.REGEXTEST(C310, "Temporary Dump Directory"), "一時ダンプディレクトリの監視", _xlfn.REGEXTEST(C310, "Safemode Extension"), "セーフモード延長状態", _xlfn.REGEXTEST(C310, "Client Idle"), "クライアントのアイドル（待機）状態", _xlfn.REGEXTEST(C310, "Available Space Policy Balanced"), "空き容量ポリシーの分散バランス状態", _xlfn.REGEXTEST(C310, "Filesystem Checkpoint Transaction"), "ファイルシステムのチェックポイントトランザクション", _xlfn.REGEXTEST(C310, "Blocks With Corrupt Replicas Monitoring"), "破損レプリカを持つブロックの監視", _xlfn.REGEXTEST(C310, "Missing Block Monitoring"), "消失（ミッシング）ブロックの監視", _xlfn.REGEXTEST(C310, "Under-replicated Block Monitoring"), "レプリカ数不足ブロックの監視", _xlfn.REGEXTEST(C310, "HDFS Free Space Monitoring"), "HDFSの空き容量監視", _xlfn.REGEXTEST(C310, "DataNode Monitoring"), "DataNodeの稼働状態監視", _xlfn.REGEXTEST(C310, "Rules to Extract Events from Log Files"), "ログファイルからのイベント抽出ルール設定", _xlfn.REGEXTEST(C310, "Free Space Monitoring$"), "空き容量監視（一般設定）", _xlfn.REGEXTEST(C310, "Transceivers Usage"), "トランシーバー使用量（データ転送スレッド数）", _xlfn.REGEXTEST(C310, "Volume Failures"), "ボリューム障害（ディスクエラー）数", _xlfn.REGEXTEST(C310, "Block Count"), "ブロック総数", _xlfn.REGEXTEST(C310, "Audit Failure"), "監査（オーディット）ログの失敗イベント", _xlfn.REGEXTEST(C310, "Web Metric Collection Duration"), "Webメトリック収集の所要時間", _xlfn.REGEXTEST(C310, "Pause Duration"), "一時停止（ポーズ）の所要時間", _xlfn.REGEXTEST(C310, "Fsync Latency"), "Fsync（ディスク同期）のレイテンシ", _xlfn.REGEXTEST(C310, "Free Space Monitoring Absolute"), "空き容量（絶対値）", _xlfn.REGEXTEST(C310, "Free Space Monitoring Percentage"), "空き容量割合（%）", _xlfn.REGEXTEST(C310, "Age Monitoring"), "経過時間の監視", _xlfn.REGEXTEST(C310, "Transactions Monitoring"), "トランザクション数の監視", _xlfn.REGEXTEST(C310, "RPC Latency"), "RPC（遠隔手続き呼出し）のレイテンシ", _xlfn.REGEXTEST(C310, "Directory Failures"), "ディレクトリ障害数", _xlfn.REGEXTEST(C310, "Out-Of-Sync JournalNodes"), "同期ズレが発生しているJournalNode数", _xlfn.REGEXTEST(C310, "Safemode Threshold Percentage"), "セーフモード解除閾値の割合（%）", _xlfn.REGEXTEST(C310, "Kerberos Ticket Renewer Monitoring"), "Kerberosチケット更新プロセスの稼働状態監視", _xlfn.REGEXTEST(C310, "Load Balancer Monitoring"), "ロードバランサーの稼働状態監視", _xlfn.REGEXTEST(C310, "Navigator Audit Failure"), "Cloudera Navigator監査ログの失敗イベント", _xlfn.REGEXTEST(C310, "Schema Registry Server Monitoring"), "Schema Registry Serverの稼働状態監視", _xlfn.REGEXTEST(C310, "SRM Service Monitoring"), "SRMサービスの稼働状態監視", _xlfn.REGEXTEST(C310, "SRM Driver Monitoring"), "SRMドライバーの稼働状態監視", _xlfn.REGEXTEST(C310, "Loggin"), "ログ出力状態・設定監視", _xlfn.REGEXTEST(C310, "Server Monitoring"), "サーバーの稼働状態監視", _xlfn.REGEXTEST(C310, "Server Connection Count"), "サーバーの接続数（コネクション数）", _xlfn.REGEXTEST(C310, "Server Outstanding Requests"), "サーバーの未処理リクエスト数（滞留要求数）", _xlfn.REGEXTEST(C310, "Repository Status"), "リポジトリのステータス状態", _xlfn.REGEXTEST(C310, "Monitor Long Running Task"), "長時間実行タスク（ジョブ）の監視", _xlfn.REGEXTEST(C310, "Token requests per second"), "1秒あたりのトークンリクエスト数（要求レート）", _xlfn.REGEXTEST(C310, "Connection Model Score"), "接続モデルスコア（コネクション品質）", _xlfn.REGEXTEST(C310, "Queue swap"), "キューのスワップ発生状態", _xlfn.REGEXTEST(C310, "NiFi Node Monitoring"), "NiFiノードの稼働状態監視", _xlfn.REGEXTEST(C310, "Host Clock Offset"), "ホストのクロックオフセット（時刻同期のズレ）", _xlfn.REGEXTEST(C310, "Memory Overcommit Validation"), "メモリオーバーコミット設定の検証", _xlfn.REGEXTEST(C310, "Gateway Logging"), "ゲートウェイのログ出力設定", _xlfn.REGEXTEST(C310, "CPU Balance"), "CPU使用率の分散バランス状態", _xlfn.REGEXTEST(C310, "Disk Balance"), "ディスク使用量の分散バランス状態", _xlfn.REGEXTEST(C310, "Network Inbound Balance"), "ネットワークインバウンド（受信）の分散バランス状態", _xlfn.REGEXTEST(C310, "Network Outbound Balance"), "ネットワークアウトバウンド（送信）の分散バランス状態", _xlfn.REGEXTEST(C310, "Replica Count Balance"), "レプリカ数の分散バランス状態", _xlfn.REGEXTEST(C310, "Disk Capacity"), "ディスク総容量の限界・使用容量", _xlfn.REGEXTEST(C310, "CPU Capacity"), "CPU総処理能力の限界・使用量", _xlfn.REGEXTEST(C310, "Network Inbound Capacity"), "ネットワークインバウンド（受信）帯域の限界・使用量", _xlfn.REGEXTEST(C310, "Network Outbound Capacity"), "ネットワークアウトバウンド（送信）帯域の限界・使用量", _xlfn.REGEXTEST(C310, "Leader Replica Count Balance"), "リーダーレプリカ数の分散バランス状態", _xlfn.REGEXTEST(C310, "Host DNS Resolution Duration"), "ホストのDNS名前解決の所要時間", _xlfn.REGEXTEST(C310, "TLS Certificate Expiry"), "TLS証明書の有効期限切れ", _xlfn.REGEXTEST(C310, "Host Entropy"), "ホストのエントロピー（乱数生成能力）の不足", _xlfn.REGEXTEST(C310, "File Descriptor"), "プロセスのファイルディスクリプタ使用率", _xlfn.REGEXTEST(C310, "Unexpected Exits"), "プロセスの異常終了（予期せぬ停止）", _xlfn.REGEXTEST(C310, "Swap Memory Thresholds"), "プロセスのスワップメモリ使用量", _xlfn.REGEXTEST(C310, "Swap Memory Usage Rate"), "スワップメモリ使用量の変化率（増加速度）", _xlfn.REGEXTEST(C310, "Log Directory Free Space.*Absolute"), "ログディレクトリの空き容量（絶対値）", _xlfn.REGEXTEST(C310, "Log Directory Free Space.*Percentage"), "ログディレクトリの空き容量割合（%）", _xlfn.REGEXTEST(C310, "Heap Dump Directory Free Space.*Absolute"), "ヒープダンプディレクトリの空き容量（絶対値）", _xlfn.REGEXTEST(C310, "Heap Dump Directory Free Space.*Percentage"), "ヒープダンプディレクトリの空き容量割合（%）", _xlfn.REGEXTEST(C310, "Data Directory Free Space.*Absolute"), "データディレクトリの空き容量（絶対値）", _xlfn.REGEXTEST(C310, "Data Directory Free Space.*Percentage"), "データディレクトリの空き容量割合（%）", _xlfn.REGEXTEST(C310, "Transaction Log Directory Free Space.*Absolute"), "トランザクションログディレクトリの空き容量（絶対値）", _xlfn.REGEXTEST(C310, "Logging Threshold|Logger Threshold"), "ログ出力レベルの閾値設定", _xlfn.REGEXTEST(C310, "Enable.*Alerts"), "ヘルスアラートの有効化状態", _xlfn.REGEXTEST(C310, "Triggers"), "カスタムアラート条件（トリガー設定）", _xlfn.REGEXTEST(C310, "Healthy Kafka Broker"), "Kafka Brokerの健全ノード割合（稼働率）", _xlfn.REGEXTEST(C310, "Healthy Kafka Connect"), "Kafka Connectの健全ノード割合（稼働率）", _xlfn.REGEXTEST(C310, "Healthy KRaft Controller"), "KRaft Controllerの健全ノード割合（稼働率）", _xlfn.REGEXTEST(C310, "Healthy Knox IDBroker"), "Knox IDBrokerの健全ノード割合（稼働率）", _xlfn.REGEXTEST(C310, "Healthy Knox Gateway"), "Knox Gatewayの健全ノード割合（稼働率）", _xlfn.REGEXTEST(C310, "Healthy ZooKeeper Server"), "ZooKeeper Serverの健全ノード割合（稼働率）", _xlfn.REGEXTEST(C310, "Healthy NodeManager"), "NodeManagerの健全ノード割合（稼働率）", _xlfn.REGEXTEST(C310, "Maximum Latency"), "リクエストの最大レイテンシ（処理遅延）", _xlfn.REGEXTEST(C310, "Garbage Collection Duration"), "Javaのガベージコレクション（GC）の所要時間", _xlfn.REGEXTEST(C310, "Spool Directory Usage"), "Rangerプラグインのスプールディレクトリ使用量", _xlfn.REGEXTEST(C310, "Process Directory Free Space Monitoring Absolute"), "プロセスディレクトリの空き容量（絶対値)", _xlfn.REGEXTEST(C310, "Process Directory Free Space.*Percentage"), "プロセスディレクトリの空き容量割合（%）", _xlfn.REGEXTEST(C310, "Parcel Directory Free Space.*Absolute"), "パーセルディレクトリの空き容量（絶対値）", _xlfn.REGEXTEST(C310, "Parcel Directory Free Space.*Percentage"), "パーセルディレクトリの空き容量割合（%）", _xlfn.REGEXTEST(C310, "Host Network Frame Error Percentage"), "ホストのネットワークフレームエラー割合（%）", _xlfn.REGEXTEST(C310, "Network Interfaces Slow Link Modes"), "ホストのネットワークインターフェースの低速リンクモード検出", _xlfn.REGEXTEST(C310, "Host Memory Swapping"), "ホストのメモリのスワップ発生状態", TRUE, "要手動確認")</f>
        <v>空き容量割合（%）</v>
      </c>
      <c r="H310" s="479" t="s">
        <v>689</v>
      </c>
    </row>
    <row r="311" spans="1:8" ht="33.6">
      <c r="A311" s="514"/>
      <c r="B311" s="473"/>
      <c r="C311" s="471" t="s">
        <v>736</v>
      </c>
      <c r="D311" s="471" t="s">
        <v>1108</v>
      </c>
      <c r="E311" s="471" t="s">
        <v>1047</v>
      </c>
      <c r="F311" s="471"/>
      <c r="G311" s="471" t="str" cm="1">
        <f t="array" ref="G311">_xlfn.IFS(C311 = "", "", _xlfn.REGEXTEST(C311, "Service Metric Migrator Minimum Consecutive Successful Checks"), "サービスメトリック移行ツールの連続正常チェック最小回数", _xlfn.REGEXTEST(C311, "Rebalancing"), "リバランシング（データ再配置）状態", _xlfn.REGEXTEST(C311, "Temporary Dump Directory"), "一時ダンプディレクトリの監視", _xlfn.REGEXTEST(C311, "Safemode Extension"), "セーフモード延長状態", _xlfn.REGEXTEST(C311, "Client Idle"), "クライアントのアイドル（待機）状態", _xlfn.REGEXTEST(C311, "Available Space Policy Balanced"), "空き容量ポリシーの分散バランス状態", _xlfn.REGEXTEST(C311, "Filesystem Checkpoint Transaction"), "ファイルシステムのチェックポイントトランザクション", _xlfn.REGEXTEST(C311, "Blocks With Corrupt Replicas Monitoring"), "破損レプリカを持つブロックの監視", _xlfn.REGEXTEST(C311, "Missing Block Monitoring"), "消失（ミッシング）ブロックの監視", _xlfn.REGEXTEST(C311, "Under-replicated Block Monitoring"), "レプリカ数不足ブロックの監視", _xlfn.REGEXTEST(C311, "HDFS Free Space Monitoring"), "HDFSの空き容量監視", _xlfn.REGEXTEST(C311, "DataNode Monitoring"), "DataNodeの稼働状態監視", _xlfn.REGEXTEST(C311, "Rules to Extract Events from Log Files"), "ログファイルからのイベント抽出ルール設定", _xlfn.REGEXTEST(C311, "Free Space Monitoring$"), "空き容量監視（一般設定）", _xlfn.REGEXTEST(C311, "Transceivers Usage"), "トランシーバー使用量（データ転送スレッド数）", _xlfn.REGEXTEST(C311, "Volume Failures"), "ボリューム障害（ディスクエラー）数", _xlfn.REGEXTEST(C311, "Block Count"), "ブロック総数", _xlfn.REGEXTEST(C311, "Audit Failure"), "監査（オーディット）ログの失敗イベント", _xlfn.REGEXTEST(C311, "Web Metric Collection Duration"), "Webメトリック収集の所要時間", _xlfn.REGEXTEST(C311, "Pause Duration"), "一時停止（ポーズ）の所要時間", _xlfn.REGEXTEST(C311, "Fsync Latency"), "Fsync（ディスク同期）のレイテンシ", _xlfn.REGEXTEST(C311, "Free Space Monitoring Absolute"), "空き容量（絶対値）", _xlfn.REGEXTEST(C311, "Free Space Monitoring Percentage"), "空き容量割合（%）", _xlfn.REGEXTEST(C311, "Age Monitoring"), "経過時間の監視", _xlfn.REGEXTEST(C311, "Transactions Monitoring"), "トランザクション数の監視", _xlfn.REGEXTEST(C311, "RPC Latency"), "RPC（遠隔手続き呼出し）のレイテンシ", _xlfn.REGEXTEST(C311, "Directory Failures"), "ディレクトリ障害数", _xlfn.REGEXTEST(C311, "Out-Of-Sync JournalNodes"), "同期ズレが発生しているJournalNode数", _xlfn.REGEXTEST(C311, "Safemode Threshold Percentage"), "セーフモード解除閾値の割合（%）", _xlfn.REGEXTEST(C311, "Kerberos Ticket Renewer Monitoring"), "Kerberosチケット更新プロセスの稼働状態監視", _xlfn.REGEXTEST(C311, "Load Balancer Monitoring"), "ロードバランサーの稼働状態監視", _xlfn.REGEXTEST(C311, "Navigator Audit Failure"), "Cloudera Navigator監査ログの失敗イベント", _xlfn.REGEXTEST(C311, "Schema Registry Server Monitoring"), "Schema Registry Serverの稼働状態監視", _xlfn.REGEXTEST(C311, "SRM Service Monitoring"), "SRMサービスの稼働状態監視", _xlfn.REGEXTEST(C311, "SRM Driver Monitoring"), "SRMドライバーの稼働状態監視", _xlfn.REGEXTEST(C311, "Loggin"), "ログ出力状態・設定監視", _xlfn.REGEXTEST(C311, "Server Monitoring"), "サーバーの稼働状態監視", _xlfn.REGEXTEST(C311, "Server Connection Count"), "サーバーの接続数（コネクション数）", _xlfn.REGEXTEST(C311, "Server Outstanding Requests"), "サーバーの未処理リクエスト数（滞留要求数）", _xlfn.REGEXTEST(C311, "Repository Status"), "リポジトリのステータス状態", _xlfn.REGEXTEST(C311, "Monitor Long Running Task"), "長時間実行タスク（ジョブ）の監視", _xlfn.REGEXTEST(C311, "Token requests per second"), "1秒あたりのトークンリクエスト数（要求レート）", _xlfn.REGEXTEST(C311, "Connection Model Score"), "接続モデルスコア（コネクション品質）", _xlfn.REGEXTEST(C311, "Queue swap"), "キューのスワップ発生状態", _xlfn.REGEXTEST(C311, "NiFi Node Monitoring"), "NiFiノードの稼働状態監視", _xlfn.REGEXTEST(C311, "Host Clock Offset"), "ホストのクロックオフセット（時刻同期のズレ）", _xlfn.REGEXTEST(C311, "Memory Overcommit Validation"), "メモリオーバーコミット設定の検証", _xlfn.REGEXTEST(C311, "Gateway Logging"), "ゲートウェイのログ出力設定", _xlfn.REGEXTEST(C311, "CPU Balance"), "CPU使用率の分散バランス状態", _xlfn.REGEXTEST(C311, "Disk Balance"), "ディスク使用量の分散バランス状態", _xlfn.REGEXTEST(C311, "Network Inbound Balance"), "ネットワークインバウンド（受信）の分散バランス状態", _xlfn.REGEXTEST(C311, "Network Outbound Balance"), "ネットワークアウトバウンド（送信）の分散バランス状態", _xlfn.REGEXTEST(C311, "Replica Count Balance"), "レプリカ数の分散バランス状態", _xlfn.REGEXTEST(C311, "Disk Capacity"), "ディスク総容量の限界・使用容量", _xlfn.REGEXTEST(C311, "CPU Capacity"), "CPU総処理能力の限界・使用量", _xlfn.REGEXTEST(C311, "Network Inbound Capacity"), "ネットワークインバウンド（受信）帯域の限界・使用量", _xlfn.REGEXTEST(C311, "Network Outbound Capacity"), "ネットワークアウトバウンド（送信）帯域の限界・使用量", _xlfn.REGEXTEST(C311, "Leader Replica Count Balance"), "リーダーレプリカ数の分散バランス状態", _xlfn.REGEXTEST(C311, "Host DNS Resolution Duration"), "ホストのDNS名前解決の所要時間", _xlfn.REGEXTEST(C311, "TLS Certificate Expiry"), "TLS証明書の有効期限切れ", _xlfn.REGEXTEST(C311, "Host Entropy"), "ホストのエントロピー（乱数生成能力）の不足", _xlfn.REGEXTEST(C311, "File Descriptor"), "プロセスのファイルディスクリプタ使用率", _xlfn.REGEXTEST(C311, "Unexpected Exits"), "プロセスの異常終了（予期せぬ停止）", _xlfn.REGEXTEST(C311, "Swap Memory Thresholds"), "プロセスのスワップメモリ使用量", _xlfn.REGEXTEST(C311, "Swap Memory Usage Rate"), "スワップメモリ使用量の変化率（増加速度）", _xlfn.REGEXTEST(C311, "Log Directory Free Space.*Absolute"), "ログディレクトリの空き容量（絶対値）", _xlfn.REGEXTEST(C311, "Log Directory Free Space.*Percentage"), "ログディレクトリの空き容量割合（%）", _xlfn.REGEXTEST(C311, "Heap Dump Directory Free Space.*Absolute"), "ヒープダンプディレクトリの空き容量（絶対値）", _xlfn.REGEXTEST(C311, "Heap Dump Directory Free Space.*Percentage"), "ヒープダンプディレクトリの空き容量割合（%）", _xlfn.REGEXTEST(C311, "Data Directory Free Space.*Absolute"), "データディレクトリの空き容量（絶対値）", _xlfn.REGEXTEST(C311, "Data Directory Free Space.*Percentage"), "データディレクトリの空き容量割合（%）", _xlfn.REGEXTEST(C311, "Transaction Log Directory Free Space.*Absolute"), "トランザクションログディレクトリの空き容量（絶対値）", _xlfn.REGEXTEST(C311, "Logging Threshold|Logger Threshold"), "ログ出力レベルの閾値設定", _xlfn.REGEXTEST(C311, "Enable.*Alerts"), "ヘルスアラートの有効化状態", _xlfn.REGEXTEST(C311, "Triggers"), "カスタムアラート条件（トリガー設定）", _xlfn.REGEXTEST(C311, "Healthy Kafka Broker"), "Kafka Brokerの健全ノード割合（稼働率）", _xlfn.REGEXTEST(C311, "Healthy Kafka Connect"), "Kafka Connectの健全ノード割合（稼働率）", _xlfn.REGEXTEST(C311, "Healthy KRaft Controller"), "KRaft Controllerの健全ノード割合（稼働率）", _xlfn.REGEXTEST(C311, "Healthy Knox IDBroker"), "Knox IDBrokerの健全ノード割合（稼働率）", _xlfn.REGEXTEST(C311, "Healthy Knox Gateway"), "Knox Gatewayの健全ノード割合（稼働率）", _xlfn.REGEXTEST(C311, "Healthy ZooKeeper Server"), "ZooKeeper Serverの健全ノード割合（稼働率）", _xlfn.REGEXTEST(C311, "Healthy NodeManager"), "NodeManagerの健全ノード割合（稼働率）", _xlfn.REGEXTEST(C311, "Maximum Latency"), "リクエストの最大レイテンシ（処理遅延）", _xlfn.REGEXTEST(C311, "Garbage Collection Duration"), "Javaのガベージコレクション（GC）の所要時間", _xlfn.REGEXTEST(C311, "Spool Directory Usage"), "Rangerプラグインのスプールディレクトリ使用量", _xlfn.REGEXTEST(C311, "Process Directory Free Space Monitoring Absolute"), "プロセスディレクトリの空き容量（絶対値)", _xlfn.REGEXTEST(C311, "Process Directory Free Space.*Percentage"), "プロセスディレクトリの空き容量割合（%）", _xlfn.REGEXTEST(C311, "Parcel Directory Free Space.*Absolute"), "パーセルディレクトリの空き容量（絶対値）", _xlfn.REGEXTEST(C311, "Parcel Directory Free Space.*Percentage"), "パーセルディレクトリの空き容量割合（%）", _xlfn.REGEXTEST(C311, "Host Network Frame Error Percentage"), "ホストのネットワークフレームエラー割合（%）", _xlfn.REGEXTEST(C311, "Network Interfaces Slow Link Modes"), "ホストのネットワークインターフェースの低速リンクモード検出", _xlfn.REGEXTEST(C311, "Host Memory Swapping"), "ホストのメモリのスワップ発生状態", TRUE, "要手動確認")</f>
        <v>プロセスのファイルディスクリプタ使用率</v>
      </c>
      <c r="H311" s="479" t="s">
        <v>813</v>
      </c>
    </row>
    <row r="312" spans="1:8" ht="33.6">
      <c r="A312" s="514"/>
      <c r="B312" s="473"/>
      <c r="C312" s="471" t="s">
        <v>736</v>
      </c>
      <c r="D312" s="471" t="s">
        <v>1109</v>
      </c>
      <c r="E312" s="471" t="s">
        <v>1054</v>
      </c>
      <c r="F312" s="471"/>
      <c r="G312" s="471" t="str" cm="1">
        <f t="array" ref="G312">_xlfn.IFS(C312 = "", "", _xlfn.REGEXTEST(C312, "Service Metric Migrator Minimum Consecutive Successful Checks"), "サービスメトリック移行ツールの連続正常チェック最小回数", _xlfn.REGEXTEST(C312, "Rebalancing"), "リバランシング（データ再配置）状態", _xlfn.REGEXTEST(C312, "Temporary Dump Directory"), "一時ダンプディレクトリの監視", _xlfn.REGEXTEST(C312, "Safemode Extension"), "セーフモード延長状態", _xlfn.REGEXTEST(C312, "Client Idle"), "クライアントのアイドル（待機）状態", _xlfn.REGEXTEST(C312, "Available Space Policy Balanced"), "空き容量ポリシーの分散バランス状態", _xlfn.REGEXTEST(C312, "Filesystem Checkpoint Transaction"), "ファイルシステムのチェックポイントトランザクション", _xlfn.REGEXTEST(C312, "Blocks With Corrupt Replicas Monitoring"), "破損レプリカを持つブロックの監視", _xlfn.REGEXTEST(C312, "Missing Block Monitoring"), "消失（ミッシング）ブロックの監視", _xlfn.REGEXTEST(C312, "Under-replicated Block Monitoring"), "レプリカ数不足ブロックの監視", _xlfn.REGEXTEST(C312, "HDFS Free Space Monitoring"), "HDFSの空き容量監視", _xlfn.REGEXTEST(C312, "DataNode Monitoring"), "DataNodeの稼働状態監視", _xlfn.REGEXTEST(C312, "Rules to Extract Events from Log Files"), "ログファイルからのイベント抽出ルール設定", _xlfn.REGEXTEST(C312, "Free Space Monitoring$"), "空き容量監視（一般設定）", _xlfn.REGEXTEST(C312, "Transceivers Usage"), "トランシーバー使用量（データ転送スレッド数）", _xlfn.REGEXTEST(C312, "Volume Failures"), "ボリューム障害（ディスクエラー）数", _xlfn.REGEXTEST(C312, "Block Count"), "ブロック総数", _xlfn.REGEXTEST(C312, "Audit Failure"), "監査（オーディット）ログの失敗イベント", _xlfn.REGEXTEST(C312, "Web Metric Collection Duration"), "Webメトリック収集の所要時間", _xlfn.REGEXTEST(C312, "Pause Duration"), "一時停止（ポーズ）の所要時間", _xlfn.REGEXTEST(C312, "Fsync Latency"), "Fsync（ディスク同期）のレイテンシ", _xlfn.REGEXTEST(C312, "Free Space Monitoring Absolute"), "空き容量（絶対値）", _xlfn.REGEXTEST(C312, "Free Space Monitoring Percentage"), "空き容量割合（%）", _xlfn.REGEXTEST(C312, "Age Monitoring"), "経過時間の監視", _xlfn.REGEXTEST(C312, "Transactions Monitoring"), "トランザクション数の監視", _xlfn.REGEXTEST(C312, "RPC Latency"), "RPC（遠隔手続き呼出し）のレイテンシ", _xlfn.REGEXTEST(C312, "Directory Failures"), "ディレクトリ障害数", _xlfn.REGEXTEST(C312, "Out-Of-Sync JournalNodes"), "同期ズレが発生しているJournalNode数", _xlfn.REGEXTEST(C312, "Safemode Threshold Percentage"), "セーフモード解除閾値の割合（%）", _xlfn.REGEXTEST(C312, "Kerberos Ticket Renewer Monitoring"), "Kerberosチケット更新プロセスの稼働状態監視", _xlfn.REGEXTEST(C312, "Load Balancer Monitoring"), "ロードバランサーの稼働状態監視", _xlfn.REGEXTEST(C312, "Navigator Audit Failure"), "Cloudera Navigator監査ログの失敗イベント", _xlfn.REGEXTEST(C312, "Schema Registry Server Monitoring"), "Schema Registry Serverの稼働状態監視", _xlfn.REGEXTEST(C312, "SRM Service Monitoring"), "SRMサービスの稼働状態監視", _xlfn.REGEXTEST(C312, "SRM Driver Monitoring"), "SRMドライバーの稼働状態監視", _xlfn.REGEXTEST(C312, "Loggin"), "ログ出力状態・設定監視", _xlfn.REGEXTEST(C312, "Server Monitoring"), "サーバーの稼働状態監視", _xlfn.REGEXTEST(C312, "Server Connection Count"), "サーバーの接続数（コネクション数）", _xlfn.REGEXTEST(C312, "Server Outstanding Requests"), "サーバーの未処理リクエスト数（滞留要求数）", _xlfn.REGEXTEST(C312, "Repository Status"), "リポジトリのステータス状態", _xlfn.REGEXTEST(C312, "Monitor Long Running Task"), "長時間実行タスク（ジョブ）の監視", _xlfn.REGEXTEST(C312, "Token requests per second"), "1秒あたりのトークンリクエスト数（要求レート）", _xlfn.REGEXTEST(C312, "Connection Model Score"), "接続モデルスコア（コネクション品質）", _xlfn.REGEXTEST(C312, "Queue swap"), "キューのスワップ発生状態", _xlfn.REGEXTEST(C312, "NiFi Node Monitoring"), "NiFiノードの稼働状態監視", _xlfn.REGEXTEST(C312, "Host Clock Offset"), "ホストのクロックオフセット（時刻同期のズレ）", _xlfn.REGEXTEST(C312, "Memory Overcommit Validation"), "メモリオーバーコミット設定の検証", _xlfn.REGEXTEST(C312, "Gateway Logging"), "ゲートウェイのログ出力設定", _xlfn.REGEXTEST(C312, "CPU Balance"), "CPU使用率の分散バランス状態", _xlfn.REGEXTEST(C312, "Disk Balance"), "ディスク使用量の分散バランス状態", _xlfn.REGEXTEST(C312, "Network Inbound Balance"), "ネットワークインバウンド（受信）の分散バランス状態", _xlfn.REGEXTEST(C312, "Network Outbound Balance"), "ネットワークアウトバウンド（送信）の分散バランス状態", _xlfn.REGEXTEST(C312, "Replica Count Balance"), "レプリカ数の分散バランス状態", _xlfn.REGEXTEST(C312, "Disk Capacity"), "ディスク総容量の限界・使用容量", _xlfn.REGEXTEST(C312, "CPU Capacity"), "CPU総処理能力の限界・使用量", _xlfn.REGEXTEST(C312, "Network Inbound Capacity"), "ネットワークインバウンド（受信）帯域の限界・使用量", _xlfn.REGEXTEST(C312, "Network Outbound Capacity"), "ネットワークアウトバウンド（送信）帯域の限界・使用量", _xlfn.REGEXTEST(C312, "Leader Replica Count Balance"), "リーダーレプリカ数の分散バランス状態", _xlfn.REGEXTEST(C312, "Host DNS Resolution Duration"), "ホストのDNS名前解決の所要時間", _xlfn.REGEXTEST(C312, "TLS Certificate Expiry"), "TLS証明書の有効期限切れ", _xlfn.REGEXTEST(C312, "Host Entropy"), "ホストのエントロピー（乱数生成能力）の不足", _xlfn.REGEXTEST(C312, "File Descriptor"), "プロセスのファイルディスクリプタ使用率", _xlfn.REGEXTEST(C312, "Unexpected Exits"), "プロセスの異常終了（予期せぬ停止）", _xlfn.REGEXTEST(C312, "Swap Memory Thresholds"), "プロセスのスワップメモリ使用量", _xlfn.REGEXTEST(C312, "Swap Memory Usage Rate"), "スワップメモリ使用量の変化率（増加速度）", _xlfn.REGEXTEST(C312, "Log Directory Free Space.*Absolute"), "ログディレクトリの空き容量（絶対値）", _xlfn.REGEXTEST(C312, "Log Directory Free Space.*Percentage"), "ログディレクトリの空き容量割合（%）", _xlfn.REGEXTEST(C312, "Heap Dump Directory Free Space.*Absolute"), "ヒープダンプディレクトリの空き容量（絶対値）", _xlfn.REGEXTEST(C312, "Heap Dump Directory Free Space.*Percentage"), "ヒープダンプディレクトリの空き容量割合（%）", _xlfn.REGEXTEST(C312, "Data Directory Free Space.*Absolute"), "データディレクトリの空き容量（絶対値）", _xlfn.REGEXTEST(C312, "Data Directory Free Space.*Percentage"), "データディレクトリの空き容量割合（%）", _xlfn.REGEXTEST(C312, "Transaction Log Directory Free Space.*Absolute"), "トランザクションログディレクトリの空き容量（絶対値）", _xlfn.REGEXTEST(C312, "Logging Threshold|Logger Threshold"), "ログ出力レベルの閾値設定", _xlfn.REGEXTEST(C312, "Enable.*Alerts"), "ヘルスアラートの有効化状態", _xlfn.REGEXTEST(C312, "Triggers"), "カスタムアラート条件（トリガー設定）", _xlfn.REGEXTEST(C312, "Healthy Kafka Broker"), "Kafka Brokerの健全ノード割合（稼働率）", _xlfn.REGEXTEST(C312, "Healthy Kafka Connect"), "Kafka Connectの健全ノード割合（稼働率）", _xlfn.REGEXTEST(C312, "Healthy KRaft Controller"), "KRaft Controllerの健全ノード割合（稼働率）", _xlfn.REGEXTEST(C312, "Healthy Knox IDBroker"), "Knox IDBrokerの健全ノード割合（稼働率）", _xlfn.REGEXTEST(C312, "Healthy Knox Gateway"), "Knox Gatewayの健全ノード割合（稼働率）", _xlfn.REGEXTEST(C312, "Healthy ZooKeeper Server"), "ZooKeeper Serverの健全ノード割合（稼働率）", _xlfn.REGEXTEST(C312, "Healthy NodeManager"), "NodeManagerの健全ノード割合（稼働率）", _xlfn.REGEXTEST(C312, "Maximum Latency"), "リクエストの最大レイテンシ（処理遅延）", _xlfn.REGEXTEST(C312, "Garbage Collection Duration"), "Javaのガベージコレクション（GC）の所要時間", _xlfn.REGEXTEST(C312, "Spool Directory Usage"), "Rangerプラグインのスプールディレクトリ使用量", _xlfn.REGEXTEST(C312, "Process Directory Free Space Monitoring Absolute"), "プロセスディレクトリの空き容量（絶対値)", _xlfn.REGEXTEST(C312, "Process Directory Free Space.*Percentage"), "プロセスディレクトリの空き容量割合（%）", _xlfn.REGEXTEST(C312, "Parcel Directory Free Space.*Absolute"), "パーセルディレクトリの空き容量（絶対値）", _xlfn.REGEXTEST(C312, "Parcel Directory Free Space.*Percentage"), "パーセルディレクトリの空き容量割合（%）", _xlfn.REGEXTEST(C312, "Host Network Frame Error Percentage"), "ホストのネットワークフレームエラー割合（%）", _xlfn.REGEXTEST(C312, "Network Interfaces Slow Link Modes"), "ホストのネットワークインターフェースの低速リンクモード検出", _xlfn.REGEXTEST(C312, "Host Memory Swapping"), "ホストのメモリのスワップ発生状態", TRUE, "要手動確認")</f>
        <v>プロセスのファイルディスクリプタ使用率</v>
      </c>
      <c r="H312" s="479" t="s">
        <v>813</v>
      </c>
    </row>
    <row r="313" spans="1:8" ht="33.6">
      <c r="A313" s="514"/>
      <c r="B313" s="473"/>
      <c r="C313" s="471" t="s">
        <v>1110</v>
      </c>
      <c r="D313" s="471" t="s">
        <v>1111</v>
      </c>
      <c r="E313" s="471" t="s">
        <v>1056</v>
      </c>
      <c r="F313" s="471"/>
      <c r="G313" s="471" t="str" cm="1">
        <f t="array" ref="G313">_xlfn.IFS(C313 = "", "", _xlfn.REGEXTEST(C313, "Service Metric Migrator Minimum Consecutive Successful Checks"), "サービスメトリック移行ツールの連続正常チェック最小回数", _xlfn.REGEXTEST(C313, "Rebalancing"), "リバランシング（データ再配置）状態", _xlfn.REGEXTEST(C313, "Temporary Dump Directory"), "一時ダンプディレクトリの監視", _xlfn.REGEXTEST(C313, "Safemode Extension"), "セーフモード延長状態", _xlfn.REGEXTEST(C313, "Client Idle"), "クライアントのアイドル（待機）状態", _xlfn.REGEXTEST(C313, "Available Space Policy Balanced"), "空き容量ポリシーの分散バランス状態", _xlfn.REGEXTEST(C313, "Filesystem Checkpoint Transaction"), "ファイルシステムのチェックポイントトランザクション", _xlfn.REGEXTEST(C313, "Blocks With Corrupt Replicas Monitoring"), "破損レプリカを持つブロックの監視", _xlfn.REGEXTEST(C313, "Missing Block Monitoring"), "消失（ミッシング）ブロックの監視", _xlfn.REGEXTEST(C313, "Under-replicated Block Monitoring"), "レプリカ数不足ブロックの監視", _xlfn.REGEXTEST(C313, "HDFS Free Space Monitoring"), "HDFSの空き容量監視", _xlfn.REGEXTEST(C313, "DataNode Monitoring"), "DataNodeの稼働状態監視", _xlfn.REGEXTEST(C313, "Rules to Extract Events from Log Files"), "ログファイルからのイベント抽出ルール設定", _xlfn.REGEXTEST(C313, "Free Space Monitoring$"), "空き容量監視（一般設定）", _xlfn.REGEXTEST(C313, "Transceivers Usage"), "トランシーバー使用量（データ転送スレッド数）", _xlfn.REGEXTEST(C313, "Volume Failures"), "ボリューム障害（ディスクエラー）数", _xlfn.REGEXTEST(C313, "Block Count"), "ブロック総数", _xlfn.REGEXTEST(C313, "Audit Failure"), "監査（オーディット）ログの失敗イベント", _xlfn.REGEXTEST(C313, "Web Metric Collection Duration"), "Webメトリック収集の所要時間", _xlfn.REGEXTEST(C313, "Pause Duration"), "一時停止（ポーズ）の所要時間", _xlfn.REGEXTEST(C313, "Fsync Latency"), "Fsync（ディスク同期）のレイテンシ", _xlfn.REGEXTEST(C313, "Free Space Monitoring Absolute"), "空き容量（絶対値）", _xlfn.REGEXTEST(C313, "Free Space Monitoring Percentage"), "空き容量割合（%）", _xlfn.REGEXTEST(C313, "Age Monitoring"), "経過時間の監視", _xlfn.REGEXTEST(C313, "Transactions Monitoring"), "トランザクション数の監視", _xlfn.REGEXTEST(C313, "RPC Latency"), "RPC（遠隔手続き呼出し）のレイテンシ", _xlfn.REGEXTEST(C313, "Directory Failures"), "ディレクトリ障害数", _xlfn.REGEXTEST(C313, "Out-Of-Sync JournalNodes"), "同期ズレが発生しているJournalNode数", _xlfn.REGEXTEST(C313, "Safemode Threshold Percentage"), "セーフモード解除閾値の割合（%）", _xlfn.REGEXTEST(C313, "Kerberos Ticket Renewer Monitoring"), "Kerberosチケット更新プロセスの稼働状態監視", _xlfn.REGEXTEST(C313, "Load Balancer Monitoring"), "ロードバランサーの稼働状態監視", _xlfn.REGEXTEST(C313, "Navigator Audit Failure"), "Cloudera Navigator監査ログの失敗イベント", _xlfn.REGEXTEST(C313, "Schema Registry Server Monitoring"), "Schema Registry Serverの稼働状態監視", _xlfn.REGEXTEST(C313, "SRM Service Monitoring"), "SRMサービスの稼働状態監視", _xlfn.REGEXTEST(C313, "SRM Driver Monitoring"), "SRMドライバーの稼働状態監視", _xlfn.REGEXTEST(C313, "Loggin"), "ログ出力状態・設定監視", _xlfn.REGEXTEST(C313, "Server Monitoring"), "サーバーの稼働状態監視", _xlfn.REGEXTEST(C313, "Server Connection Count"), "サーバーの接続数（コネクション数）", _xlfn.REGEXTEST(C313, "Server Outstanding Requests"), "サーバーの未処理リクエスト数（滞留要求数）", _xlfn.REGEXTEST(C313, "Repository Status"), "リポジトリのステータス状態", _xlfn.REGEXTEST(C313, "Monitor Long Running Task"), "長時間実行タスク（ジョブ）の監視", _xlfn.REGEXTEST(C313, "Token requests per second"), "1秒あたりのトークンリクエスト数（要求レート）", _xlfn.REGEXTEST(C313, "Connection Model Score"), "接続モデルスコア（コネクション品質）", _xlfn.REGEXTEST(C313, "Queue swap"), "キューのスワップ発生状態", _xlfn.REGEXTEST(C313, "NiFi Node Monitoring"), "NiFiノードの稼働状態監視", _xlfn.REGEXTEST(C313, "Host Clock Offset"), "ホストのクロックオフセット（時刻同期のズレ）", _xlfn.REGEXTEST(C313, "Memory Overcommit Validation"), "メモリオーバーコミット設定の検証", _xlfn.REGEXTEST(C313, "Gateway Logging"), "ゲートウェイのログ出力設定", _xlfn.REGEXTEST(C313, "CPU Balance"), "CPU使用率の分散バランス状態", _xlfn.REGEXTEST(C313, "Disk Balance"), "ディスク使用量の分散バランス状態", _xlfn.REGEXTEST(C313, "Network Inbound Balance"), "ネットワークインバウンド（受信）の分散バランス状態", _xlfn.REGEXTEST(C313, "Network Outbound Balance"), "ネットワークアウトバウンド（送信）の分散バランス状態", _xlfn.REGEXTEST(C313, "Replica Count Balance"), "レプリカ数の分散バランス状態", _xlfn.REGEXTEST(C313, "Disk Capacity"), "ディスク総容量の限界・使用容量", _xlfn.REGEXTEST(C313, "CPU Capacity"), "CPU総処理能力の限界・使用量", _xlfn.REGEXTEST(C313, "Network Inbound Capacity"), "ネットワークインバウンド（受信）帯域の限界・使用量", _xlfn.REGEXTEST(C313, "Network Outbound Capacity"), "ネットワークアウトバウンド（送信）帯域の限界・使用量", _xlfn.REGEXTEST(C313, "Leader Replica Count Balance"), "リーダーレプリカ数の分散バランス状態", _xlfn.REGEXTEST(C313, "Host DNS Resolution Duration"), "ホストのDNS名前解決の所要時間", _xlfn.REGEXTEST(C313, "TLS Certificate Expiry"), "TLS証明書の有効期限切れ", _xlfn.REGEXTEST(C313, "Host Entropy"), "ホストのエントロピー（乱数生成能力）の不足", _xlfn.REGEXTEST(C313, "File Descriptor"), "プロセスのファイルディスクリプタ使用率", _xlfn.REGEXTEST(C313, "Unexpected Exits"), "プロセスの異常終了（予期せぬ停止）", _xlfn.REGEXTEST(C313, "Swap Memory Thresholds"), "プロセスのスワップメモリ使用量", _xlfn.REGEXTEST(C313, "Swap Memory Usage Rate"), "スワップメモリ使用量の変化率（増加速度）", _xlfn.REGEXTEST(C313, "Log Directory Free Space.*Absolute"), "ログディレクトリの空き容量（絶対値）", _xlfn.REGEXTEST(C313, "Log Directory Free Space.*Percentage"), "ログディレクトリの空き容量割合（%）", _xlfn.REGEXTEST(C313, "Heap Dump Directory Free Space.*Absolute"), "ヒープダンプディレクトリの空き容量（絶対値）", _xlfn.REGEXTEST(C313, "Heap Dump Directory Free Space.*Percentage"), "ヒープダンプディレクトリの空き容量割合（%）", _xlfn.REGEXTEST(C313, "Data Directory Free Space.*Absolute"), "データディレクトリの空き容量（絶対値）", _xlfn.REGEXTEST(C313, "Data Directory Free Space.*Percentage"), "データディレクトリの空き容量割合（%）", _xlfn.REGEXTEST(C313, "Transaction Log Directory Free Space.*Absolute"), "トランザクションログディレクトリの空き容量（絶対値）", _xlfn.REGEXTEST(C313, "Logging Threshold|Logger Threshold"), "ログ出力レベルの閾値設定", _xlfn.REGEXTEST(C313, "Enable.*Alerts"), "ヘルスアラートの有効化状態", _xlfn.REGEXTEST(C313, "Triggers"), "カスタムアラート条件（トリガー設定）", _xlfn.REGEXTEST(C313, "Healthy Kafka Broker"), "Kafka Brokerの健全ノード割合（稼働率）", _xlfn.REGEXTEST(C313, "Healthy Kafka Connect"), "Kafka Connectの健全ノード割合（稼働率）", _xlfn.REGEXTEST(C313, "Healthy KRaft Controller"), "KRaft Controllerの健全ノード割合（稼働率）", _xlfn.REGEXTEST(C313, "Healthy Knox IDBroker"), "Knox IDBrokerの健全ノード割合（稼働率）", _xlfn.REGEXTEST(C313, "Healthy Knox Gateway"), "Knox Gatewayの健全ノード割合（稼働率）", _xlfn.REGEXTEST(C313, "Healthy ZooKeeper Server"), "ZooKeeper Serverの健全ノード割合（稼働率）", _xlfn.REGEXTEST(C313, "Healthy NodeManager"), "NodeManagerの健全ノード割合（稼働率）", _xlfn.REGEXTEST(C313, "Maximum Latency"), "リクエストの最大レイテンシ（処理遅延）", _xlfn.REGEXTEST(C313, "Garbage Collection Duration"), "Javaのガベージコレクション（GC）の所要時間", _xlfn.REGEXTEST(C313, "Spool Directory Usage"), "Rangerプラグインのスプールディレクトリ使用量", _xlfn.REGEXTEST(C313, "Process Directory Free Space Monitoring Absolute"), "プロセスディレクトリの空き容量（絶対値)", _xlfn.REGEXTEST(C313, "Process Directory Free Space.*Percentage"), "プロセスディレクトリの空き容量割合（%）", _xlfn.REGEXTEST(C313, "Parcel Directory Free Space.*Absolute"), "パーセルディレクトリの空き容量（絶対値）", _xlfn.REGEXTEST(C313, "Parcel Directory Free Space.*Percentage"), "パーセルディレクトリの空き容量割合（%）", _xlfn.REGEXTEST(C313, "Host Network Frame Error Percentage"), "ホストのネットワークフレームエラー割合（%）", _xlfn.REGEXTEST(C313, "Network Interfaces Slow Link Modes"), "ホストのネットワークインターフェースの低速リンクモード検出", _xlfn.REGEXTEST(C313, "Host Memory Swapping"), "ホストのメモリのスワップ発生状態", TRUE, "要手動確認")</f>
        <v>Fsync（ディスク同期）のレイテンシ</v>
      </c>
      <c r="H313" s="479" t="s">
        <v>1112</v>
      </c>
    </row>
    <row r="314" spans="1:8" ht="33.6">
      <c r="A314" s="514"/>
      <c r="B314" s="473"/>
      <c r="C314" s="471" t="s">
        <v>736</v>
      </c>
      <c r="D314" s="471" t="s">
        <v>1113</v>
      </c>
      <c r="E314" s="471" t="s">
        <v>1058</v>
      </c>
      <c r="F314" s="471"/>
      <c r="G314" s="471" t="str" cm="1">
        <f t="array" ref="G314">_xlfn.IFS(C314 = "", "", _xlfn.REGEXTEST(C314, "Service Metric Migrator Minimum Consecutive Successful Checks"), "サービスメトリック移行ツールの連続正常チェック最小回数", _xlfn.REGEXTEST(C314, "Rebalancing"), "リバランシング（データ再配置）状態", _xlfn.REGEXTEST(C314, "Temporary Dump Directory"), "一時ダンプディレクトリの監視", _xlfn.REGEXTEST(C314, "Safemode Extension"), "セーフモード延長状態", _xlfn.REGEXTEST(C314, "Client Idle"), "クライアントのアイドル（待機）状態", _xlfn.REGEXTEST(C314, "Available Space Policy Balanced"), "空き容量ポリシーの分散バランス状態", _xlfn.REGEXTEST(C314, "Filesystem Checkpoint Transaction"), "ファイルシステムのチェックポイントトランザクション", _xlfn.REGEXTEST(C314, "Blocks With Corrupt Replicas Monitoring"), "破損レプリカを持つブロックの監視", _xlfn.REGEXTEST(C314, "Missing Block Monitoring"), "消失（ミッシング）ブロックの監視", _xlfn.REGEXTEST(C314, "Under-replicated Block Monitoring"), "レプリカ数不足ブロックの監視", _xlfn.REGEXTEST(C314, "HDFS Free Space Monitoring"), "HDFSの空き容量監視", _xlfn.REGEXTEST(C314, "DataNode Monitoring"), "DataNodeの稼働状態監視", _xlfn.REGEXTEST(C314, "Rules to Extract Events from Log Files"), "ログファイルからのイベント抽出ルール設定", _xlfn.REGEXTEST(C314, "Free Space Monitoring$"), "空き容量監視（一般設定）", _xlfn.REGEXTEST(C314, "Transceivers Usage"), "トランシーバー使用量（データ転送スレッド数）", _xlfn.REGEXTEST(C314, "Volume Failures"), "ボリューム障害（ディスクエラー）数", _xlfn.REGEXTEST(C314, "Block Count"), "ブロック総数", _xlfn.REGEXTEST(C314, "Audit Failure"), "監査（オーディット）ログの失敗イベント", _xlfn.REGEXTEST(C314, "Web Metric Collection Duration"), "Webメトリック収集の所要時間", _xlfn.REGEXTEST(C314, "Pause Duration"), "一時停止（ポーズ）の所要時間", _xlfn.REGEXTEST(C314, "Fsync Latency"), "Fsync（ディスク同期）のレイテンシ", _xlfn.REGEXTEST(C314, "Free Space Monitoring Absolute"), "空き容量（絶対値）", _xlfn.REGEXTEST(C314, "Free Space Monitoring Percentage"), "空き容量割合（%）", _xlfn.REGEXTEST(C314, "Age Monitoring"), "経過時間の監視", _xlfn.REGEXTEST(C314, "Transactions Monitoring"), "トランザクション数の監視", _xlfn.REGEXTEST(C314, "RPC Latency"), "RPC（遠隔手続き呼出し）のレイテンシ", _xlfn.REGEXTEST(C314, "Directory Failures"), "ディレクトリ障害数", _xlfn.REGEXTEST(C314, "Out-Of-Sync JournalNodes"), "同期ズレが発生しているJournalNode数", _xlfn.REGEXTEST(C314, "Safemode Threshold Percentage"), "セーフモード解除閾値の割合（%）", _xlfn.REGEXTEST(C314, "Kerberos Ticket Renewer Monitoring"), "Kerberosチケット更新プロセスの稼働状態監視", _xlfn.REGEXTEST(C314, "Load Balancer Monitoring"), "ロードバランサーの稼働状態監視", _xlfn.REGEXTEST(C314, "Navigator Audit Failure"), "Cloudera Navigator監査ログの失敗イベント", _xlfn.REGEXTEST(C314, "Schema Registry Server Monitoring"), "Schema Registry Serverの稼働状態監視", _xlfn.REGEXTEST(C314, "SRM Service Monitoring"), "SRMサービスの稼働状態監視", _xlfn.REGEXTEST(C314, "SRM Driver Monitoring"), "SRMドライバーの稼働状態監視", _xlfn.REGEXTEST(C314, "Loggin"), "ログ出力状態・設定監視", _xlfn.REGEXTEST(C314, "Server Monitoring"), "サーバーの稼働状態監視", _xlfn.REGEXTEST(C314, "Server Connection Count"), "サーバーの接続数（コネクション数）", _xlfn.REGEXTEST(C314, "Server Outstanding Requests"), "サーバーの未処理リクエスト数（滞留要求数）", _xlfn.REGEXTEST(C314, "Repository Status"), "リポジトリのステータス状態", _xlfn.REGEXTEST(C314, "Monitor Long Running Task"), "長時間実行タスク（ジョブ）の監視", _xlfn.REGEXTEST(C314, "Token requests per second"), "1秒あたりのトークンリクエスト数（要求レート）", _xlfn.REGEXTEST(C314, "Connection Model Score"), "接続モデルスコア（コネクション品質）", _xlfn.REGEXTEST(C314, "Queue swap"), "キューのスワップ発生状態", _xlfn.REGEXTEST(C314, "NiFi Node Monitoring"), "NiFiノードの稼働状態監視", _xlfn.REGEXTEST(C314, "Host Clock Offset"), "ホストのクロックオフセット（時刻同期のズレ）", _xlfn.REGEXTEST(C314, "Memory Overcommit Validation"), "メモリオーバーコミット設定の検証", _xlfn.REGEXTEST(C314, "Gateway Logging"), "ゲートウェイのログ出力設定", _xlfn.REGEXTEST(C314, "CPU Balance"), "CPU使用率の分散バランス状態", _xlfn.REGEXTEST(C314, "Disk Balance"), "ディスク使用量の分散バランス状態", _xlfn.REGEXTEST(C314, "Network Inbound Balance"), "ネットワークインバウンド（受信）の分散バランス状態", _xlfn.REGEXTEST(C314, "Network Outbound Balance"), "ネットワークアウトバウンド（送信）の分散バランス状態", _xlfn.REGEXTEST(C314, "Replica Count Balance"), "レプリカ数の分散バランス状態", _xlfn.REGEXTEST(C314, "Disk Capacity"), "ディスク総容量の限界・使用容量", _xlfn.REGEXTEST(C314, "CPU Capacity"), "CPU総処理能力の限界・使用量", _xlfn.REGEXTEST(C314, "Network Inbound Capacity"), "ネットワークインバウンド（受信）帯域の限界・使用量", _xlfn.REGEXTEST(C314, "Network Outbound Capacity"), "ネットワークアウトバウンド（送信）帯域の限界・使用量", _xlfn.REGEXTEST(C314, "Leader Replica Count Balance"), "リーダーレプリカ数の分散バランス状態", _xlfn.REGEXTEST(C314, "Host DNS Resolution Duration"), "ホストのDNS名前解決の所要時間", _xlfn.REGEXTEST(C314, "TLS Certificate Expiry"), "TLS証明書の有効期限切れ", _xlfn.REGEXTEST(C314, "Host Entropy"), "ホストのエントロピー（乱数生成能力）の不足", _xlfn.REGEXTEST(C314, "File Descriptor"), "プロセスのファイルディスクリプタ使用率", _xlfn.REGEXTEST(C314, "Unexpected Exits"), "プロセスの異常終了（予期せぬ停止）", _xlfn.REGEXTEST(C314, "Swap Memory Thresholds"), "プロセスのスワップメモリ使用量", _xlfn.REGEXTEST(C314, "Swap Memory Usage Rate"), "スワップメモリ使用量の変化率（増加速度）", _xlfn.REGEXTEST(C314, "Log Directory Free Space.*Absolute"), "ログディレクトリの空き容量（絶対値）", _xlfn.REGEXTEST(C314, "Log Directory Free Space.*Percentage"), "ログディレクトリの空き容量割合（%）", _xlfn.REGEXTEST(C314, "Heap Dump Directory Free Space.*Absolute"), "ヒープダンプディレクトリの空き容量（絶対値）", _xlfn.REGEXTEST(C314, "Heap Dump Directory Free Space.*Percentage"), "ヒープダンプディレクトリの空き容量割合（%）", _xlfn.REGEXTEST(C314, "Data Directory Free Space.*Absolute"), "データディレクトリの空き容量（絶対値）", _xlfn.REGEXTEST(C314, "Data Directory Free Space.*Percentage"), "データディレクトリの空き容量割合（%）", _xlfn.REGEXTEST(C314, "Transaction Log Directory Free Space.*Absolute"), "トランザクションログディレクトリの空き容量（絶対値）", _xlfn.REGEXTEST(C314, "Logging Threshold|Logger Threshold"), "ログ出力レベルの閾値設定", _xlfn.REGEXTEST(C314, "Enable.*Alerts"), "ヘルスアラートの有効化状態", _xlfn.REGEXTEST(C314, "Triggers"), "カスタムアラート条件（トリガー設定）", _xlfn.REGEXTEST(C314, "Healthy Kafka Broker"), "Kafka Brokerの健全ノード割合（稼働率）", _xlfn.REGEXTEST(C314, "Healthy Kafka Connect"), "Kafka Connectの健全ノード割合（稼働率）", _xlfn.REGEXTEST(C314, "Healthy KRaft Controller"), "KRaft Controllerの健全ノード割合（稼働率）", _xlfn.REGEXTEST(C314, "Healthy Knox IDBroker"), "Knox IDBrokerの健全ノード割合（稼働率）", _xlfn.REGEXTEST(C314, "Healthy Knox Gateway"), "Knox Gatewayの健全ノード割合（稼働率）", _xlfn.REGEXTEST(C314, "Healthy ZooKeeper Server"), "ZooKeeper Serverの健全ノード割合（稼働率）", _xlfn.REGEXTEST(C314, "Healthy NodeManager"), "NodeManagerの健全ノード割合（稼働率）", _xlfn.REGEXTEST(C314, "Maximum Latency"), "リクエストの最大レイテンシ（処理遅延）", _xlfn.REGEXTEST(C314, "Garbage Collection Duration"), "Javaのガベージコレクション（GC）の所要時間", _xlfn.REGEXTEST(C314, "Spool Directory Usage"), "Rangerプラグインのスプールディレクトリ使用量", _xlfn.REGEXTEST(C314, "Process Directory Free Space Monitoring Absolute"), "プロセスディレクトリの空き容量（絶対値)", _xlfn.REGEXTEST(C314, "Process Directory Free Space.*Percentage"), "プロセスディレクトリの空き容量割合（%）", _xlfn.REGEXTEST(C314, "Parcel Directory Free Space.*Absolute"), "パーセルディレクトリの空き容量（絶対値）", _xlfn.REGEXTEST(C314, "Parcel Directory Free Space.*Percentage"), "パーセルディレクトリの空き容量割合（%）", _xlfn.REGEXTEST(C314, "Host Network Frame Error Percentage"), "ホストのネットワークフレームエラー割合（%）", _xlfn.REGEXTEST(C314, "Network Interfaces Slow Link Modes"), "ホストのネットワークインターフェースの低速リンクモード検出", _xlfn.REGEXTEST(C314, "Host Memory Swapping"), "ホストのメモリのスワップ発生状態", TRUE, "要手動確認")</f>
        <v>プロセスのファイルディスクリプタ使用率</v>
      </c>
      <c r="H314" s="479" t="s">
        <v>813</v>
      </c>
    </row>
    <row r="315" spans="1:8" ht="33.6">
      <c r="A315" s="514"/>
      <c r="B315" s="473"/>
      <c r="C315" s="471" t="s">
        <v>1099</v>
      </c>
      <c r="D315" s="471" t="s">
        <v>1114</v>
      </c>
      <c r="E315" s="471" t="s">
        <v>1058</v>
      </c>
      <c r="F315" s="471"/>
      <c r="G315" s="471" t="str" cm="1">
        <f t="array" ref="G315">_xlfn.IFS(C315 = "", "", _xlfn.REGEXTEST(C315, "Service Metric Migrator Minimum Consecutive Successful Checks"), "サービスメトリック移行ツールの連続正常チェック最小回数", _xlfn.REGEXTEST(C315, "Rebalancing"), "リバランシング（データ再配置）状態", _xlfn.REGEXTEST(C315, "Temporary Dump Directory"), "一時ダンプディレクトリの監視", _xlfn.REGEXTEST(C315, "Safemode Extension"), "セーフモード延長状態", _xlfn.REGEXTEST(C315, "Client Idle"), "クライアントのアイドル（待機）状態", _xlfn.REGEXTEST(C315, "Available Space Policy Balanced"), "空き容量ポリシーの分散バランス状態", _xlfn.REGEXTEST(C315, "Filesystem Checkpoint Transaction"), "ファイルシステムのチェックポイントトランザクション", _xlfn.REGEXTEST(C315, "Blocks With Corrupt Replicas Monitoring"), "破損レプリカを持つブロックの監視", _xlfn.REGEXTEST(C315, "Missing Block Monitoring"), "消失（ミッシング）ブロックの監視", _xlfn.REGEXTEST(C315, "Under-replicated Block Monitoring"), "レプリカ数不足ブロックの監視", _xlfn.REGEXTEST(C315, "HDFS Free Space Monitoring"), "HDFSの空き容量監視", _xlfn.REGEXTEST(C315, "DataNode Monitoring"), "DataNodeの稼働状態監視", _xlfn.REGEXTEST(C315, "Rules to Extract Events from Log Files"), "ログファイルからのイベント抽出ルール設定", _xlfn.REGEXTEST(C315, "Free Space Monitoring$"), "空き容量監視（一般設定）", _xlfn.REGEXTEST(C315, "Transceivers Usage"), "トランシーバー使用量（データ転送スレッド数）", _xlfn.REGEXTEST(C315, "Volume Failures"), "ボリューム障害（ディスクエラー）数", _xlfn.REGEXTEST(C315, "Block Count"), "ブロック総数", _xlfn.REGEXTEST(C315, "Audit Failure"), "監査（オーディット）ログの失敗イベント", _xlfn.REGEXTEST(C315, "Web Metric Collection Duration"), "Webメトリック収集の所要時間", _xlfn.REGEXTEST(C315, "Pause Duration"), "一時停止（ポーズ）の所要時間", _xlfn.REGEXTEST(C315, "Fsync Latency"), "Fsync（ディスク同期）のレイテンシ", _xlfn.REGEXTEST(C315, "Free Space Monitoring Absolute"), "空き容量（絶対値）", _xlfn.REGEXTEST(C315, "Free Space Monitoring Percentage"), "空き容量割合（%）", _xlfn.REGEXTEST(C315, "Age Monitoring"), "経過時間の監視", _xlfn.REGEXTEST(C315, "Transactions Monitoring"), "トランザクション数の監視", _xlfn.REGEXTEST(C315, "RPC Latency"), "RPC（遠隔手続き呼出し）のレイテンシ", _xlfn.REGEXTEST(C315, "Directory Failures"), "ディレクトリ障害数", _xlfn.REGEXTEST(C315, "Out-Of-Sync JournalNodes"), "同期ズレが発生しているJournalNode数", _xlfn.REGEXTEST(C315, "Safemode Threshold Percentage"), "セーフモード解除閾値の割合（%）", _xlfn.REGEXTEST(C315, "Kerberos Ticket Renewer Monitoring"), "Kerberosチケット更新プロセスの稼働状態監視", _xlfn.REGEXTEST(C315, "Load Balancer Monitoring"), "ロードバランサーの稼働状態監視", _xlfn.REGEXTEST(C315, "Navigator Audit Failure"), "Cloudera Navigator監査ログの失敗イベント", _xlfn.REGEXTEST(C315, "Schema Registry Server Monitoring"), "Schema Registry Serverの稼働状態監視", _xlfn.REGEXTEST(C315, "SRM Service Monitoring"), "SRMサービスの稼働状態監視", _xlfn.REGEXTEST(C315, "SRM Driver Monitoring"), "SRMドライバーの稼働状態監視", _xlfn.REGEXTEST(C315, "Loggin"), "ログ出力状態・設定監視", _xlfn.REGEXTEST(C315, "Server Monitoring"), "サーバーの稼働状態監視", _xlfn.REGEXTEST(C315, "Server Connection Count"), "サーバーの接続数（コネクション数）", _xlfn.REGEXTEST(C315, "Server Outstanding Requests"), "サーバーの未処理リクエスト数（滞留要求数）", _xlfn.REGEXTEST(C315, "Repository Status"), "リポジトリのステータス状態", _xlfn.REGEXTEST(C315, "Monitor Long Running Task"), "長時間実行タスク（ジョブ）の監視", _xlfn.REGEXTEST(C315, "Token requests per second"), "1秒あたりのトークンリクエスト数（要求レート）", _xlfn.REGEXTEST(C315, "Connection Model Score"), "接続モデルスコア（コネクション品質）", _xlfn.REGEXTEST(C315, "Queue swap"), "キューのスワップ発生状態", _xlfn.REGEXTEST(C315, "NiFi Node Monitoring"), "NiFiノードの稼働状態監視", _xlfn.REGEXTEST(C315, "Host Clock Offset"), "ホストのクロックオフセット（時刻同期のズレ）", _xlfn.REGEXTEST(C315, "Memory Overcommit Validation"), "メモリオーバーコミット設定の検証", _xlfn.REGEXTEST(C315, "Gateway Logging"), "ゲートウェイのログ出力設定", _xlfn.REGEXTEST(C315, "CPU Balance"), "CPU使用率の分散バランス状態", _xlfn.REGEXTEST(C315, "Disk Balance"), "ディスク使用量の分散バランス状態", _xlfn.REGEXTEST(C315, "Network Inbound Balance"), "ネットワークインバウンド（受信）の分散バランス状態", _xlfn.REGEXTEST(C315, "Network Outbound Balance"), "ネットワークアウトバウンド（送信）の分散バランス状態", _xlfn.REGEXTEST(C315, "Replica Count Balance"), "レプリカ数の分散バランス状態", _xlfn.REGEXTEST(C315, "Disk Capacity"), "ディスク総容量の限界・使用容量", _xlfn.REGEXTEST(C315, "CPU Capacity"), "CPU総処理能力の限界・使用量", _xlfn.REGEXTEST(C315, "Network Inbound Capacity"), "ネットワークインバウンド（受信）帯域の限界・使用量", _xlfn.REGEXTEST(C315, "Network Outbound Capacity"), "ネットワークアウトバウンド（送信）帯域の限界・使用量", _xlfn.REGEXTEST(C315, "Leader Replica Count Balance"), "リーダーレプリカ数の分散バランス状態", _xlfn.REGEXTEST(C315, "Host DNS Resolution Duration"), "ホストのDNS名前解決の所要時間", _xlfn.REGEXTEST(C315, "TLS Certificate Expiry"), "TLS証明書の有効期限切れ", _xlfn.REGEXTEST(C315, "Host Entropy"), "ホストのエントロピー（乱数生成能力）の不足", _xlfn.REGEXTEST(C315, "File Descriptor"), "プロセスのファイルディスクリプタ使用率", _xlfn.REGEXTEST(C315, "Unexpected Exits"), "プロセスの異常終了（予期せぬ停止）", _xlfn.REGEXTEST(C315, "Swap Memory Thresholds"), "プロセスのスワップメモリ使用量", _xlfn.REGEXTEST(C315, "Swap Memory Usage Rate"), "スワップメモリ使用量の変化率（増加速度）", _xlfn.REGEXTEST(C315, "Log Directory Free Space.*Absolute"), "ログディレクトリの空き容量（絶対値）", _xlfn.REGEXTEST(C315, "Log Directory Free Space.*Percentage"), "ログディレクトリの空き容量割合（%）", _xlfn.REGEXTEST(C315, "Heap Dump Directory Free Space.*Absolute"), "ヒープダンプディレクトリの空き容量（絶対値）", _xlfn.REGEXTEST(C315, "Heap Dump Directory Free Space.*Percentage"), "ヒープダンプディレクトリの空き容量割合（%）", _xlfn.REGEXTEST(C315, "Data Directory Free Space.*Absolute"), "データディレクトリの空き容量（絶対値）", _xlfn.REGEXTEST(C315, "Data Directory Free Space.*Percentage"), "データディレクトリの空き容量割合（%）", _xlfn.REGEXTEST(C315, "Transaction Log Directory Free Space.*Absolute"), "トランザクションログディレクトリの空き容量（絶対値）", _xlfn.REGEXTEST(C315, "Logging Threshold|Logger Threshold"), "ログ出力レベルの閾値設定", _xlfn.REGEXTEST(C315, "Enable.*Alerts"), "ヘルスアラートの有効化状態", _xlfn.REGEXTEST(C315, "Triggers"), "カスタムアラート条件（トリガー設定）", _xlfn.REGEXTEST(C315, "Healthy Kafka Broker"), "Kafka Brokerの健全ノード割合（稼働率）", _xlfn.REGEXTEST(C315, "Healthy Kafka Connect"), "Kafka Connectの健全ノード割合（稼働率）", _xlfn.REGEXTEST(C315, "Healthy KRaft Controller"), "KRaft Controllerの健全ノード割合（稼働率）", _xlfn.REGEXTEST(C315, "Healthy Knox IDBroker"), "Knox IDBrokerの健全ノード割合（稼働率）", _xlfn.REGEXTEST(C315, "Healthy Knox Gateway"), "Knox Gatewayの健全ノード割合（稼働率）", _xlfn.REGEXTEST(C315, "Healthy ZooKeeper Server"), "ZooKeeper Serverの健全ノード割合（稼働率）", _xlfn.REGEXTEST(C315, "Healthy NodeManager"), "NodeManagerの健全ノード割合（稼働率）", _xlfn.REGEXTEST(C315, "Maximum Latency"), "リクエストの最大レイテンシ（処理遅延）", _xlfn.REGEXTEST(C315, "Garbage Collection Duration"), "Javaのガベージコレクション（GC）の所要時間", _xlfn.REGEXTEST(C315, "Spool Directory Usage"), "Rangerプラグインのスプールディレクトリ使用量", _xlfn.REGEXTEST(C315, "Process Directory Free Space Monitoring Absolute"), "プロセスディレクトリの空き容量（絶対値)", _xlfn.REGEXTEST(C315, "Process Directory Free Space.*Percentage"), "プロセスディレクトリの空き容量割合（%）", _xlfn.REGEXTEST(C315, "Parcel Directory Free Space.*Absolute"), "パーセルディレクトリの空き容量（絶対値）", _xlfn.REGEXTEST(C315, "Parcel Directory Free Space.*Percentage"), "パーセルディレクトリの空き容量割合（%）", _xlfn.REGEXTEST(C315, "Host Network Frame Error Percentage"), "ホストのネットワークフレームエラー割合（%）", _xlfn.REGEXTEST(C315, "Network Interfaces Slow Link Modes"), "ホストのネットワークインターフェースの低速リンクモード検出", _xlfn.REGEXTEST(C315, "Host Memory Swapping"), "ホストのメモリのスワップ発生状態", TRUE, "要手動確認")</f>
        <v>Webメトリック収集の所要時間</v>
      </c>
      <c r="H315" s="479" t="s">
        <v>1101</v>
      </c>
    </row>
    <row r="316" spans="1:8" ht="33.6">
      <c r="A316" s="514"/>
      <c r="B316" s="473"/>
      <c r="C316" s="471" t="s">
        <v>820</v>
      </c>
      <c r="D316" s="471" t="s">
        <v>1115</v>
      </c>
      <c r="E316" s="471" t="s">
        <v>1058</v>
      </c>
      <c r="F316" s="471"/>
      <c r="G316" s="471" t="str" cm="1">
        <f t="array" ref="G316">_xlfn.IFS(C316 = "", "", _xlfn.REGEXTEST(C316, "Service Metric Migrator Minimum Consecutive Successful Checks"), "サービスメトリック移行ツールの連続正常チェック最小回数", _xlfn.REGEXTEST(C316, "Rebalancing"), "リバランシング（データ再配置）状態", _xlfn.REGEXTEST(C316, "Temporary Dump Directory"), "一時ダンプディレクトリの監視", _xlfn.REGEXTEST(C316, "Safemode Extension"), "セーフモード延長状態", _xlfn.REGEXTEST(C316, "Client Idle"), "クライアントのアイドル（待機）状態", _xlfn.REGEXTEST(C316, "Available Space Policy Balanced"), "空き容量ポリシーの分散バランス状態", _xlfn.REGEXTEST(C316, "Filesystem Checkpoint Transaction"), "ファイルシステムのチェックポイントトランザクション", _xlfn.REGEXTEST(C316, "Blocks With Corrupt Replicas Monitoring"), "破損レプリカを持つブロックの監視", _xlfn.REGEXTEST(C316, "Missing Block Monitoring"), "消失（ミッシング）ブロックの監視", _xlfn.REGEXTEST(C316, "Under-replicated Block Monitoring"), "レプリカ数不足ブロックの監視", _xlfn.REGEXTEST(C316, "HDFS Free Space Monitoring"), "HDFSの空き容量監視", _xlfn.REGEXTEST(C316, "DataNode Monitoring"), "DataNodeの稼働状態監視", _xlfn.REGEXTEST(C316, "Rules to Extract Events from Log Files"), "ログファイルからのイベント抽出ルール設定", _xlfn.REGEXTEST(C316, "Free Space Monitoring$"), "空き容量監視（一般設定）", _xlfn.REGEXTEST(C316, "Transceivers Usage"), "トランシーバー使用量（データ転送スレッド数）", _xlfn.REGEXTEST(C316, "Volume Failures"), "ボリューム障害（ディスクエラー）数", _xlfn.REGEXTEST(C316, "Block Count"), "ブロック総数", _xlfn.REGEXTEST(C316, "Audit Failure"), "監査（オーディット）ログの失敗イベント", _xlfn.REGEXTEST(C316, "Web Metric Collection Duration"), "Webメトリック収集の所要時間", _xlfn.REGEXTEST(C316, "Pause Duration"), "一時停止（ポーズ）の所要時間", _xlfn.REGEXTEST(C316, "Fsync Latency"), "Fsync（ディスク同期）のレイテンシ", _xlfn.REGEXTEST(C316, "Free Space Monitoring Absolute"), "空き容量（絶対値）", _xlfn.REGEXTEST(C316, "Free Space Monitoring Percentage"), "空き容量割合（%）", _xlfn.REGEXTEST(C316, "Age Monitoring"), "経過時間の監視", _xlfn.REGEXTEST(C316, "Transactions Monitoring"), "トランザクション数の監視", _xlfn.REGEXTEST(C316, "RPC Latency"), "RPC（遠隔手続き呼出し）のレイテンシ", _xlfn.REGEXTEST(C316, "Directory Failures"), "ディレクトリ障害数", _xlfn.REGEXTEST(C316, "Out-Of-Sync JournalNodes"), "同期ズレが発生しているJournalNode数", _xlfn.REGEXTEST(C316, "Safemode Threshold Percentage"), "セーフモード解除閾値の割合（%）", _xlfn.REGEXTEST(C316, "Kerberos Ticket Renewer Monitoring"), "Kerberosチケット更新プロセスの稼働状態監視", _xlfn.REGEXTEST(C316, "Load Balancer Monitoring"), "ロードバランサーの稼働状態監視", _xlfn.REGEXTEST(C316, "Navigator Audit Failure"), "Cloudera Navigator監査ログの失敗イベント", _xlfn.REGEXTEST(C316, "Schema Registry Server Monitoring"), "Schema Registry Serverの稼働状態監視", _xlfn.REGEXTEST(C316, "SRM Service Monitoring"), "SRMサービスの稼働状態監視", _xlfn.REGEXTEST(C316, "SRM Driver Monitoring"), "SRMドライバーの稼働状態監視", _xlfn.REGEXTEST(C316, "Loggin"), "ログ出力状態・設定監視", _xlfn.REGEXTEST(C316, "Server Monitoring"), "サーバーの稼働状態監視", _xlfn.REGEXTEST(C316, "Server Connection Count"), "サーバーの接続数（コネクション数）", _xlfn.REGEXTEST(C316, "Server Outstanding Requests"), "サーバーの未処理リクエスト数（滞留要求数）", _xlfn.REGEXTEST(C316, "Repository Status"), "リポジトリのステータス状態", _xlfn.REGEXTEST(C316, "Monitor Long Running Task"), "長時間実行タスク（ジョブ）の監視", _xlfn.REGEXTEST(C316, "Token requests per second"), "1秒あたりのトークンリクエスト数（要求レート）", _xlfn.REGEXTEST(C316, "Connection Model Score"), "接続モデルスコア（コネクション品質）", _xlfn.REGEXTEST(C316, "Queue swap"), "キューのスワップ発生状態", _xlfn.REGEXTEST(C316, "NiFi Node Monitoring"), "NiFiノードの稼働状態監視", _xlfn.REGEXTEST(C316, "Host Clock Offset"), "ホストのクロックオフセット（時刻同期のズレ）", _xlfn.REGEXTEST(C316, "Memory Overcommit Validation"), "メモリオーバーコミット設定の検証", _xlfn.REGEXTEST(C316, "Gateway Logging"), "ゲートウェイのログ出力設定", _xlfn.REGEXTEST(C316, "CPU Balance"), "CPU使用率の分散バランス状態", _xlfn.REGEXTEST(C316, "Disk Balance"), "ディスク使用量の分散バランス状態", _xlfn.REGEXTEST(C316, "Network Inbound Balance"), "ネットワークインバウンド（受信）の分散バランス状態", _xlfn.REGEXTEST(C316, "Network Outbound Balance"), "ネットワークアウトバウンド（送信）の分散バランス状態", _xlfn.REGEXTEST(C316, "Replica Count Balance"), "レプリカ数の分散バランス状態", _xlfn.REGEXTEST(C316, "Disk Capacity"), "ディスク総容量の限界・使用容量", _xlfn.REGEXTEST(C316, "CPU Capacity"), "CPU総処理能力の限界・使用量", _xlfn.REGEXTEST(C316, "Network Inbound Capacity"), "ネットワークインバウンド（受信）帯域の限界・使用量", _xlfn.REGEXTEST(C316, "Network Outbound Capacity"), "ネットワークアウトバウンド（送信）帯域の限界・使用量", _xlfn.REGEXTEST(C316, "Leader Replica Count Balance"), "リーダーレプリカ数の分散バランス状態", _xlfn.REGEXTEST(C316, "Host DNS Resolution Duration"), "ホストのDNS名前解決の所要時間", _xlfn.REGEXTEST(C316, "TLS Certificate Expiry"), "TLS証明書の有効期限切れ", _xlfn.REGEXTEST(C316, "Host Entropy"), "ホストのエントロピー（乱数生成能力）の不足", _xlfn.REGEXTEST(C316, "File Descriptor"), "プロセスのファイルディスクリプタ使用率", _xlfn.REGEXTEST(C316, "Unexpected Exits"), "プロセスの異常終了（予期せぬ停止）", _xlfn.REGEXTEST(C316, "Swap Memory Thresholds"), "プロセスのスワップメモリ使用量", _xlfn.REGEXTEST(C316, "Swap Memory Usage Rate"), "スワップメモリ使用量の変化率（増加速度）", _xlfn.REGEXTEST(C316, "Log Directory Free Space.*Absolute"), "ログディレクトリの空き容量（絶対値）", _xlfn.REGEXTEST(C316, "Log Directory Free Space.*Percentage"), "ログディレクトリの空き容量割合（%）", _xlfn.REGEXTEST(C316, "Heap Dump Directory Free Space.*Absolute"), "ヒープダンプディレクトリの空き容量（絶対値）", _xlfn.REGEXTEST(C316, "Heap Dump Directory Free Space.*Percentage"), "ヒープダンプディレクトリの空き容量割合（%）", _xlfn.REGEXTEST(C316, "Data Directory Free Space.*Absolute"), "データディレクトリの空き容量（絶対値）", _xlfn.REGEXTEST(C316, "Data Directory Free Space.*Percentage"), "データディレクトリの空き容量割合（%）", _xlfn.REGEXTEST(C316, "Transaction Log Directory Free Space.*Absolute"), "トランザクションログディレクトリの空き容量（絶対値）", _xlfn.REGEXTEST(C316, "Logging Threshold|Logger Threshold"), "ログ出力レベルの閾値設定", _xlfn.REGEXTEST(C316, "Enable.*Alerts"), "ヘルスアラートの有効化状態", _xlfn.REGEXTEST(C316, "Triggers"), "カスタムアラート条件（トリガー設定）", _xlfn.REGEXTEST(C316, "Healthy Kafka Broker"), "Kafka Brokerの健全ノード割合（稼働率）", _xlfn.REGEXTEST(C316, "Healthy Kafka Connect"), "Kafka Connectの健全ノード割合（稼働率）", _xlfn.REGEXTEST(C316, "Healthy KRaft Controller"), "KRaft Controllerの健全ノード割合（稼働率）", _xlfn.REGEXTEST(C316, "Healthy Knox IDBroker"), "Knox IDBrokerの健全ノード割合（稼働率）", _xlfn.REGEXTEST(C316, "Healthy Knox Gateway"), "Knox Gatewayの健全ノード割合（稼働率）", _xlfn.REGEXTEST(C316, "Healthy ZooKeeper Server"), "ZooKeeper Serverの健全ノード割合（稼働率）", _xlfn.REGEXTEST(C316, "Healthy NodeManager"), "NodeManagerの健全ノード割合（稼働率）", _xlfn.REGEXTEST(C316, "Maximum Latency"), "リクエストの最大レイテンシ（処理遅延）", _xlfn.REGEXTEST(C316, "Garbage Collection Duration"), "Javaのガベージコレクション（GC）の所要時間", _xlfn.REGEXTEST(C316, "Spool Directory Usage"), "Rangerプラグインのスプールディレクトリ使用量", _xlfn.REGEXTEST(C316, "Process Directory Free Space Monitoring Absolute"), "プロセスディレクトリの空き容量（絶対値)", _xlfn.REGEXTEST(C316, "Process Directory Free Space.*Percentage"), "プロセスディレクトリの空き容量割合（%）", _xlfn.REGEXTEST(C316, "Parcel Directory Free Space.*Absolute"), "パーセルディレクトリの空き容量（絶対値）", _xlfn.REGEXTEST(C316, "Parcel Directory Free Space.*Percentage"), "パーセルディレクトリの空き容量割合（%）", _xlfn.REGEXTEST(C316, "Host Network Frame Error Percentage"), "ホストのネットワークフレームエラー割合（%）", _xlfn.REGEXTEST(C316, "Network Interfaces Slow Link Modes"), "ホストのネットワークインターフェースの低速リンクモード検出", _xlfn.REGEXTEST(C316, "Host Memory Swapping"), "ホストのメモリのスワップ発生状態", TRUE, "要手動確認")</f>
        <v>Javaのガベージコレクション（GC）の所要時間</v>
      </c>
      <c r="H316" s="479" t="s">
        <v>822</v>
      </c>
    </row>
    <row r="317" spans="1:8" ht="33.6">
      <c r="A317" s="514"/>
      <c r="B317" s="473"/>
      <c r="C317" s="471" t="s">
        <v>1116</v>
      </c>
      <c r="D317" s="471" t="s">
        <v>1117</v>
      </c>
      <c r="E317" s="471" t="s">
        <v>1058</v>
      </c>
      <c r="F317" s="471"/>
      <c r="G317" s="471" t="str" cm="1">
        <f t="array" ref="G317">_xlfn.IFS(C317 = "", "", _xlfn.REGEXTEST(C317, "Service Metric Migrator Minimum Consecutive Successful Checks"), "サービスメトリック移行ツールの連続正常チェック最小回数", _xlfn.REGEXTEST(C317, "Rebalancing"), "リバランシング（データ再配置）状態", _xlfn.REGEXTEST(C317, "Temporary Dump Directory"), "一時ダンプディレクトリの監視", _xlfn.REGEXTEST(C317, "Safemode Extension"), "セーフモード延長状態", _xlfn.REGEXTEST(C317, "Client Idle"), "クライアントのアイドル（待機）状態", _xlfn.REGEXTEST(C317, "Available Space Policy Balanced"), "空き容量ポリシーの分散バランス状態", _xlfn.REGEXTEST(C317, "Filesystem Checkpoint Transaction"), "ファイルシステムのチェックポイントトランザクション", _xlfn.REGEXTEST(C317, "Blocks With Corrupt Replicas Monitoring"), "破損レプリカを持つブロックの監視", _xlfn.REGEXTEST(C317, "Missing Block Monitoring"), "消失（ミッシング）ブロックの監視", _xlfn.REGEXTEST(C317, "Under-replicated Block Monitoring"), "レプリカ数不足ブロックの監視", _xlfn.REGEXTEST(C317, "HDFS Free Space Monitoring"), "HDFSの空き容量監視", _xlfn.REGEXTEST(C317, "DataNode Monitoring"), "DataNodeの稼働状態監視", _xlfn.REGEXTEST(C317, "Rules to Extract Events from Log Files"), "ログファイルからのイベント抽出ルール設定", _xlfn.REGEXTEST(C317, "Free Space Monitoring$"), "空き容量監視（一般設定）", _xlfn.REGEXTEST(C317, "Transceivers Usage"), "トランシーバー使用量（データ転送スレッド数）", _xlfn.REGEXTEST(C317, "Volume Failures"), "ボリューム障害（ディスクエラー）数", _xlfn.REGEXTEST(C317, "Block Count"), "ブロック総数", _xlfn.REGEXTEST(C317, "Audit Failure"), "監査（オーディット）ログの失敗イベント", _xlfn.REGEXTEST(C317, "Web Metric Collection Duration"), "Webメトリック収集の所要時間", _xlfn.REGEXTEST(C317, "Pause Duration"), "一時停止（ポーズ）の所要時間", _xlfn.REGEXTEST(C317, "Fsync Latency"), "Fsync（ディスク同期）のレイテンシ", _xlfn.REGEXTEST(C317, "Free Space Monitoring Absolute"), "空き容量（絶対値）", _xlfn.REGEXTEST(C317, "Free Space Monitoring Percentage"), "空き容量割合（%）", _xlfn.REGEXTEST(C317, "Age Monitoring"), "経過時間の監視", _xlfn.REGEXTEST(C317, "Transactions Monitoring"), "トランザクション数の監視", _xlfn.REGEXTEST(C317, "RPC Latency"), "RPC（遠隔手続き呼出し）のレイテンシ", _xlfn.REGEXTEST(C317, "Directory Failures"), "ディレクトリ障害数", _xlfn.REGEXTEST(C317, "Out-Of-Sync JournalNodes"), "同期ズレが発生しているJournalNode数", _xlfn.REGEXTEST(C317, "Safemode Threshold Percentage"), "セーフモード解除閾値の割合（%）", _xlfn.REGEXTEST(C317, "Kerberos Ticket Renewer Monitoring"), "Kerberosチケット更新プロセスの稼働状態監視", _xlfn.REGEXTEST(C317, "Load Balancer Monitoring"), "ロードバランサーの稼働状態監視", _xlfn.REGEXTEST(C317, "Navigator Audit Failure"), "Cloudera Navigator監査ログの失敗イベント", _xlfn.REGEXTEST(C317, "Schema Registry Server Monitoring"), "Schema Registry Serverの稼働状態監視", _xlfn.REGEXTEST(C317, "SRM Service Monitoring"), "SRMサービスの稼働状態監視", _xlfn.REGEXTEST(C317, "SRM Driver Monitoring"), "SRMドライバーの稼働状態監視", _xlfn.REGEXTEST(C317, "Loggin"), "ログ出力状態・設定監視", _xlfn.REGEXTEST(C317, "Server Monitoring"), "サーバーの稼働状態監視", _xlfn.REGEXTEST(C317, "Server Connection Count"), "サーバーの接続数（コネクション数）", _xlfn.REGEXTEST(C317, "Server Outstanding Requests"), "サーバーの未処理リクエスト数（滞留要求数）", _xlfn.REGEXTEST(C317, "Repository Status"), "リポジトリのステータス状態", _xlfn.REGEXTEST(C317, "Monitor Long Running Task"), "長時間実行タスク（ジョブ）の監視", _xlfn.REGEXTEST(C317, "Token requests per second"), "1秒あたりのトークンリクエスト数（要求レート）", _xlfn.REGEXTEST(C317, "Connection Model Score"), "接続モデルスコア（コネクション品質）", _xlfn.REGEXTEST(C317, "Queue swap"), "キューのスワップ発生状態", _xlfn.REGEXTEST(C317, "NiFi Node Monitoring"), "NiFiノードの稼働状態監視", _xlfn.REGEXTEST(C317, "Host Clock Offset"), "ホストのクロックオフセット（時刻同期のズレ）", _xlfn.REGEXTEST(C317, "Memory Overcommit Validation"), "メモリオーバーコミット設定の検証", _xlfn.REGEXTEST(C317, "Gateway Logging"), "ゲートウェイのログ出力設定", _xlfn.REGEXTEST(C317, "CPU Balance"), "CPU使用率の分散バランス状態", _xlfn.REGEXTEST(C317, "Disk Balance"), "ディスク使用量の分散バランス状態", _xlfn.REGEXTEST(C317, "Network Inbound Balance"), "ネットワークインバウンド（受信）の分散バランス状態", _xlfn.REGEXTEST(C317, "Network Outbound Balance"), "ネットワークアウトバウンド（送信）の分散バランス状態", _xlfn.REGEXTEST(C317, "Replica Count Balance"), "レプリカ数の分散バランス状態", _xlfn.REGEXTEST(C317, "Disk Capacity"), "ディスク総容量の限界・使用容量", _xlfn.REGEXTEST(C317, "CPU Capacity"), "CPU総処理能力の限界・使用量", _xlfn.REGEXTEST(C317, "Network Inbound Capacity"), "ネットワークインバウンド（受信）帯域の限界・使用量", _xlfn.REGEXTEST(C317, "Network Outbound Capacity"), "ネットワークアウトバウンド（送信）帯域の限界・使用量", _xlfn.REGEXTEST(C317, "Leader Replica Count Balance"), "リーダーレプリカ数の分散バランス状態", _xlfn.REGEXTEST(C317, "Host DNS Resolution Duration"), "ホストのDNS名前解決の所要時間", _xlfn.REGEXTEST(C317, "TLS Certificate Expiry"), "TLS証明書の有効期限切れ", _xlfn.REGEXTEST(C317, "Host Entropy"), "ホストのエントロピー（乱数生成能力）の不足", _xlfn.REGEXTEST(C317, "File Descriptor"), "プロセスのファイルディスクリプタ使用率", _xlfn.REGEXTEST(C317, "Unexpected Exits"), "プロセスの異常終了（予期せぬ停止）", _xlfn.REGEXTEST(C317, "Swap Memory Thresholds"), "プロセスのスワップメモリ使用量", _xlfn.REGEXTEST(C317, "Swap Memory Usage Rate"), "スワップメモリ使用量の変化率（増加速度）", _xlfn.REGEXTEST(C317, "Log Directory Free Space.*Absolute"), "ログディレクトリの空き容量（絶対値）", _xlfn.REGEXTEST(C317, "Log Directory Free Space.*Percentage"), "ログディレクトリの空き容量割合（%）", _xlfn.REGEXTEST(C317, "Heap Dump Directory Free Space.*Absolute"), "ヒープダンプディレクトリの空き容量（絶対値）", _xlfn.REGEXTEST(C317, "Heap Dump Directory Free Space.*Percentage"), "ヒープダンプディレクトリの空き容量割合（%）", _xlfn.REGEXTEST(C317, "Data Directory Free Space.*Absolute"), "データディレクトリの空き容量（絶対値）", _xlfn.REGEXTEST(C317, "Data Directory Free Space.*Percentage"), "データディレクトリの空き容量割合（%）", _xlfn.REGEXTEST(C317, "Transaction Log Directory Free Space.*Absolute"), "トランザクションログディレクトリの空き容量（絶対値）", _xlfn.REGEXTEST(C317, "Logging Threshold|Logger Threshold"), "ログ出力レベルの閾値設定", _xlfn.REGEXTEST(C317, "Enable.*Alerts"), "ヘルスアラートの有効化状態", _xlfn.REGEXTEST(C317, "Triggers"), "カスタムアラート条件（トリガー設定）", _xlfn.REGEXTEST(C317, "Healthy Kafka Broker"), "Kafka Brokerの健全ノード割合（稼働率）", _xlfn.REGEXTEST(C317, "Healthy Kafka Connect"), "Kafka Connectの健全ノード割合（稼働率）", _xlfn.REGEXTEST(C317, "Healthy KRaft Controller"), "KRaft Controllerの健全ノード割合（稼働率）", _xlfn.REGEXTEST(C317, "Healthy Knox IDBroker"), "Knox IDBrokerの健全ノード割合（稼働率）", _xlfn.REGEXTEST(C317, "Healthy Knox Gateway"), "Knox Gatewayの健全ノード割合（稼働率）", _xlfn.REGEXTEST(C317, "Healthy ZooKeeper Server"), "ZooKeeper Serverの健全ノード割合（稼働率）", _xlfn.REGEXTEST(C317, "Healthy NodeManager"), "NodeManagerの健全ノード割合（稼働率）", _xlfn.REGEXTEST(C317, "Maximum Latency"), "リクエストの最大レイテンシ（処理遅延）", _xlfn.REGEXTEST(C317, "Garbage Collection Duration"), "Javaのガベージコレクション（GC）の所要時間", _xlfn.REGEXTEST(C317, "Spool Directory Usage"), "Rangerプラグインのスプールディレクトリ使用量", _xlfn.REGEXTEST(C317, "Process Directory Free Space Monitoring Absolute"), "プロセスディレクトリの空き容量（絶対値)", _xlfn.REGEXTEST(C317, "Process Directory Free Space.*Percentage"), "プロセスディレクトリの空き容量割合（%）", _xlfn.REGEXTEST(C317, "Parcel Directory Free Space.*Absolute"), "パーセルディレクトリの空き容量（絶対値）", _xlfn.REGEXTEST(C317, "Parcel Directory Free Space.*Percentage"), "パーセルディレクトリの空き容量割合（%）", _xlfn.REGEXTEST(C317, "Host Network Frame Error Percentage"), "ホストのネットワークフレームエラー割合（%）", _xlfn.REGEXTEST(C317, "Network Interfaces Slow Link Modes"), "ホストのネットワークインターフェースの低速リンクモード検出", _xlfn.REGEXTEST(C317, "Host Memory Swapping"), "ホストのメモリのスワップ発生状態", TRUE, "要手動確認")</f>
        <v>空き容量（絶対値）</v>
      </c>
      <c r="H317" s="479" t="s">
        <v>692</v>
      </c>
    </row>
    <row r="318" spans="1:8" ht="33.6">
      <c r="A318" s="514"/>
      <c r="B318" s="473"/>
      <c r="C318" s="471" t="s">
        <v>1118</v>
      </c>
      <c r="D318" s="471" t="s">
        <v>1119</v>
      </c>
      <c r="E318" s="471" t="s">
        <v>1058</v>
      </c>
      <c r="F318" s="471"/>
      <c r="G318" s="471" t="str" cm="1">
        <f t="array" ref="G318">_xlfn.IFS(C318 = "", "", _xlfn.REGEXTEST(C318, "Service Metric Migrator Minimum Consecutive Successful Checks"), "サービスメトリック移行ツールの連続正常チェック最小回数", _xlfn.REGEXTEST(C318, "Rebalancing"), "リバランシング（データ再配置）状態", _xlfn.REGEXTEST(C318, "Temporary Dump Directory"), "一時ダンプディレクトリの監視", _xlfn.REGEXTEST(C318, "Safemode Extension"), "セーフモード延長状態", _xlfn.REGEXTEST(C318, "Client Idle"), "クライアントのアイドル（待機）状態", _xlfn.REGEXTEST(C318, "Available Space Policy Balanced"), "空き容量ポリシーの分散バランス状態", _xlfn.REGEXTEST(C318, "Filesystem Checkpoint Transaction"), "ファイルシステムのチェックポイントトランザクション", _xlfn.REGEXTEST(C318, "Blocks With Corrupt Replicas Monitoring"), "破損レプリカを持つブロックの監視", _xlfn.REGEXTEST(C318, "Missing Block Monitoring"), "消失（ミッシング）ブロックの監視", _xlfn.REGEXTEST(C318, "Under-replicated Block Monitoring"), "レプリカ数不足ブロックの監視", _xlfn.REGEXTEST(C318, "HDFS Free Space Monitoring"), "HDFSの空き容量監視", _xlfn.REGEXTEST(C318, "DataNode Monitoring"), "DataNodeの稼働状態監視", _xlfn.REGEXTEST(C318, "Rules to Extract Events from Log Files"), "ログファイルからのイベント抽出ルール設定", _xlfn.REGEXTEST(C318, "Free Space Monitoring$"), "空き容量監視（一般設定）", _xlfn.REGEXTEST(C318, "Transceivers Usage"), "トランシーバー使用量（データ転送スレッド数）", _xlfn.REGEXTEST(C318, "Volume Failures"), "ボリューム障害（ディスクエラー）数", _xlfn.REGEXTEST(C318, "Block Count"), "ブロック総数", _xlfn.REGEXTEST(C318, "Audit Failure"), "監査（オーディット）ログの失敗イベント", _xlfn.REGEXTEST(C318, "Web Metric Collection Duration"), "Webメトリック収集の所要時間", _xlfn.REGEXTEST(C318, "Pause Duration"), "一時停止（ポーズ）の所要時間", _xlfn.REGEXTEST(C318, "Fsync Latency"), "Fsync（ディスク同期）のレイテンシ", _xlfn.REGEXTEST(C318, "Free Space Monitoring Absolute"), "空き容量（絶対値）", _xlfn.REGEXTEST(C318, "Free Space Monitoring Percentage"), "空き容量割合（%）", _xlfn.REGEXTEST(C318, "Age Monitoring"), "経過時間の監視", _xlfn.REGEXTEST(C318, "Transactions Monitoring"), "トランザクション数の監視", _xlfn.REGEXTEST(C318, "RPC Latency"), "RPC（遠隔手続き呼出し）のレイテンシ", _xlfn.REGEXTEST(C318, "Directory Failures"), "ディレクトリ障害数", _xlfn.REGEXTEST(C318, "Out-Of-Sync JournalNodes"), "同期ズレが発生しているJournalNode数", _xlfn.REGEXTEST(C318, "Safemode Threshold Percentage"), "セーフモード解除閾値の割合（%）", _xlfn.REGEXTEST(C318, "Kerberos Ticket Renewer Monitoring"), "Kerberosチケット更新プロセスの稼働状態監視", _xlfn.REGEXTEST(C318, "Load Balancer Monitoring"), "ロードバランサーの稼働状態監視", _xlfn.REGEXTEST(C318, "Navigator Audit Failure"), "Cloudera Navigator監査ログの失敗イベント", _xlfn.REGEXTEST(C318, "Schema Registry Server Monitoring"), "Schema Registry Serverの稼働状態監視", _xlfn.REGEXTEST(C318, "SRM Service Monitoring"), "SRMサービスの稼働状態監視", _xlfn.REGEXTEST(C318, "SRM Driver Monitoring"), "SRMドライバーの稼働状態監視", _xlfn.REGEXTEST(C318, "Loggin"), "ログ出力状態・設定監視", _xlfn.REGEXTEST(C318, "Server Monitoring"), "サーバーの稼働状態監視", _xlfn.REGEXTEST(C318, "Server Connection Count"), "サーバーの接続数（コネクション数）", _xlfn.REGEXTEST(C318, "Server Outstanding Requests"), "サーバーの未処理リクエスト数（滞留要求数）", _xlfn.REGEXTEST(C318, "Repository Status"), "リポジトリのステータス状態", _xlfn.REGEXTEST(C318, "Monitor Long Running Task"), "長時間実行タスク（ジョブ）の監視", _xlfn.REGEXTEST(C318, "Token requests per second"), "1秒あたりのトークンリクエスト数（要求レート）", _xlfn.REGEXTEST(C318, "Connection Model Score"), "接続モデルスコア（コネクション品質）", _xlfn.REGEXTEST(C318, "Queue swap"), "キューのスワップ発生状態", _xlfn.REGEXTEST(C318, "NiFi Node Monitoring"), "NiFiノードの稼働状態監視", _xlfn.REGEXTEST(C318, "Host Clock Offset"), "ホストのクロックオフセット（時刻同期のズレ）", _xlfn.REGEXTEST(C318, "Memory Overcommit Validation"), "メモリオーバーコミット設定の検証", _xlfn.REGEXTEST(C318, "Gateway Logging"), "ゲートウェイのログ出力設定", _xlfn.REGEXTEST(C318, "CPU Balance"), "CPU使用率の分散バランス状態", _xlfn.REGEXTEST(C318, "Disk Balance"), "ディスク使用量の分散バランス状態", _xlfn.REGEXTEST(C318, "Network Inbound Balance"), "ネットワークインバウンド（受信）の分散バランス状態", _xlfn.REGEXTEST(C318, "Network Outbound Balance"), "ネットワークアウトバウンド（送信）の分散バランス状態", _xlfn.REGEXTEST(C318, "Replica Count Balance"), "レプリカ数の分散バランス状態", _xlfn.REGEXTEST(C318, "Disk Capacity"), "ディスク総容量の限界・使用容量", _xlfn.REGEXTEST(C318, "CPU Capacity"), "CPU総処理能力の限界・使用量", _xlfn.REGEXTEST(C318, "Network Inbound Capacity"), "ネットワークインバウンド（受信）帯域の限界・使用量", _xlfn.REGEXTEST(C318, "Network Outbound Capacity"), "ネットワークアウトバウンド（送信）帯域の限界・使用量", _xlfn.REGEXTEST(C318, "Leader Replica Count Balance"), "リーダーレプリカ数の分散バランス状態", _xlfn.REGEXTEST(C318, "Host DNS Resolution Duration"), "ホストのDNS名前解決の所要時間", _xlfn.REGEXTEST(C318, "TLS Certificate Expiry"), "TLS証明書の有効期限切れ", _xlfn.REGEXTEST(C318, "Host Entropy"), "ホストのエントロピー（乱数生成能力）の不足", _xlfn.REGEXTEST(C318, "File Descriptor"), "プロセスのファイルディスクリプタ使用率", _xlfn.REGEXTEST(C318, "Unexpected Exits"), "プロセスの異常終了（予期せぬ停止）", _xlfn.REGEXTEST(C318, "Swap Memory Thresholds"), "プロセスのスワップメモリ使用量", _xlfn.REGEXTEST(C318, "Swap Memory Usage Rate"), "スワップメモリ使用量の変化率（増加速度）", _xlfn.REGEXTEST(C318, "Log Directory Free Space.*Absolute"), "ログディレクトリの空き容量（絶対値）", _xlfn.REGEXTEST(C318, "Log Directory Free Space.*Percentage"), "ログディレクトリの空き容量割合（%）", _xlfn.REGEXTEST(C318, "Heap Dump Directory Free Space.*Absolute"), "ヒープダンプディレクトリの空き容量（絶対値）", _xlfn.REGEXTEST(C318, "Heap Dump Directory Free Space.*Percentage"), "ヒープダンプディレクトリの空き容量割合（%）", _xlfn.REGEXTEST(C318, "Data Directory Free Space.*Absolute"), "データディレクトリの空き容量（絶対値）", _xlfn.REGEXTEST(C318, "Data Directory Free Space.*Percentage"), "データディレクトリの空き容量割合（%）", _xlfn.REGEXTEST(C318, "Transaction Log Directory Free Space.*Absolute"), "トランザクションログディレクトリの空き容量（絶対値）", _xlfn.REGEXTEST(C318, "Logging Threshold|Logger Threshold"), "ログ出力レベルの閾値設定", _xlfn.REGEXTEST(C318, "Enable.*Alerts"), "ヘルスアラートの有効化状態", _xlfn.REGEXTEST(C318, "Triggers"), "カスタムアラート条件（トリガー設定）", _xlfn.REGEXTEST(C318, "Healthy Kafka Broker"), "Kafka Brokerの健全ノード割合（稼働率）", _xlfn.REGEXTEST(C318, "Healthy Kafka Connect"), "Kafka Connectの健全ノード割合（稼働率）", _xlfn.REGEXTEST(C318, "Healthy KRaft Controller"), "KRaft Controllerの健全ノード割合（稼働率）", _xlfn.REGEXTEST(C318, "Healthy Knox IDBroker"), "Knox IDBrokerの健全ノード割合（稼働率）", _xlfn.REGEXTEST(C318, "Healthy Knox Gateway"), "Knox Gatewayの健全ノード割合（稼働率）", _xlfn.REGEXTEST(C318, "Healthy ZooKeeper Server"), "ZooKeeper Serverの健全ノード割合（稼働率）", _xlfn.REGEXTEST(C318, "Healthy NodeManager"), "NodeManagerの健全ノード割合（稼働率）", _xlfn.REGEXTEST(C318, "Maximum Latency"), "リクエストの最大レイテンシ（処理遅延）", _xlfn.REGEXTEST(C318, "Garbage Collection Duration"), "Javaのガベージコレクション（GC）の所要時間", _xlfn.REGEXTEST(C318, "Spool Directory Usage"), "Rangerプラグインのスプールディレクトリ使用量", _xlfn.REGEXTEST(C318, "Process Directory Free Space Monitoring Absolute"), "プロセスディレクトリの空き容量（絶対値)", _xlfn.REGEXTEST(C318, "Process Directory Free Space.*Percentage"), "プロセスディレクトリの空き容量割合（%）", _xlfn.REGEXTEST(C318, "Parcel Directory Free Space.*Absolute"), "パーセルディレクトリの空き容量（絶対値）", _xlfn.REGEXTEST(C318, "Parcel Directory Free Space.*Percentage"), "パーセルディレクトリの空き容量割合（%）", _xlfn.REGEXTEST(C318, "Host Network Frame Error Percentage"), "ホストのネットワークフレームエラー割合（%）", _xlfn.REGEXTEST(C318, "Network Interfaces Slow Link Modes"), "ホストのネットワークインターフェースの低速リンクモード検出", _xlfn.REGEXTEST(C318, "Host Memory Swapping"), "ホストのメモリのスワップ発生状態", TRUE, "要手動確認")</f>
        <v>空き容量割合（%）</v>
      </c>
      <c r="H318" s="479" t="s">
        <v>689</v>
      </c>
    </row>
    <row r="319" spans="1:8" ht="33.6">
      <c r="A319" s="514"/>
      <c r="B319" s="473"/>
      <c r="C319" s="471" t="s">
        <v>736</v>
      </c>
      <c r="D319" s="471" t="s">
        <v>1120</v>
      </c>
      <c r="E319" s="471" t="s">
        <v>1058</v>
      </c>
      <c r="F319" s="471"/>
      <c r="G319" s="471" t="str" cm="1">
        <f t="array" ref="G319">_xlfn.IFS(C319 = "", "", _xlfn.REGEXTEST(C319, "Service Metric Migrator Minimum Consecutive Successful Checks"), "サービスメトリック移行ツールの連続正常チェック最小回数", _xlfn.REGEXTEST(C319, "Rebalancing"), "リバランシング（データ再配置）状態", _xlfn.REGEXTEST(C319, "Temporary Dump Directory"), "一時ダンプディレクトリの監視", _xlfn.REGEXTEST(C319, "Safemode Extension"), "セーフモード延長状態", _xlfn.REGEXTEST(C319, "Client Idle"), "クライアントのアイドル（待機）状態", _xlfn.REGEXTEST(C319, "Available Space Policy Balanced"), "空き容量ポリシーの分散バランス状態", _xlfn.REGEXTEST(C319, "Filesystem Checkpoint Transaction"), "ファイルシステムのチェックポイントトランザクション", _xlfn.REGEXTEST(C319, "Blocks With Corrupt Replicas Monitoring"), "破損レプリカを持つブロックの監視", _xlfn.REGEXTEST(C319, "Missing Block Monitoring"), "消失（ミッシング）ブロックの監視", _xlfn.REGEXTEST(C319, "Under-replicated Block Monitoring"), "レプリカ数不足ブロックの監視", _xlfn.REGEXTEST(C319, "HDFS Free Space Monitoring"), "HDFSの空き容量監視", _xlfn.REGEXTEST(C319, "DataNode Monitoring"), "DataNodeの稼働状態監視", _xlfn.REGEXTEST(C319, "Rules to Extract Events from Log Files"), "ログファイルからのイベント抽出ルール設定", _xlfn.REGEXTEST(C319, "Free Space Monitoring$"), "空き容量監視（一般設定）", _xlfn.REGEXTEST(C319, "Transceivers Usage"), "トランシーバー使用量（データ転送スレッド数）", _xlfn.REGEXTEST(C319, "Volume Failures"), "ボリューム障害（ディスクエラー）数", _xlfn.REGEXTEST(C319, "Block Count"), "ブロック総数", _xlfn.REGEXTEST(C319, "Audit Failure"), "監査（オーディット）ログの失敗イベント", _xlfn.REGEXTEST(C319, "Web Metric Collection Duration"), "Webメトリック収集の所要時間", _xlfn.REGEXTEST(C319, "Pause Duration"), "一時停止（ポーズ）の所要時間", _xlfn.REGEXTEST(C319, "Fsync Latency"), "Fsync（ディスク同期）のレイテンシ", _xlfn.REGEXTEST(C319, "Free Space Monitoring Absolute"), "空き容量（絶対値）", _xlfn.REGEXTEST(C319, "Free Space Monitoring Percentage"), "空き容量割合（%）", _xlfn.REGEXTEST(C319, "Age Monitoring"), "経過時間の監視", _xlfn.REGEXTEST(C319, "Transactions Monitoring"), "トランザクション数の監視", _xlfn.REGEXTEST(C319, "RPC Latency"), "RPC（遠隔手続き呼出し）のレイテンシ", _xlfn.REGEXTEST(C319, "Directory Failures"), "ディレクトリ障害数", _xlfn.REGEXTEST(C319, "Out-Of-Sync JournalNodes"), "同期ズレが発生しているJournalNode数", _xlfn.REGEXTEST(C319, "Safemode Threshold Percentage"), "セーフモード解除閾値の割合（%）", _xlfn.REGEXTEST(C319, "Kerberos Ticket Renewer Monitoring"), "Kerberosチケット更新プロセスの稼働状態監視", _xlfn.REGEXTEST(C319, "Load Balancer Monitoring"), "ロードバランサーの稼働状態監視", _xlfn.REGEXTEST(C319, "Navigator Audit Failure"), "Cloudera Navigator監査ログの失敗イベント", _xlfn.REGEXTEST(C319, "Schema Registry Server Monitoring"), "Schema Registry Serverの稼働状態監視", _xlfn.REGEXTEST(C319, "SRM Service Monitoring"), "SRMサービスの稼働状態監視", _xlfn.REGEXTEST(C319, "SRM Driver Monitoring"), "SRMドライバーの稼働状態監視", _xlfn.REGEXTEST(C319, "Loggin"), "ログ出力状態・設定監視", _xlfn.REGEXTEST(C319, "Server Monitoring"), "サーバーの稼働状態監視", _xlfn.REGEXTEST(C319, "Server Connection Count"), "サーバーの接続数（コネクション数）", _xlfn.REGEXTEST(C319, "Server Outstanding Requests"), "サーバーの未処理リクエスト数（滞留要求数）", _xlfn.REGEXTEST(C319, "Repository Status"), "リポジトリのステータス状態", _xlfn.REGEXTEST(C319, "Monitor Long Running Task"), "長時間実行タスク（ジョブ）の監視", _xlfn.REGEXTEST(C319, "Token requests per second"), "1秒あたりのトークンリクエスト数（要求レート）", _xlfn.REGEXTEST(C319, "Connection Model Score"), "接続モデルスコア（コネクション品質）", _xlfn.REGEXTEST(C319, "Queue swap"), "キューのスワップ発生状態", _xlfn.REGEXTEST(C319, "NiFi Node Monitoring"), "NiFiノードの稼働状態監視", _xlfn.REGEXTEST(C319, "Host Clock Offset"), "ホストのクロックオフセット（時刻同期のズレ）", _xlfn.REGEXTEST(C319, "Memory Overcommit Validation"), "メモリオーバーコミット設定の検証", _xlfn.REGEXTEST(C319, "Gateway Logging"), "ゲートウェイのログ出力設定", _xlfn.REGEXTEST(C319, "CPU Balance"), "CPU使用率の分散バランス状態", _xlfn.REGEXTEST(C319, "Disk Balance"), "ディスク使用量の分散バランス状態", _xlfn.REGEXTEST(C319, "Network Inbound Balance"), "ネットワークインバウンド（受信）の分散バランス状態", _xlfn.REGEXTEST(C319, "Network Outbound Balance"), "ネットワークアウトバウンド（送信）の分散バランス状態", _xlfn.REGEXTEST(C319, "Replica Count Balance"), "レプリカ数の分散バランス状態", _xlfn.REGEXTEST(C319, "Disk Capacity"), "ディスク総容量の限界・使用容量", _xlfn.REGEXTEST(C319, "CPU Capacity"), "CPU総処理能力の限界・使用量", _xlfn.REGEXTEST(C319, "Network Inbound Capacity"), "ネットワークインバウンド（受信）帯域の限界・使用量", _xlfn.REGEXTEST(C319, "Network Outbound Capacity"), "ネットワークアウトバウンド（送信）帯域の限界・使用量", _xlfn.REGEXTEST(C319, "Leader Replica Count Balance"), "リーダーレプリカ数の分散バランス状態", _xlfn.REGEXTEST(C319, "Host DNS Resolution Duration"), "ホストのDNS名前解決の所要時間", _xlfn.REGEXTEST(C319, "TLS Certificate Expiry"), "TLS証明書の有効期限切れ", _xlfn.REGEXTEST(C319, "Host Entropy"), "ホストのエントロピー（乱数生成能力）の不足", _xlfn.REGEXTEST(C319, "File Descriptor"), "プロセスのファイルディスクリプタ使用率", _xlfn.REGEXTEST(C319, "Unexpected Exits"), "プロセスの異常終了（予期せぬ停止）", _xlfn.REGEXTEST(C319, "Swap Memory Thresholds"), "プロセスのスワップメモリ使用量", _xlfn.REGEXTEST(C319, "Swap Memory Usage Rate"), "スワップメモリ使用量の変化率（増加速度）", _xlfn.REGEXTEST(C319, "Log Directory Free Space.*Absolute"), "ログディレクトリの空き容量（絶対値）", _xlfn.REGEXTEST(C319, "Log Directory Free Space.*Percentage"), "ログディレクトリの空き容量割合（%）", _xlfn.REGEXTEST(C319, "Heap Dump Directory Free Space.*Absolute"), "ヒープダンプディレクトリの空き容量（絶対値）", _xlfn.REGEXTEST(C319, "Heap Dump Directory Free Space.*Percentage"), "ヒープダンプディレクトリの空き容量割合（%）", _xlfn.REGEXTEST(C319, "Data Directory Free Space.*Absolute"), "データディレクトリの空き容量（絶対値）", _xlfn.REGEXTEST(C319, "Data Directory Free Space.*Percentage"), "データディレクトリの空き容量割合（%）", _xlfn.REGEXTEST(C319, "Transaction Log Directory Free Space.*Absolute"), "トランザクションログディレクトリの空き容量（絶対値）", _xlfn.REGEXTEST(C319, "Logging Threshold|Logger Threshold"), "ログ出力レベルの閾値設定", _xlfn.REGEXTEST(C319, "Enable.*Alerts"), "ヘルスアラートの有効化状態", _xlfn.REGEXTEST(C319, "Triggers"), "カスタムアラート条件（トリガー設定）", _xlfn.REGEXTEST(C319, "Healthy Kafka Broker"), "Kafka Brokerの健全ノード割合（稼働率）", _xlfn.REGEXTEST(C319, "Healthy Kafka Connect"), "Kafka Connectの健全ノード割合（稼働率）", _xlfn.REGEXTEST(C319, "Healthy KRaft Controller"), "KRaft Controllerの健全ノード割合（稼働率）", _xlfn.REGEXTEST(C319, "Healthy Knox IDBroker"), "Knox IDBrokerの健全ノード割合（稼働率）", _xlfn.REGEXTEST(C319, "Healthy Knox Gateway"), "Knox Gatewayの健全ノード割合（稼働率）", _xlfn.REGEXTEST(C319, "Healthy ZooKeeper Server"), "ZooKeeper Serverの健全ノード割合（稼働率）", _xlfn.REGEXTEST(C319, "Healthy NodeManager"), "NodeManagerの健全ノード割合（稼働率）", _xlfn.REGEXTEST(C319, "Maximum Latency"), "リクエストの最大レイテンシ（処理遅延）", _xlfn.REGEXTEST(C319, "Garbage Collection Duration"), "Javaのガベージコレクション（GC）の所要時間", _xlfn.REGEXTEST(C319, "Spool Directory Usage"), "Rangerプラグインのスプールディレクトリ使用量", _xlfn.REGEXTEST(C319, "Process Directory Free Space Monitoring Absolute"), "プロセスディレクトリの空き容量（絶対値)", _xlfn.REGEXTEST(C319, "Process Directory Free Space.*Percentage"), "プロセスディレクトリの空き容量割合（%）", _xlfn.REGEXTEST(C319, "Parcel Directory Free Space.*Absolute"), "パーセルディレクトリの空き容量（絶対値）", _xlfn.REGEXTEST(C319, "Parcel Directory Free Space.*Percentage"), "パーセルディレクトリの空き容量割合（%）", _xlfn.REGEXTEST(C319, "Host Network Frame Error Percentage"), "ホストのネットワークフレームエラー割合（%）", _xlfn.REGEXTEST(C319, "Network Interfaces Slow Link Modes"), "ホストのネットワークインターフェースの低速リンクモード検出", _xlfn.REGEXTEST(C319, "Host Memory Swapping"), "ホストのメモリのスワップ発生状態", TRUE, "要手動確認")</f>
        <v>プロセスのファイルディスクリプタ使用率</v>
      </c>
      <c r="H319" s="479" t="s">
        <v>813</v>
      </c>
    </row>
    <row r="320" spans="1:8" ht="33.6">
      <c r="A320" s="514"/>
      <c r="B320" s="473"/>
      <c r="C320" s="471" t="s">
        <v>1121</v>
      </c>
      <c r="D320" s="471" t="s">
        <v>1122</v>
      </c>
      <c r="E320" s="471" t="s">
        <v>1036</v>
      </c>
      <c r="F320" s="471"/>
      <c r="G320" s="471" t="str" cm="1">
        <f t="array" ref="G320">_xlfn.IFS(C320 = "", "", _xlfn.REGEXTEST(C320, "Service Metric Migrator Minimum Consecutive Successful Checks"), "サービスメトリック移行ツールの連続正常チェック最小回数", _xlfn.REGEXTEST(C320, "Rebalancing"), "リバランシング（データ再配置）状態", _xlfn.REGEXTEST(C320, "Temporary Dump Directory"), "一時ダンプディレクトリの監視", _xlfn.REGEXTEST(C320, "Safemode Extension"), "セーフモード延長状態", _xlfn.REGEXTEST(C320, "Client Idle"), "クライアントのアイドル（待機）状態", _xlfn.REGEXTEST(C320, "Available Space Policy Balanced"), "空き容量ポリシーの分散バランス状態", _xlfn.REGEXTEST(C320, "Filesystem Checkpoint Transaction"), "ファイルシステムのチェックポイントトランザクション", _xlfn.REGEXTEST(C320, "Blocks With Corrupt Replicas Monitoring"), "破損レプリカを持つブロックの監視", _xlfn.REGEXTEST(C320, "Missing Block Monitoring"), "消失（ミッシング）ブロックの監視", _xlfn.REGEXTEST(C320, "Under-replicated Block Monitoring"), "レプリカ数不足ブロックの監視", _xlfn.REGEXTEST(C320, "HDFS Free Space Monitoring"), "HDFSの空き容量監視", _xlfn.REGEXTEST(C320, "DataNode Monitoring"), "DataNodeの稼働状態監視", _xlfn.REGEXTEST(C320, "Rules to Extract Events from Log Files"), "ログファイルからのイベント抽出ルール設定", _xlfn.REGEXTEST(C320, "Free Space Monitoring$"), "空き容量監視（一般設定）", _xlfn.REGEXTEST(C320, "Transceivers Usage"), "トランシーバー使用量（データ転送スレッド数）", _xlfn.REGEXTEST(C320, "Volume Failures"), "ボリューム障害（ディスクエラー）数", _xlfn.REGEXTEST(C320, "Block Count"), "ブロック総数", _xlfn.REGEXTEST(C320, "Audit Failure"), "監査（オーディット）ログの失敗イベント", _xlfn.REGEXTEST(C320, "Web Metric Collection Duration"), "Webメトリック収集の所要時間", _xlfn.REGEXTEST(C320, "Pause Duration"), "一時停止（ポーズ）の所要時間", _xlfn.REGEXTEST(C320, "Fsync Latency"), "Fsync（ディスク同期）のレイテンシ", _xlfn.REGEXTEST(C320, "Free Space Monitoring Absolute"), "空き容量（絶対値）", _xlfn.REGEXTEST(C320, "Free Space Monitoring Percentage"), "空き容量割合（%）", _xlfn.REGEXTEST(C320, "Age Monitoring"), "経過時間の監視", _xlfn.REGEXTEST(C320, "Transactions Monitoring"), "トランザクション数の監視", _xlfn.REGEXTEST(C320, "RPC Latency"), "RPC（遠隔手続き呼出し）のレイテンシ", _xlfn.REGEXTEST(C320, "Directory Failures"), "ディレクトリ障害数", _xlfn.REGEXTEST(C320, "Out-Of-Sync JournalNodes"), "同期ズレが発生しているJournalNode数", _xlfn.REGEXTEST(C320, "Safemode Threshold Percentage"), "セーフモード解除閾値の割合（%）", _xlfn.REGEXTEST(C320, "Kerberos Ticket Renewer Monitoring"), "Kerberosチケット更新プロセスの稼働状態監視", _xlfn.REGEXTEST(C320, "Load Balancer Monitoring"), "ロードバランサーの稼働状態監視", _xlfn.REGEXTEST(C320, "Navigator Audit Failure"), "Cloudera Navigator監査ログの失敗イベント", _xlfn.REGEXTEST(C320, "Schema Registry Server Monitoring"), "Schema Registry Serverの稼働状態監視", _xlfn.REGEXTEST(C320, "SRM Service Monitoring"), "SRMサービスの稼働状態監視", _xlfn.REGEXTEST(C320, "SRM Driver Monitoring"), "SRMドライバーの稼働状態監視", _xlfn.REGEXTEST(C320, "Loggin"), "ログ出力状態・設定監視", _xlfn.REGEXTEST(C320, "Server Monitoring"), "サーバーの稼働状態監視", _xlfn.REGEXTEST(C320, "Server Connection Count"), "サーバーの接続数（コネクション数）", _xlfn.REGEXTEST(C320, "Server Outstanding Requests"), "サーバーの未処理リクエスト数（滞留要求数）", _xlfn.REGEXTEST(C320, "Repository Status"), "リポジトリのステータス状態", _xlfn.REGEXTEST(C320, "Monitor Long Running Task"), "長時間実行タスク（ジョブ）の監視", _xlfn.REGEXTEST(C320, "Token requests per second"), "1秒あたりのトークンリクエスト数（要求レート）", _xlfn.REGEXTEST(C320, "Connection Model Score"), "接続モデルスコア（コネクション品質）", _xlfn.REGEXTEST(C320, "Queue swap"), "キューのスワップ発生状態", _xlfn.REGEXTEST(C320, "NiFi Node Monitoring"), "NiFiノードの稼働状態監視", _xlfn.REGEXTEST(C320, "Host Clock Offset"), "ホストのクロックオフセット（時刻同期のズレ）", _xlfn.REGEXTEST(C320, "Memory Overcommit Validation"), "メモリオーバーコミット設定の検証", _xlfn.REGEXTEST(C320, "Gateway Logging"), "ゲートウェイのログ出力設定", _xlfn.REGEXTEST(C320, "CPU Balance"), "CPU使用率の分散バランス状態", _xlfn.REGEXTEST(C320, "Disk Balance"), "ディスク使用量の分散バランス状態", _xlfn.REGEXTEST(C320, "Network Inbound Balance"), "ネットワークインバウンド（受信）の分散バランス状態", _xlfn.REGEXTEST(C320, "Network Outbound Balance"), "ネットワークアウトバウンド（送信）の分散バランス状態", _xlfn.REGEXTEST(C320, "Replica Count Balance"), "レプリカ数の分散バランス状態", _xlfn.REGEXTEST(C320, "Disk Capacity"), "ディスク総容量の限界・使用容量", _xlfn.REGEXTEST(C320, "CPU Capacity"), "CPU総処理能力の限界・使用量", _xlfn.REGEXTEST(C320, "Network Inbound Capacity"), "ネットワークインバウンド（受信）帯域の限界・使用量", _xlfn.REGEXTEST(C320, "Network Outbound Capacity"), "ネットワークアウトバウンド（送信）帯域の限界・使用量", _xlfn.REGEXTEST(C320, "Leader Replica Count Balance"), "リーダーレプリカ数の分散バランス状態", _xlfn.REGEXTEST(C320, "Host DNS Resolution Duration"), "ホストのDNS名前解決の所要時間", _xlfn.REGEXTEST(C320, "TLS Certificate Expiry"), "TLS証明書の有効期限切れ", _xlfn.REGEXTEST(C320, "Host Entropy"), "ホストのエントロピー（乱数生成能力）の不足", _xlfn.REGEXTEST(C320, "File Descriptor"), "プロセスのファイルディスクリプタ使用率", _xlfn.REGEXTEST(C320, "Unexpected Exits"), "プロセスの異常終了（予期せぬ停止）", _xlfn.REGEXTEST(C320, "Swap Memory Thresholds"), "プロセスのスワップメモリ使用量", _xlfn.REGEXTEST(C320, "Swap Memory Usage Rate"), "スワップメモリ使用量の変化率（増加速度）", _xlfn.REGEXTEST(C320, "Log Directory Free Space.*Absolute"), "ログディレクトリの空き容量（絶対値）", _xlfn.REGEXTEST(C320, "Log Directory Free Space.*Percentage"), "ログディレクトリの空き容量割合（%）", _xlfn.REGEXTEST(C320, "Heap Dump Directory Free Space.*Absolute"), "ヒープダンプディレクトリの空き容量（絶対値）", _xlfn.REGEXTEST(C320, "Heap Dump Directory Free Space.*Percentage"), "ヒープダンプディレクトリの空き容量割合（%）", _xlfn.REGEXTEST(C320, "Data Directory Free Space.*Absolute"), "データディレクトリの空き容量（絶対値）", _xlfn.REGEXTEST(C320, "Data Directory Free Space.*Percentage"), "データディレクトリの空き容量割合（%）", _xlfn.REGEXTEST(C320, "Transaction Log Directory Free Space.*Absolute"), "トランザクションログディレクトリの空き容量（絶対値）", _xlfn.REGEXTEST(C320, "Logging Threshold|Logger Threshold"), "ログ出力レベルの閾値設定", _xlfn.REGEXTEST(C320, "Enable.*Alerts"), "ヘルスアラートの有効化状態", _xlfn.REGEXTEST(C320, "Triggers"), "カスタムアラート条件（トリガー設定）", _xlfn.REGEXTEST(C320, "Healthy Kafka Broker"), "Kafka Brokerの健全ノード割合（稼働率）", _xlfn.REGEXTEST(C320, "Healthy Kafka Connect"), "Kafka Connectの健全ノード割合（稼働率）", _xlfn.REGEXTEST(C320, "Healthy KRaft Controller"), "KRaft Controllerの健全ノード割合（稼働率）", _xlfn.REGEXTEST(C320, "Healthy Knox IDBroker"), "Knox IDBrokerの健全ノード割合（稼働率）", _xlfn.REGEXTEST(C320, "Healthy Knox Gateway"), "Knox Gatewayの健全ノード割合（稼働率）", _xlfn.REGEXTEST(C320, "Healthy ZooKeeper Server"), "ZooKeeper Serverの健全ノード割合（稼働率）", _xlfn.REGEXTEST(C320, "Healthy NodeManager"), "NodeManagerの健全ノード割合（稼働率）", _xlfn.REGEXTEST(C320, "Maximum Latency"), "リクエストの最大レイテンシ（処理遅延）", _xlfn.REGEXTEST(C320, "Garbage Collection Duration"), "Javaのガベージコレクション（GC）の所要時間", _xlfn.REGEXTEST(C320, "Spool Directory Usage"), "Rangerプラグインのスプールディレクトリ使用量", _xlfn.REGEXTEST(C320, "Process Directory Free Space Monitoring Absolute"), "プロセスディレクトリの空き容量（絶対値)", _xlfn.REGEXTEST(C320, "Process Directory Free Space.*Percentage"), "プロセスディレクトリの空き容量割合（%）", _xlfn.REGEXTEST(C320, "Parcel Directory Free Space.*Absolute"), "パーセルディレクトリの空き容量（絶対値）", _xlfn.REGEXTEST(C320, "Parcel Directory Free Space.*Percentage"), "パーセルディレクトリの空き容量割合（%）", _xlfn.REGEXTEST(C320, "Host Network Frame Error Percentage"), "ホストのネットワークフレームエラー割合（%）", _xlfn.REGEXTEST(C320, "Network Interfaces Slow Link Modes"), "ホストのネットワークインターフェースの低速リンクモード検出", _xlfn.REGEXTEST(C320, "Host Memory Swapping"), "ホストのメモリのスワップ発生状態", TRUE, "要手動確認")</f>
        <v>一時ダンプディレクトリの監視</v>
      </c>
      <c r="H320" s="479" t="s">
        <v>692</v>
      </c>
    </row>
    <row r="321" spans="1:8" ht="33.6">
      <c r="A321" s="514"/>
      <c r="B321" s="473"/>
      <c r="C321" s="471" t="s">
        <v>1123</v>
      </c>
      <c r="D321" s="471" t="s">
        <v>1124</v>
      </c>
      <c r="E321" s="471" t="s">
        <v>1036</v>
      </c>
      <c r="F321" s="471"/>
      <c r="G321" s="471" t="str" cm="1">
        <f t="array" ref="G321">_xlfn.IFS(C321 = "", "", _xlfn.REGEXTEST(C321, "Service Metric Migrator Minimum Consecutive Successful Checks"), "サービスメトリック移行ツールの連続正常チェック最小回数", _xlfn.REGEXTEST(C321, "Rebalancing"), "リバランシング（データ再配置）状態", _xlfn.REGEXTEST(C321, "Temporary Dump Directory"), "一時ダンプディレクトリの監視", _xlfn.REGEXTEST(C321, "Safemode Extension"), "セーフモード延長状態", _xlfn.REGEXTEST(C321, "Client Idle"), "クライアントのアイドル（待機）状態", _xlfn.REGEXTEST(C321, "Available Space Policy Balanced"), "空き容量ポリシーの分散バランス状態", _xlfn.REGEXTEST(C321, "Filesystem Checkpoint Transaction"), "ファイルシステムのチェックポイントトランザクション", _xlfn.REGEXTEST(C321, "Blocks With Corrupt Replicas Monitoring"), "破損レプリカを持つブロックの監視", _xlfn.REGEXTEST(C321, "Missing Block Monitoring"), "消失（ミッシング）ブロックの監視", _xlfn.REGEXTEST(C321, "Under-replicated Block Monitoring"), "レプリカ数不足ブロックの監視", _xlfn.REGEXTEST(C321, "HDFS Free Space Monitoring"), "HDFSの空き容量監視", _xlfn.REGEXTEST(C321, "DataNode Monitoring"), "DataNodeの稼働状態監視", _xlfn.REGEXTEST(C321, "Rules to Extract Events from Log Files"), "ログファイルからのイベント抽出ルール設定", _xlfn.REGEXTEST(C321, "Free Space Monitoring$"), "空き容量監視（一般設定）", _xlfn.REGEXTEST(C321, "Transceivers Usage"), "トランシーバー使用量（データ転送スレッド数）", _xlfn.REGEXTEST(C321, "Volume Failures"), "ボリューム障害（ディスクエラー）数", _xlfn.REGEXTEST(C321, "Block Count"), "ブロック総数", _xlfn.REGEXTEST(C321, "Audit Failure"), "監査（オーディット）ログの失敗イベント", _xlfn.REGEXTEST(C321, "Web Metric Collection Duration"), "Webメトリック収集の所要時間", _xlfn.REGEXTEST(C321, "Pause Duration"), "一時停止（ポーズ）の所要時間", _xlfn.REGEXTEST(C321, "Fsync Latency"), "Fsync（ディスク同期）のレイテンシ", _xlfn.REGEXTEST(C321, "Free Space Monitoring Absolute"), "空き容量（絶対値）", _xlfn.REGEXTEST(C321, "Free Space Monitoring Percentage"), "空き容量割合（%）", _xlfn.REGEXTEST(C321, "Age Monitoring"), "経過時間の監視", _xlfn.REGEXTEST(C321, "Transactions Monitoring"), "トランザクション数の監視", _xlfn.REGEXTEST(C321, "RPC Latency"), "RPC（遠隔手続き呼出し）のレイテンシ", _xlfn.REGEXTEST(C321, "Directory Failures"), "ディレクトリ障害数", _xlfn.REGEXTEST(C321, "Out-Of-Sync JournalNodes"), "同期ズレが発生しているJournalNode数", _xlfn.REGEXTEST(C321, "Safemode Threshold Percentage"), "セーフモード解除閾値の割合（%）", _xlfn.REGEXTEST(C321, "Kerberos Ticket Renewer Monitoring"), "Kerberosチケット更新プロセスの稼働状態監視", _xlfn.REGEXTEST(C321, "Load Balancer Monitoring"), "ロードバランサーの稼働状態監視", _xlfn.REGEXTEST(C321, "Navigator Audit Failure"), "Cloudera Navigator監査ログの失敗イベント", _xlfn.REGEXTEST(C321, "Schema Registry Server Monitoring"), "Schema Registry Serverの稼働状態監視", _xlfn.REGEXTEST(C321, "SRM Service Monitoring"), "SRMサービスの稼働状態監視", _xlfn.REGEXTEST(C321, "SRM Driver Monitoring"), "SRMドライバーの稼働状態監視", _xlfn.REGEXTEST(C321, "Loggin"), "ログ出力状態・設定監視", _xlfn.REGEXTEST(C321, "Server Monitoring"), "サーバーの稼働状態監視", _xlfn.REGEXTEST(C321, "Server Connection Count"), "サーバーの接続数（コネクション数）", _xlfn.REGEXTEST(C321, "Server Outstanding Requests"), "サーバーの未処理リクエスト数（滞留要求数）", _xlfn.REGEXTEST(C321, "Repository Status"), "リポジトリのステータス状態", _xlfn.REGEXTEST(C321, "Monitor Long Running Task"), "長時間実行タスク（ジョブ）の監視", _xlfn.REGEXTEST(C321, "Token requests per second"), "1秒あたりのトークンリクエスト数（要求レート）", _xlfn.REGEXTEST(C321, "Connection Model Score"), "接続モデルスコア（コネクション品質）", _xlfn.REGEXTEST(C321, "Queue swap"), "キューのスワップ発生状態", _xlfn.REGEXTEST(C321, "NiFi Node Monitoring"), "NiFiノードの稼働状態監視", _xlfn.REGEXTEST(C321, "Host Clock Offset"), "ホストのクロックオフセット（時刻同期のズレ）", _xlfn.REGEXTEST(C321, "Memory Overcommit Validation"), "メモリオーバーコミット設定の検証", _xlfn.REGEXTEST(C321, "Gateway Logging"), "ゲートウェイのログ出力設定", _xlfn.REGEXTEST(C321, "CPU Balance"), "CPU使用率の分散バランス状態", _xlfn.REGEXTEST(C321, "Disk Balance"), "ディスク使用量の分散バランス状態", _xlfn.REGEXTEST(C321, "Network Inbound Balance"), "ネットワークインバウンド（受信）の分散バランス状態", _xlfn.REGEXTEST(C321, "Network Outbound Balance"), "ネットワークアウトバウンド（送信）の分散バランス状態", _xlfn.REGEXTEST(C321, "Replica Count Balance"), "レプリカ数の分散バランス状態", _xlfn.REGEXTEST(C321, "Disk Capacity"), "ディスク総容量の限界・使用容量", _xlfn.REGEXTEST(C321, "CPU Capacity"), "CPU総処理能力の限界・使用量", _xlfn.REGEXTEST(C321, "Network Inbound Capacity"), "ネットワークインバウンド（受信）帯域の限界・使用量", _xlfn.REGEXTEST(C321, "Network Outbound Capacity"), "ネットワークアウトバウンド（送信）帯域の限界・使用量", _xlfn.REGEXTEST(C321, "Leader Replica Count Balance"), "リーダーレプリカ数の分散バランス状態", _xlfn.REGEXTEST(C321, "Host DNS Resolution Duration"), "ホストのDNS名前解決の所要時間", _xlfn.REGEXTEST(C321, "TLS Certificate Expiry"), "TLS証明書の有効期限切れ", _xlfn.REGEXTEST(C321, "Host Entropy"), "ホストのエントロピー（乱数生成能力）の不足", _xlfn.REGEXTEST(C321, "File Descriptor"), "プロセスのファイルディスクリプタ使用率", _xlfn.REGEXTEST(C321, "Unexpected Exits"), "プロセスの異常終了（予期せぬ停止）", _xlfn.REGEXTEST(C321, "Swap Memory Thresholds"), "プロセスのスワップメモリ使用量", _xlfn.REGEXTEST(C321, "Swap Memory Usage Rate"), "スワップメモリ使用量の変化率（増加速度）", _xlfn.REGEXTEST(C321, "Log Directory Free Space.*Absolute"), "ログディレクトリの空き容量（絶対値）", _xlfn.REGEXTEST(C321, "Log Directory Free Space.*Percentage"), "ログディレクトリの空き容量割合（%）", _xlfn.REGEXTEST(C321, "Heap Dump Directory Free Space.*Absolute"), "ヒープダンプディレクトリの空き容量（絶対値）", _xlfn.REGEXTEST(C321, "Heap Dump Directory Free Space.*Percentage"), "ヒープダンプディレクトリの空き容量割合（%）", _xlfn.REGEXTEST(C321, "Data Directory Free Space.*Absolute"), "データディレクトリの空き容量（絶対値）", _xlfn.REGEXTEST(C321, "Data Directory Free Space.*Percentage"), "データディレクトリの空き容量割合（%）", _xlfn.REGEXTEST(C321, "Transaction Log Directory Free Space.*Absolute"), "トランザクションログディレクトリの空き容量（絶対値）", _xlfn.REGEXTEST(C321, "Logging Threshold|Logger Threshold"), "ログ出力レベルの閾値設定", _xlfn.REGEXTEST(C321, "Enable.*Alerts"), "ヘルスアラートの有効化状態", _xlfn.REGEXTEST(C321, "Triggers"), "カスタムアラート条件（トリガー設定）", _xlfn.REGEXTEST(C321, "Healthy Kafka Broker"), "Kafka Brokerの健全ノード割合（稼働率）", _xlfn.REGEXTEST(C321, "Healthy Kafka Connect"), "Kafka Connectの健全ノード割合（稼働率）", _xlfn.REGEXTEST(C321, "Healthy KRaft Controller"), "KRaft Controllerの健全ノード割合（稼働率）", _xlfn.REGEXTEST(C321, "Healthy Knox IDBroker"), "Knox IDBrokerの健全ノード割合（稼働率）", _xlfn.REGEXTEST(C321, "Healthy Knox Gateway"), "Knox Gatewayの健全ノード割合（稼働率）", _xlfn.REGEXTEST(C321, "Healthy ZooKeeper Server"), "ZooKeeper Serverの健全ノード割合（稼働率）", _xlfn.REGEXTEST(C321, "Healthy NodeManager"), "NodeManagerの健全ノード割合（稼働率）", _xlfn.REGEXTEST(C321, "Maximum Latency"), "リクエストの最大レイテンシ（処理遅延）", _xlfn.REGEXTEST(C321, "Garbage Collection Duration"), "Javaのガベージコレクション（GC）の所要時間", _xlfn.REGEXTEST(C321, "Spool Directory Usage"), "Rangerプラグインのスプールディレクトリ使用量", _xlfn.REGEXTEST(C321, "Process Directory Free Space Monitoring Absolute"), "プロセスディレクトリの空き容量（絶対値)", _xlfn.REGEXTEST(C321, "Process Directory Free Space.*Percentage"), "プロセスディレクトリの空き容量割合（%）", _xlfn.REGEXTEST(C321, "Parcel Directory Free Space.*Absolute"), "パーセルディレクトリの空き容量（絶対値）", _xlfn.REGEXTEST(C321, "Parcel Directory Free Space.*Percentage"), "パーセルディレクトリの空き容量割合（%）", _xlfn.REGEXTEST(C321, "Host Network Frame Error Percentage"), "ホストのネットワークフレームエラー割合（%）", _xlfn.REGEXTEST(C321, "Network Interfaces Slow Link Modes"), "ホストのネットワークインターフェースの低速リンクモード検出", _xlfn.REGEXTEST(C321, "Host Memory Swapping"), "ホストのメモリのスワップ発生状態", TRUE, "要手動確認")</f>
        <v>一時ダンプディレクトリの監視</v>
      </c>
      <c r="H321" s="479" t="s">
        <v>689</v>
      </c>
    </row>
    <row r="322" spans="1:8" ht="33.6">
      <c r="A322" s="514"/>
      <c r="B322" s="473"/>
      <c r="C322" s="471" t="s">
        <v>1125</v>
      </c>
      <c r="D322" s="471" t="s">
        <v>1126</v>
      </c>
      <c r="E322" s="471" t="s">
        <v>1036</v>
      </c>
      <c r="F322" s="471"/>
      <c r="G322" s="471" t="str" cm="1">
        <f t="array" ref="G322">_xlfn.IFS(C322 = "", "", _xlfn.REGEXTEST(C322, "Service Metric Migrator Minimum Consecutive Successful Checks"), "サービスメトリック移行ツールの連続正常チェック最小回数", _xlfn.REGEXTEST(C322, "Rebalancing"), "リバランシング（データ再配置）状態", _xlfn.REGEXTEST(C322, "Temporary Dump Directory"), "一時ダンプディレクトリの監視", _xlfn.REGEXTEST(C322, "Safemode Extension"), "セーフモード延長状態", _xlfn.REGEXTEST(C322, "Client Idle"), "クライアントのアイドル（待機）状態", _xlfn.REGEXTEST(C322, "Available Space Policy Balanced"), "空き容量ポリシーの分散バランス状態", _xlfn.REGEXTEST(C322, "Filesystem Checkpoint Transaction"), "ファイルシステムのチェックポイントトランザクション", _xlfn.REGEXTEST(C322, "Blocks With Corrupt Replicas Monitoring"), "破損レプリカを持つブロックの監視", _xlfn.REGEXTEST(C322, "Missing Block Monitoring"), "消失（ミッシング）ブロックの監視", _xlfn.REGEXTEST(C322, "Under-replicated Block Monitoring"), "レプリカ数不足ブロックの監視", _xlfn.REGEXTEST(C322, "HDFS Free Space Monitoring"), "HDFSの空き容量監視", _xlfn.REGEXTEST(C322, "DataNode Monitoring"), "DataNodeの稼働状態監視", _xlfn.REGEXTEST(C322, "Rules to Extract Events from Log Files"), "ログファイルからのイベント抽出ルール設定", _xlfn.REGEXTEST(C322, "Free Space Monitoring$"), "空き容量監視（一般設定）", _xlfn.REGEXTEST(C322, "Transceivers Usage"), "トランシーバー使用量（データ転送スレッド数）", _xlfn.REGEXTEST(C322, "Volume Failures"), "ボリューム障害（ディスクエラー）数", _xlfn.REGEXTEST(C322, "Block Count"), "ブロック総数", _xlfn.REGEXTEST(C322, "Audit Failure"), "監査（オーディット）ログの失敗イベント", _xlfn.REGEXTEST(C322, "Web Metric Collection Duration"), "Webメトリック収集の所要時間", _xlfn.REGEXTEST(C322, "Pause Duration"), "一時停止（ポーズ）の所要時間", _xlfn.REGEXTEST(C322, "Fsync Latency"), "Fsync（ディスク同期）のレイテンシ", _xlfn.REGEXTEST(C322, "Free Space Monitoring Absolute"), "空き容量（絶対値）", _xlfn.REGEXTEST(C322, "Free Space Monitoring Percentage"), "空き容量割合（%）", _xlfn.REGEXTEST(C322, "Age Monitoring"), "経過時間の監視", _xlfn.REGEXTEST(C322, "Transactions Monitoring"), "トランザクション数の監視", _xlfn.REGEXTEST(C322, "RPC Latency"), "RPC（遠隔手続き呼出し）のレイテンシ", _xlfn.REGEXTEST(C322, "Directory Failures"), "ディレクトリ障害数", _xlfn.REGEXTEST(C322, "Out-Of-Sync JournalNodes"), "同期ズレが発生しているJournalNode数", _xlfn.REGEXTEST(C322, "Safemode Threshold Percentage"), "セーフモード解除閾値の割合（%）", _xlfn.REGEXTEST(C322, "Kerberos Ticket Renewer Monitoring"), "Kerberosチケット更新プロセスの稼働状態監視", _xlfn.REGEXTEST(C322, "Load Balancer Monitoring"), "ロードバランサーの稼働状態監視", _xlfn.REGEXTEST(C322, "Navigator Audit Failure"), "Cloudera Navigator監査ログの失敗イベント", _xlfn.REGEXTEST(C322, "Schema Registry Server Monitoring"), "Schema Registry Serverの稼働状態監視", _xlfn.REGEXTEST(C322, "SRM Service Monitoring"), "SRMサービスの稼働状態監視", _xlfn.REGEXTEST(C322, "SRM Driver Monitoring"), "SRMドライバーの稼働状態監視", _xlfn.REGEXTEST(C322, "Loggin"), "ログ出力状態・設定監視", _xlfn.REGEXTEST(C322, "Server Monitoring"), "サーバーの稼働状態監視", _xlfn.REGEXTEST(C322, "Server Connection Count"), "サーバーの接続数（コネクション数）", _xlfn.REGEXTEST(C322, "Server Outstanding Requests"), "サーバーの未処理リクエスト数（滞留要求数）", _xlfn.REGEXTEST(C322, "Repository Status"), "リポジトリのステータス状態", _xlfn.REGEXTEST(C322, "Monitor Long Running Task"), "長時間実行タスク（ジョブ）の監視", _xlfn.REGEXTEST(C322, "Token requests per second"), "1秒あたりのトークンリクエスト数（要求レート）", _xlfn.REGEXTEST(C322, "Connection Model Score"), "接続モデルスコア（コネクション品質）", _xlfn.REGEXTEST(C322, "Queue swap"), "キューのスワップ発生状態", _xlfn.REGEXTEST(C322, "NiFi Node Monitoring"), "NiFiノードの稼働状態監視", _xlfn.REGEXTEST(C322, "Host Clock Offset"), "ホストのクロックオフセット（時刻同期のズレ）", _xlfn.REGEXTEST(C322, "Memory Overcommit Validation"), "メモリオーバーコミット設定の検証", _xlfn.REGEXTEST(C322, "Gateway Logging"), "ゲートウェイのログ出力設定", _xlfn.REGEXTEST(C322, "CPU Balance"), "CPU使用率の分散バランス状態", _xlfn.REGEXTEST(C322, "Disk Balance"), "ディスク使用量の分散バランス状態", _xlfn.REGEXTEST(C322, "Network Inbound Balance"), "ネットワークインバウンド（受信）の分散バランス状態", _xlfn.REGEXTEST(C322, "Network Outbound Balance"), "ネットワークアウトバウンド（送信）の分散バランス状態", _xlfn.REGEXTEST(C322, "Replica Count Balance"), "レプリカ数の分散バランス状態", _xlfn.REGEXTEST(C322, "Disk Capacity"), "ディスク総容量の限界・使用容量", _xlfn.REGEXTEST(C322, "CPU Capacity"), "CPU総処理能力の限界・使用量", _xlfn.REGEXTEST(C322, "Network Inbound Capacity"), "ネットワークインバウンド（受信）帯域の限界・使用量", _xlfn.REGEXTEST(C322, "Network Outbound Capacity"), "ネットワークアウトバウンド（送信）帯域の限界・使用量", _xlfn.REGEXTEST(C322, "Leader Replica Count Balance"), "リーダーレプリカ数の分散バランス状態", _xlfn.REGEXTEST(C322, "Host DNS Resolution Duration"), "ホストのDNS名前解決の所要時間", _xlfn.REGEXTEST(C322, "TLS Certificate Expiry"), "TLS証明書の有効期限切れ", _xlfn.REGEXTEST(C322, "Host Entropy"), "ホストのエントロピー（乱数生成能力）の不足", _xlfn.REGEXTEST(C322, "File Descriptor"), "プロセスのファイルディスクリプタ使用率", _xlfn.REGEXTEST(C322, "Unexpected Exits"), "プロセスの異常終了（予期せぬ停止）", _xlfn.REGEXTEST(C322, "Swap Memory Thresholds"), "プロセスのスワップメモリ使用量", _xlfn.REGEXTEST(C322, "Swap Memory Usage Rate"), "スワップメモリ使用量の変化率（増加速度）", _xlfn.REGEXTEST(C322, "Log Directory Free Space.*Absolute"), "ログディレクトリの空き容量（絶対値）", _xlfn.REGEXTEST(C322, "Log Directory Free Space.*Percentage"), "ログディレクトリの空き容量割合（%）", _xlfn.REGEXTEST(C322, "Heap Dump Directory Free Space.*Absolute"), "ヒープダンプディレクトリの空き容量（絶対値）", _xlfn.REGEXTEST(C322, "Heap Dump Directory Free Space.*Percentage"), "ヒープダンプディレクトリの空き容量割合（%）", _xlfn.REGEXTEST(C322, "Data Directory Free Space.*Absolute"), "データディレクトリの空き容量（絶対値）", _xlfn.REGEXTEST(C322, "Data Directory Free Space.*Percentage"), "データディレクトリの空き容量割合（%）", _xlfn.REGEXTEST(C322, "Transaction Log Directory Free Space.*Absolute"), "トランザクションログディレクトリの空き容量（絶対値）", _xlfn.REGEXTEST(C322, "Logging Threshold|Logger Threshold"), "ログ出力レベルの閾値設定", _xlfn.REGEXTEST(C322, "Enable.*Alerts"), "ヘルスアラートの有効化状態", _xlfn.REGEXTEST(C322, "Triggers"), "カスタムアラート条件（トリガー設定）", _xlfn.REGEXTEST(C322, "Healthy Kafka Broker"), "Kafka Brokerの健全ノード割合（稼働率）", _xlfn.REGEXTEST(C322, "Healthy Kafka Connect"), "Kafka Connectの健全ノード割合（稼働率）", _xlfn.REGEXTEST(C322, "Healthy KRaft Controller"), "KRaft Controllerの健全ノード割合（稼働率）", _xlfn.REGEXTEST(C322, "Healthy Knox IDBroker"), "Knox IDBrokerの健全ノード割合（稼働率）", _xlfn.REGEXTEST(C322, "Healthy Knox Gateway"), "Knox Gatewayの健全ノード割合（稼働率）", _xlfn.REGEXTEST(C322, "Healthy ZooKeeper Server"), "ZooKeeper Serverの健全ノード割合（稼働率）", _xlfn.REGEXTEST(C322, "Healthy NodeManager"), "NodeManagerの健全ノード割合（稼働率）", _xlfn.REGEXTEST(C322, "Maximum Latency"), "リクエストの最大レイテンシ（処理遅延）", _xlfn.REGEXTEST(C322, "Garbage Collection Duration"), "Javaのガベージコレクション（GC）の所要時間", _xlfn.REGEXTEST(C322, "Spool Directory Usage"), "Rangerプラグインのスプールディレクトリ使用量", _xlfn.REGEXTEST(C322, "Process Directory Free Space Monitoring Absolute"), "プロセスディレクトリの空き容量（絶対値)", _xlfn.REGEXTEST(C322, "Process Directory Free Space.*Percentage"), "プロセスディレクトリの空き容量割合（%）", _xlfn.REGEXTEST(C322, "Parcel Directory Free Space.*Absolute"), "パーセルディレクトリの空き容量（絶対値）", _xlfn.REGEXTEST(C322, "Parcel Directory Free Space.*Percentage"), "パーセルディレクトリの空き容量割合（%）", _xlfn.REGEXTEST(C322, "Host Network Frame Error Percentage"), "ホストのネットワークフレームエラー割合（%）", _xlfn.REGEXTEST(C322, "Network Interfaces Slow Link Modes"), "ホストのネットワークインターフェースの低速リンクモード検出", _xlfn.REGEXTEST(C322, "Host Memory Swapping"), "ホストのメモリのスワップ発生状態", TRUE, "要手動確認")</f>
        <v>経過時間の監視</v>
      </c>
      <c r="H322" s="479" t="s">
        <v>1127</v>
      </c>
    </row>
    <row r="323" spans="1:8" ht="33.6">
      <c r="A323" s="514"/>
      <c r="B323" s="473"/>
      <c r="C323" s="471" t="s">
        <v>1128</v>
      </c>
      <c r="D323" s="471" t="s">
        <v>1129</v>
      </c>
      <c r="E323" s="471" t="s">
        <v>1040</v>
      </c>
      <c r="F323" s="471"/>
      <c r="G323" s="471" t="str" cm="1">
        <f t="array" ref="G323">_xlfn.IFS(C323 = "", "", _xlfn.REGEXTEST(C323, "Service Metric Migrator Minimum Consecutive Successful Checks"), "サービスメトリック移行ツールの連続正常チェック最小回数", _xlfn.REGEXTEST(C323, "Rebalancing"), "リバランシング（データ再配置）状態", _xlfn.REGEXTEST(C323, "Temporary Dump Directory"), "一時ダンプディレクトリの監視", _xlfn.REGEXTEST(C323, "Safemode Extension"), "セーフモード延長状態", _xlfn.REGEXTEST(C323, "Client Idle"), "クライアントのアイドル（待機）状態", _xlfn.REGEXTEST(C323, "Available Space Policy Balanced"), "空き容量ポリシーの分散バランス状態", _xlfn.REGEXTEST(C323, "Filesystem Checkpoint Transaction"), "ファイルシステムのチェックポイントトランザクション", _xlfn.REGEXTEST(C323, "Blocks With Corrupt Replicas Monitoring"), "破損レプリカを持つブロックの監視", _xlfn.REGEXTEST(C323, "Missing Block Monitoring"), "消失（ミッシング）ブロックの監視", _xlfn.REGEXTEST(C323, "Under-replicated Block Monitoring"), "レプリカ数不足ブロックの監視", _xlfn.REGEXTEST(C323, "HDFS Free Space Monitoring"), "HDFSの空き容量監視", _xlfn.REGEXTEST(C323, "DataNode Monitoring"), "DataNodeの稼働状態監視", _xlfn.REGEXTEST(C323, "Rules to Extract Events from Log Files"), "ログファイルからのイベント抽出ルール設定", _xlfn.REGEXTEST(C323, "Free Space Monitoring$"), "空き容量監視（一般設定）", _xlfn.REGEXTEST(C323, "Transceivers Usage"), "トランシーバー使用量（データ転送スレッド数）", _xlfn.REGEXTEST(C323, "Volume Failures"), "ボリューム障害（ディスクエラー）数", _xlfn.REGEXTEST(C323, "Block Count"), "ブロック総数", _xlfn.REGEXTEST(C323, "Audit Failure"), "監査（オーディット）ログの失敗イベント", _xlfn.REGEXTEST(C323, "Web Metric Collection Duration"), "Webメトリック収集の所要時間", _xlfn.REGEXTEST(C323, "Pause Duration"), "一時停止（ポーズ）の所要時間", _xlfn.REGEXTEST(C323, "Fsync Latency"), "Fsync（ディスク同期）のレイテンシ", _xlfn.REGEXTEST(C323, "Free Space Monitoring Absolute"), "空き容量（絶対値）", _xlfn.REGEXTEST(C323, "Free Space Monitoring Percentage"), "空き容量割合（%）", _xlfn.REGEXTEST(C323, "Age Monitoring"), "経過時間の監視", _xlfn.REGEXTEST(C323, "Transactions Monitoring"), "トランザクション数の監視", _xlfn.REGEXTEST(C323, "RPC Latency"), "RPC（遠隔手続き呼出し）のレイテンシ", _xlfn.REGEXTEST(C323, "Directory Failures"), "ディレクトリ障害数", _xlfn.REGEXTEST(C323, "Out-Of-Sync JournalNodes"), "同期ズレが発生しているJournalNode数", _xlfn.REGEXTEST(C323, "Safemode Threshold Percentage"), "セーフモード解除閾値の割合（%）", _xlfn.REGEXTEST(C323, "Kerberos Ticket Renewer Monitoring"), "Kerberosチケット更新プロセスの稼働状態監視", _xlfn.REGEXTEST(C323, "Load Balancer Monitoring"), "ロードバランサーの稼働状態監視", _xlfn.REGEXTEST(C323, "Navigator Audit Failure"), "Cloudera Navigator監査ログの失敗イベント", _xlfn.REGEXTEST(C323, "Schema Registry Server Monitoring"), "Schema Registry Serverの稼働状態監視", _xlfn.REGEXTEST(C323, "SRM Service Monitoring"), "SRMサービスの稼働状態監視", _xlfn.REGEXTEST(C323, "SRM Driver Monitoring"), "SRMドライバーの稼働状態監視", _xlfn.REGEXTEST(C323, "Loggin"), "ログ出力状態・設定監視", _xlfn.REGEXTEST(C323, "Server Monitoring"), "サーバーの稼働状態監視", _xlfn.REGEXTEST(C323, "Server Connection Count"), "サーバーの接続数（コネクション数）", _xlfn.REGEXTEST(C323, "Server Outstanding Requests"), "サーバーの未処理リクエスト数（滞留要求数）", _xlfn.REGEXTEST(C323, "Repository Status"), "リポジトリのステータス状態", _xlfn.REGEXTEST(C323, "Monitor Long Running Task"), "長時間実行タスク（ジョブ）の監視", _xlfn.REGEXTEST(C323, "Token requests per second"), "1秒あたりのトークンリクエスト数（要求レート）", _xlfn.REGEXTEST(C323, "Connection Model Score"), "接続モデルスコア（コネクション品質）", _xlfn.REGEXTEST(C323, "Queue swap"), "キューのスワップ発生状態", _xlfn.REGEXTEST(C323, "NiFi Node Monitoring"), "NiFiノードの稼働状態監視", _xlfn.REGEXTEST(C323, "Host Clock Offset"), "ホストのクロックオフセット（時刻同期のズレ）", _xlfn.REGEXTEST(C323, "Memory Overcommit Validation"), "メモリオーバーコミット設定の検証", _xlfn.REGEXTEST(C323, "Gateway Logging"), "ゲートウェイのログ出力設定", _xlfn.REGEXTEST(C323, "CPU Balance"), "CPU使用率の分散バランス状態", _xlfn.REGEXTEST(C323, "Disk Balance"), "ディスク使用量の分散バランス状態", _xlfn.REGEXTEST(C323, "Network Inbound Balance"), "ネットワークインバウンド（受信）の分散バランス状態", _xlfn.REGEXTEST(C323, "Network Outbound Balance"), "ネットワークアウトバウンド（送信）の分散バランス状態", _xlfn.REGEXTEST(C323, "Replica Count Balance"), "レプリカ数の分散バランス状態", _xlfn.REGEXTEST(C323, "Disk Capacity"), "ディスク総容量の限界・使用容量", _xlfn.REGEXTEST(C323, "CPU Capacity"), "CPU総処理能力の限界・使用量", _xlfn.REGEXTEST(C323, "Network Inbound Capacity"), "ネットワークインバウンド（受信）帯域の限界・使用量", _xlfn.REGEXTEST(C323, "Network Outbound Capacity"), "ネットワークアウトバウンド（送信）帯域の限界・使用量", _xlfn.REGEXTEST(C323, "Leader Replica Count Balance"), "リーダーレプリカ数の分散バランス状態", _xlfn.REGEXTEST(C323, "Host DNS Resolution Duration"), "ホストのDNS名前解決の所要時間", _xlfn.REGEXTEST(C323, "TLS Certificate Expiry"), "TLS証明書の有効期限切れ", _xlfn.REGEXTEST(C323, "Host Entropy"), "ホストのエントロピー（乱数生成能力）の不足", _xlfn.REGEXTEST(C323, "File Descriptor"), "プロセスのファイルディスクリプタ使用率", _xlfn.REGEXTEST(C323, "Unexpected Exits"), "プロセスの異常終了（予期せぬ停止）", _xlfn.REGEXTEST(C323, "Swap Memory Thresholds"), "プロセスのスワップメモリ使用量", _xlfn.REGEXTEST(C323, "Swap Memory Usage Rate"), "スワップメモリ使用量の変化率（増加速度）", _xlfn.REGEXTEST(C323, "Log Directory Free Space.*Absolute"), "ログディレクトリの空き容量（絶対値）", _xlfn.REGEXTEST(C323, "Log Directory Free Space.*Percentage"), "ログディレクトリの空き容量割合（%）", _xlfn.REGEXTEST(C323, "Heap Dump Directory Free Space.*Absolute"), "ヒープダンプディレクトリの空き容量（絶対値）", _xlfn.REGEXTEST(C323, "Heap Dump Directory Free Space.*Percentage"), "ヒープダンプディレクトリの空き容量割合（%）", _xlfn.REGEXTEST(C323, "Data Directory Free Space.*Absolute"), "データディレクトリの空き容量（絶対値）", _xlfn.REGEXTEST(C323, "Data Directory Free Space.*Percentage"), "データディレクトリの空き容量割合（%）", _xlfn.REGEXTEST(C323, "Transaction Log Directory Free Space.*Absolute"), "トランザクションログディレクトリの空き容量（絶対値）", _xlfn.REGEXTEST(C323, "Logging Threshold|Logger Threshold"), "ログ出力レベルの閾値設定", _xlfn.REGEXTEST(C323, "Enable.*Alerts"), "ヘルスアラートの有効化状態", _xlfn.REGEXTEST(C323, "Triggers"), "カスタムアラート条件（トリガー設定）", _xlfn.REGEXTEST(C323, "Healthy Kafka Broker"), "Kafka Brokerの健全ノード割合（稼働率）", _xlfn.REGEXTEST(C323, "Healthy Kafka Connect"), "Kafka Connectの健全ノード割合（稼働率）", _xlfn.REGEXTEST(C323, "Healthy KRaft Controller"), "KRaft Controllerの健全ノード割合（稼働率）", _xlfn.REGEXTEST(C323, "Healthy Knox IDBroker"), "Knox IDBrokerの健全ノード割合（稼働率）", _xlfn.REGEXTEST(C323, "Healthy Knox Gateway"), "Knox Gatewayの健全ノード割合（稼働率）", _xlfn.REGEXTEST(C323, "Healthy ZooKeeper Server"), "ZooKeeper Serverの健全ノード割合（稼働率）", _xlfn.REGEXTEST(C323, "Healthy NodeManager"), "NodeManagerの健全ノード割合（稼働率）", _xlfn.REGEXTEST(C323, "Maximum Latency"), "リクエストの最大レイテンシ（処理遅延）", _xlfn.REGEXTEST(C323, "Garbage Collection Duration"), "Javaのガベージコレクション（GC）の所要時間", _xlfn.REGEXTEST(C323, "Spool Directory Usage"), "Rangerプラグインのスプールディレクトリ使用量", _xlfn.REGEXTEST(C323, "Process Directory Free Space Monitoring Absolute"), "プロセスディレクトリの空き容量（絶対値)", _xlfn.REGEXTEST(C323, "Process Directory Free Space.*Percentage"), "プロセスディレクトリの空き容量割合（%）", _xlfn.REGEXTEST(C323, "Parcel Directory Free Space.*Absolute"), "パーセルディレクトリの空き容量（絶対値）", _xlfn.REGEXTEST(C323, "Parcel Directory Free Space.*Percentage"), "パーセルディレクトリの空き容量割合（%）", _xlfn.REGEXTEST(C323, "Host Network Frame Error Percentage"), "ホストのネットワークフレームエラー割合（%）", _xlfn.REGEXTEST(C323, "Network Interfaces Slow Link Modes"), "ホストのネットワークインターフェースの低速リンクモード検出", _xlfn.REGEXTEST(C323, "Host Memory Swapping"), "ホストのメモリのスワップ発生状態", TRUE, "要手動確認")</f>
        <v>ファイルシステムのチェックポイントトランザクション</v>
      </c>
      <c r="H323" s="479" t="s">
        <v>1127</v>
      </c>
    </row>
    <row r="324" spans="1:8" ht="33.6">
      <c r="A324" s="514"/>
      <c r="B324" s="473"/>
      <c r="C324" s="471" t="s">
        <v>1130</v>
      </c>
      <c r="D324" s="471" t="s">
        <v>1131</v>
      </c>
      <c r="E324" s="471" t="s">
        <v>1040</v>
      </c>
      <c r="F324" s="471"/>
      <c r="G324" s="471" t="str" cm="1">
        <f t="array" ref="G324">_xlfn.IFS(C324 = "", "", _xlfn.REGEXTEST(C324, "Service Metric Migrator Minimum Consecutive Successful Checks"), "サービスメトリック移行ツールの連続正常チェック最小回数", _xlfn.REGEXTEST(C324, "Rebalancing"), "リバランシング（データ再配置）状態", _xlfn.REGEXTEST(C324, "Temporary Dump Directory"), "一時ダンプディレクトリの監視", _xlfn.REGEXTEST(C324, "Safemode Extension"), "セーフモード延長状態", _xlfn.REGEXTEST(C324, "Client Idle"), "クライアントのアイドル（待機）状態", _xlfn.REGEXTEST(C324, "Available Space Policy Balanced"), "空き容量ポリシーの分散バランス状態", _xlfn.REGEXTEST(C324, "Filesystem Checkpoint Transaction"), "ファイルシステムのチェックポイントトランザクション", _xlfn.REGEXTEST(C324, "Blocks With Corrupt Replicas Monitoring"), "破損レプリカを持つブロックの監視", _xlfn.REGEXTEST(C324, "Missing Block Monitoring"), "消失（ミッシング）ブロックの監視", _xlfn.REGEXTEST(C324, "Under-replicated Block Monitoring"), "レプリカ数不足ブロックの監視", _xlfn.REGEXTEST(C324, "HDFS Free Space Monitoring"), "HDFSの空き容量監視", _xlfn.REGEXTEST(C324, "DataNode Monitoring"), "DataNodeの稼働状態監視", _xlfn.REGEXTEST(C324, "Rules to Extract Events from Log Files"), "ログファイルからのイベント抽出ルール設定", _xlfn.REGEXTEST(C324, "Free Space Monitoring$"), "空き容量監視（一般設定）", _xlfn.REGEXTEST(C324, "Transceivers Usage"), "トランシーバー使用量（データ転送スレッド数）", _xlfn.REGEXTEST(C324, "Volume Failures"), "ボリューム障害（ディスクエラー）数", _xlfn.REGEXTEST(C324, "Block Count"), "ブロック総数", _xlfn.REGEXTEST(C324, "Audit Failure"), "監査（オーディット）ログの失敗イベント", _xlfn.REGEXTEST(C324, "Web Metric Collection Duration"), "Webメトリック収集の所要時間", _xlfn.REGEXTEST(C324, "Pause Duration"), "一時停止（ポーズ）の所要時間", _xlfn.REGEXTEST(C324, "Fsync Latency"), "Fsync（ディスク同期）のレイテンシ", _xlfn.REGEXTEST(C324, "Free Space Monitoring Absolute"), "空き容量（絶対値）", _xlfn.REGEXTEST(C324, "Free Space Monitoring Percentage"), "空き容量割合（%）", _xlfn.REGEXTEST(C324, "Age Monitoring"), "経過時間の監視", _xlfn.REGEXTEST(C324, "Transactions Monitoring"), "トランザクション数の監視", _xlfn.REGEXTEST(C324, "RPC Latency"), "RPC（遠隔手続き呼出し）のレイテンシ", _xlfn.REGEXTEST(C324, "Directory Failures"), "ディレクトリ障害数", _xlfn.REGEXTEST(C324, "Out-Of-Sync JournalNodes"), "同期ズレが発生しているJournalNode数", _xlfn.REGEXTEST(C324, "Safemode Threshold Percentage"), "セーフモード解除閾値の割合（%）", _xlfn.REGEXTEST(C324, "Kerberos Ticket Renewer Monitoring"), "Kerberosチケット更新プロセスの稼働状態監視", _xlfn.REGEXTEST(C324, "Load Balancer Monitoring"), "ロードバランサーの稼働状態監視", _xlfn.REGEXTEST(C324, "Navigator Audit Failure"), "Cloudera Navigator監査ログの失敗イベント", _xlfn.REGEXTEST(C324, "Schema Registry Server Monitoring"), "Schema Registry Serverの稼働状態監視", _xlfn.REGEXTEST(C324, "SRM Service Monitoring"), "SRMサービスの稼働状態監視", _xlfn.REGEXTEST(C324, "SRM Driver Monitoring"), "SRMドライバーの稼働状態監視", _xlfn.REGEXTEST(C324, "Loggin"), "ログ出力状態・設定監視", _xlfn.REGEXTEST(C324, "Server Monitoring"), "サーバーの稼働状態監視", _xlfn.REGEXTEST(C324, "Server Connection Count"), "サーバーの接続数（コネクション数）", _xlfn.REGEXTEST(C324, "Server Outstanding Requests"), "サーバーの未処理リクエスト数（滞留要求数）", _xlfn.REGEXTEST(C324, "Repository Status"), "リポジトリのステータス状態", _xlfn.REGEXTEST(C324, "Monitor Long Running Task"), "長時間実行タスク（ジョブ）の監視", _xlfn.REGEXTEST(C324, "Token requests per second"), "1秒あたりのトークンリクエスト数（要求レート）", _xlfn.REGEXTEST(C324, "Connection Model Score"), "接続モデルスコア（コネクション品質）", _xlfn.REGEXTEST(C324, "Queue swap"), "キューのスワップ発生状態", _xlfn.REGEXTEST(C324, "NiFi Node Monitoring"), "NiFiノードの稼働状態監視", _xlfn.REGEXTEST(C324, "Host Clock Offset"), "ホストのクロックオフセット（時刻同期のズレ）", _xlfn.REGEXTEST(C324, "Memory Overcommit Validation"), "メモリオーバーコミット設定の検証", _xlfn.REGEXTEST(C324, "Gateway Logging"), "ゲートウェイのログ出力設定", _xlfn.REGEXTEST(C324, "CPU Balance"), "CPU使用率の分散バランス状態", _xlfn.REGEXTEST(C324, "Disk Balance"), "ディスク使用量の分散バランス状態", _xlfn.REGEXTEST(C324, "Network Inbound Balance"), "ネットワークインバウンド（受信）の分散バランス状態", _xlfn.REGEXTEST(C324, "Network Outbound Balance"), "ネットワークアウトバウンド（送信）の分散バランス状態", _xlfn.REGEXTEST(C324, "Replica Count Balance"), "レプリカ数の分散バランス状態", _xlfn.REGEXTEST(C324, "Disk Capacity"), "ディスク総容量の限界・使用容量", _xlfn.REGEXTEST(C324, "CPU Capacity"), "CPU総処理能力の限界・使用量", _xlfn.REGEXTEST(C324, "Network Inbound Capacity"), "ネットワークインバウンド（受信）帯域の限界・使用量", _xlfn.REGEXTEST(C324, "Network Outbound Capacity"), "ネットワークアウトバウンド（送信）帯域の限界・使用量", _xlfn.REGEXTEST(C324, "Leader Replica Count Balance"), "リーダーレプリカ数の分散バランス状態", _xlfn.REGEXTEST(C324, "Host DNS Resolution Duration"), "ホストのDNS名前解決の所要時間", _xlfn.REGEXTEST(C324, "TLS Certificate Expiry"), "TLS証明書の有効期限切れ", _xlfn.REGEXTEST(C324, "Host Entropy"), "ホストのエントロピー（乱数生成能力）の不足", _xlfn.REGEXTEST(C324, "File Descriptor"), "プロセスのファイルディスクリプタ使用率", _xlfn.REGEXTEST(C324, "Unexpected Exits"), "プロセスの異常終了（予期せぬ停止）", _xlfn.REGEXTEST(C324, "Swap Memory Thresholds"), "プロセスのスワップメモリ使用量", _xlfn.REGEXTEST(C324, "Swap Memory Usage Rate"), "スワップメモリ使用量の変化率（増加速度）", _xlfn.REGEXTEST(C324, "Log Directory Free Space.*Absolute"), "ログディレクトリの空き容量（絶対値）", _xlfn.REGEXTEST(C324, "Log Directory Free Space.*Percentage"), "ログディレクトリの空き容量割合（%）", _xlfn.REGEXTEST(C324, "Heap Dump Directory Free Space.*Absolute"), "ヒープダンプディレクトリの空き容量（絶対値）", _xlfn.REGEXTEST(C324, "Heap Dump Directory Free Space.*Percentage"), "ヒープダンプディレクトリの空き容量割合（%）", _xlfn.REGEXTEST(C324, "Data Directory Free Space.*Absolute"), "データディレクトリの空き容量（絶対値）", _xlfn.REGEXTEST(C324, "Data Directory Free Space.*Percentage"), "データディレクトリの空き容量割合（%）", _xlfn.REGEXTEST(C324, "Transaction Log Directory Free Space.*Absolute"), "トランザクションログディレクトリの空き容量（絶対値）", _xlfn.REGEXTEST(C324, "Logging Threshold|Logger Threshold"), "ログ出力レベルの閾値設定", _xlfn.REGEXTEST(C324, "Enable.*Alerts"), "ヘルスアラートの有効化状態", _xlfn.REGEXTEST(C324, "Triggers"), "カスタムアラート条件（トリガー設定）", _xlfn.REGEXTEST(C324, "Healthy Kafka Broker"), "Kafka Brokerの健全ノード割合（稼働率）", _xlfn.REGEXTEST(C324, "Healthy Kafka Connect"), "Kafka Connectの健全ノード割合（稼働率）", _xlfn.REGEXTEST(C324, "Healthy KRaft Controller"), "KRaft Controllerの健全ノード割合（稼働率）", _xlfn.REGEXTEST(C324, "Healthy Knox IDBroker"), "Knox IDBrokerの健全ノード割合（稼働率）", _xlfn.REGEXTEST(C324, "Healthy Knox Gateway"), "Knox Gatewayの健全ノード割合（稼働率）", _xlfn.REGEXTEST(C324, "Healthy ZooKeeper Server"), "ZooKeeper Serverの健全ノード割合（稼働率）", _xlfn.REGEXTEST(C324, "Healthy NodeManager"), "NodeManagerの健全ノード割合（稼働率）", _xlfn.REGEXTEST(C324, "Maximum Latency"), "リクエストの最大レイテンシ（処理遅延）", _xlfn.REGEXTEST(C324, "Garbage Collection Duration"), "Javaのガベージコレクション（GC）の所要時間", _xlfn.REGEXTEST(C324, "Spool Directory Usage"), "Rangerプラグインのスプールディレクトリ使用量", _xlfn.REGEXTEST(C324, "Process Directory Free Space Monitoring Absolute"), "プロセスディレクトリの空き容量（絶対値)", _xlfn.REGEXTEST(C324, "Process Directory Free Space.*Percentage"), "プロセスディレクトリの空き容量割合（%）", _xlfn.REGEXTEST(C324, "Parcel Directory Free Space.*Absolute"), "パーセルディレクトリの空き容量（絶対値）", _xlfn.REGEXTEST(C324, "Parcel Directory Free Space.*Percentage"), "パーセルディレクトリの空き容量割合（%）", _xlfn.REGEXTEST(C324, "Host Network Frame Error Percentage"), "ホストのネットワークフレームエラー割合（%）", _xlfn.REGEXTEST(C324, "Network Interfaces Slow Link Modes"), "ホストのネットワークインターフェースの低速リンクモード検出", _xlfn.REGEXTEST(C324, "Host Memory Swapping"), "ホストのメモリのスワップ発生状態", TRUE, "要手動確認")</f>
        <v>RPC（遠隔手続き呼出し）のレイテンシ</v>
      </c>
      <c r="H324" s="479" t="s">
        <v>1132</v>
      </c>
    </row>
    <row r="325" spans="1:8" ht="33.6">
      <c r="A325" s="514"/>
      <c r="B325" s="473"/>
      <c r="C325" s="471" t="s">
        <v>1133</v>
      </c>
      <c r="D325" s="471" t="s">
        <v>1134</v>
      </c>
      <c r="E325" s="471" t="s">
        <v>1040</v>
      </c>
      <c r="F325" s="471"/>
      <c r="G325" s="471" t="str" cm="1">
        <f t="array" ref="G325">_xlfn.IFS(C325 = "", "", _xlfn.REGEXTEST(C325, "Service Metric Migrator Minimum Consecutive Successful Checks"), "サービスメトリック移行ツールの連続正常チェック最小回数", _xlfn.REGEXTEST(C325, "Rebalancing"), "リバランシング（データ再配置）状態", _xlfn.REGEXTEST(C325, "Temporary Dump Directory"), "一時ダンプディレクトリの監視", _xlfn.REGEXTEST(C325, "Safemode Extension"), "セーフモード延長状態", _xlfn.REGEXTEST(C325, "Client Idle"), "クライアントのアイドル（待機）状態", _xlfn.REGEXTEST(C325, "Available Space Policy Balanced"), "空き容量ポリシーの分散バランス状態", _xlfn.REGEXTEST(C325, "Filesystem Checkpoint Transaction"), "ファイルシステムのチェックポイントトランザクション", _xlfn.REGEXTEST(C325, "Blocks With Corrupt Replicas Monitoring"), "破損レプリカを持つブロックの監視", _xlfn.REGEXTEST(C325, "Missing Block Monitoring"), "消失（ミッシング）ブロックの監視", _xlfn.REGEXTEST(C325, "Under-replicated Block Monitoring"), "レプリカ数不足ブロックの監視", _xlfn.REGEXTEST(C325, "HDFS Free Space Monitoring"), "HDFSの空き容量監視", _xlfn.REGEXTEST(C325, "DataNode Monitoring"), "DataNodeの稼働状態監視", _xlfn.REGEXTEST(C325, "Rules to Extract Events from Log Files"), "ログファイルからのイベント抽出ルール設定", _xlfn.REGEXTEST(C325, "Free Space Monitoring$"), "空き容量監視（一般設定）", _xlfn.REGEXTEST(C325, "Transceivers Usage"), "トランシーバー使用量（データ転送スレッド数）", _xlfn.REGEXTEST(C325, "Volume Failures"), "ボリューム障害（ディスクエラー）数", _xlfn.REGEXTEST(C325, "Block Count"), "ブロック総数", _xlfn.REGEXTEST(C325, "Audit Failure"), "監査（オーディット）ログの失敗イベント", _xlfn.REGEXTEST(C325, "Web Metric Collection Duration"), "Webメトリック収集の所要時間", _xlfn.REGEXTEST(C325, "Pause Duration"), "一時停止（ポーズ）の所要時間", _xlfn.REGEXTEST(C325, "Fsync Latency"), "Fsync（ディスク同期）のレイテンシ", _xlfn.REGEXTEST(C325, "Free Space Monitoring Absolute"), "空き容量（絶対値）", _xlfn.REGEXTEST(C325, "Free Space Monitoring Percentage"), "空き容量割合（%）", _xlfn.REGEXTEST(C325, "Age Monitoring"), "経過時間の監視", _xlfn.REGEXTEST(C325, "Transactions Monitoring"), "トランザクション数の監視", _xlfn.REGEXTEST(C325, "RPC Latency"), "RPC（遠隔手続き呼出し）のレイテンシ", _xlfn.REGEXTEST(C325, "Directory Failures"), "ディレクトリ障害数", _xlfn.REGEXTEST(C325, "Out-Of-Sync JournalNodes"), "同期ズレが発生しているJournalNode数", _xlfn.REGEXTEST(C325, "Safemode Threshold Percentage"), "セーフモード解除閾値の割合（%）", _xlfn.REGEXTEST(C325, "Kerberos Ticket Renewer Monitoring"), "Kerberosチケット更新プロセスの稼働状態監視", _xlfn.REGEXTEST(C325, "Load Balancer Monitoring"), "ロードバランサーの稼働状態監視", _xlfn.REGEXTEST(C325, "Navigator Audit Failure"), "Cloudera Navigator監査ログの失敗イベント", _xlfn.REGEXTEST(C325, "Schema Registry Server Monitoring"), "Schema Registry Serverの稼働状態監視", _xlfn.REGEXTEST(C325, "SRM Service Monitoring"), "SRMサービスの稼働状態監視", _xlfn.REGEXTEST(C325, "SRM Driver Monitoring"), "SRMドライバーの稼働状態監視", _xlfn.REGEXTEST(C325, "Loggin"), "ログ出力状態・設定監視", _xlfn.REGEXTEST(C325, "Server Monitoring"), "サーバーの稼働状態監視", _xlfn.REGEXTEST(C325, "Server Connection Count"), "サーバーの接続数（コネクション数）", _xlfn.REGEXTEST(C325, "Server Outstanding Requests"), "サーバーの未処理リクエスト数（滞留要求数）", _xlfn.REGEXTEST(C325, "Repository Status"), "リポジトリのステータス状態", _xlfn.REGEXTEST(C325, "Monitor Long Running Task"), "長時間実行タスク（ジョブ）の監視", _xlfn.REGEXTEST(C325, "Token requests per second"), "1秒あたりのトークンリクエスト数（要求レート）", _xlfn.REGEXTEST(C325, "Connection Model Score"), "接続モデルスコア（コネクション品質）", _xlfn.REGEXTEST(C325, "Queue swap"), "キューのスワップ発生状態", _xlfn.REGEXTEST(C325, "NiFi Node Monitoring"), "NiFiノードの稼働状態監視", _xlfn.REGEXTEST(C325, "Host Clock Offset"), "ホストのクロックオフセット（時刻同期のズレ）", _xlfn.REGEXTEST(C325, "Memory Overcommit Validation"), "メモリオーバーコミット設定の検証", _xlfn.REGEXTEST(C325, "Gateway Logging"), "ゲートウェイのログ出力設定", _xlfn.REGEXTEST(C325, "CPU Balance"), "CPU使用率の分散バランス状態", _xlfn.REGEXTEST(C325, "Disk Balance"), "ディスク使用量の分散バランス状態", _xlfn.REGEXTEST(C325, "Network Inbound Balance"), "ネットワークインバウンド（受信）の分散バランス状態", _xlfn.REGEXTEST(C325, "Network Outbound Balance"), "ネットワークアウトバウンド（送信）の分散バランス状態", _xlfn.REGEXTEST(C325, "Replica Count Balance"), "レプリカ数の分散バランス状態", _xlfn.REGEXTEST(C325, "Disk Capacity"), "ディスク総容量の限界・使用容量", _xlfn.REGEXTEST(C325, "CPU Capacity"), "CPU総処理能力の限界・使用量", _xlfn.REGEXTEST(C325, "Network Inbound Capacity"), "ネットワークインバウンド（受信）帯域の限界・使用量", _xlfn.REGEXTEST(C325, "Network Outbound Capacity"), "ネットワークアウトバウンド（送信）帯域の限界・使用量", _xlfn.REGEXTEST(C325, "Leader Replica Count Balance"), "リーダーレプリカ数の分散バランス状態", _xlfn.REGEXTEST(C325, "Host DNS Resolution Duration"), "ホストのDNS名前解決の所要時間", _xlfn.REGEXTEST(C325, "TLS Certificate Expiry"), "TLS証明書の有効期限切れ", _xlfn.REGEXTEST(C325, "Host Entropy"), "ホストのエントロピー（乱数生成能力）の不足", _xlfn.REGEXTEST(C325, "File Descriptor"), "プロセスのファイルディスクリプタ使用率", _xlfn.REGEXTEST(C325, "Unexpected Exits"), "プロセスの異常終了（予期せぬ停止）", _xlfn.REGEXTEST(C325, "Swap Memory Thresholds"), "プロセスのスワップメモリ使用量", _xlfn.REGEXTEST(C325, "Swap Memory Usage Rate"), "スワップメモリ使用量の変化率（増加速度）", _xlfn.REGEXTEST(C325, "Log Directory Free Space.*Absolute"), "ログディレクトリの空き容量（絶対値）", _xlfn.REGEXTEST(C325, "Log Directory Free Space.*Percentage"), "ログディレクトリの空き容量割合（%）", _xlfn.REGEXTEST(C325, "Heap Dump Directory Free Space.*Absolute"), "ヒープダンプディレクトリの空き容量（絶対値）", _xlfn.REGEXTEST(C325, "Heap Dump Directory Free Space.*Percentage"), "ヒープダンプディレクトリの空き容量割合（%）", _xlfn.REGEXTEST(C325, "Data Directory Free Space.*Absolute"), "データディレクトリの空き容量（絶対値）", _xlfn.REGEXTEST(C325, "Data Directory Free Space.*Percentage"), "データディレクトリの空き容量割合（%）", _xlfn.REGEXTEST(C325, "Transaction Log Directory Free Space.*Absolute"), "トランザクションログディレクトリの空き容量（絶対値）", _xlfn.REGEXTEST(C325, "Logging Threshold|Logger Threshold"), "ログ出力レベルの閾値設定", _xlfn.REGEXTEST(C325, "Enable.*Alerts"), "ヘルスアラートの有効化状態", _xlfn.REGEXTEST(C325, "Triggers"), "カスタムアラート条件（トリガー設定）", _xlfn.REGEXTEST(C325, "Healthy Kafka Broker"), "Kafka Brokerの健全ノード割合（稼働率）", _xlfn.REGEXTEST(C325, "Healthy Kafka Connect"), "Kafka Connectの健全ノード割合（稼働率）", _xlfn.REGEXTEST(C325, "Healthy KRaft Controller"), "KRaft Controllerの健全ノード割合（稼働率）", _xlfn.REGEXTEST(C325, "Healthy Knox IDBroker"), "Knox IDBrokerの健全ノード割合（稼働率）", _xlfn.REGEXTEST(C325, "Healthy Knox Gateway"), "Knox Gatewayの健全ノード割合（稼働率）", _xlfn.REGEXTEST(C325, "Healthy ZooKeeper Server"), "ZooKeeper Serverの健全ノード割合（稼働率）", _xlfn.REGEXTEST(C325, "Healthy NodeManager"), "NodeManagerの健全ノード割合（稼働率）", _xlfn.REGEXTEST(C325, "Maximum Latency"), "リクエストの最大レイテンシ（処理遅延）", _xlfn.REGEXTEST(C325, "Garbage Collection Duration"), "Javaのガベージコレクション（GC）の所要時間", _xlfn.REGEXTEST(C325, "Spool Directory Usage"), "Rangerプラグインのスプールディレクトリ使用量", _xlfn.REGEXTEST(C325, "Process Directory Free Space Monitoring Absolute"), "プロセスディレクトリの空き容量（絶対値)", _xlfn.REGEXTEST(C325, "Process Directory Free Space.*Percentage"), "プロセスディレクトリの空き容量割合（%）", _xlfn.REGEXTEST(C325, "Parcel Directory Free Space.*Absolute"), "パーセルディレクトリの空き容量（絶対値）", _xlfn.REGEXTEST(C325, "Parcel Directory Free Space.*Percentage"), "パーセルディレクトリの空き容量割合（%）", _xlfn.REGEXTEST(C325, "Host Network Frame Error Percentage"), "ホストのネットワークフレームエラー割合（%）", _xlfn.REGEXTEST(C325, "Network Interfaces Slow Link Modes"), "ホストのネットワークインターフェースの低速リンクモード検出", _xlfn.REGEXTEST(C325, "Host Memory Swapping"), "ホストのメモリのスワップ発生状態", TRUE, "要手動確認")</f>
        <v>ディレクトリ障害数</v>
      </c>
      <c r="H325" s="479" t="s">
        <v>818</v>
      </c>
    </row>
    <row r="326" spans="1:8" ht="33.6">
      <c r="A326" s="514"/>
      <c r="B326" s="473"/>
      <c r="C326" s="471" t="s">
        <v>1135</v>
      </c>
      <c r="D326" s="471" t="s">
        <v>1136</v>
      </c>
      <c r="E326" s="471" t="s">
        <v>1040</v>
      </c>
      <c r="F326" s="471"/>
      <c r="G326" s="471" t="str" cm="1">
        <f t="array" ref="G326">_xlfn.IFS(C326 = "", "", _xlfn.REGEXTEST(C326, "Service Metric Migrator Minimum Consecutive Successful Checks"), "サービスメトリック移行ツールの連続正常チェック最小回数", _xlfn.REGEXTEST(C326, "Rebalancing"), "リバランシング（データ再配置）状態", _xlfn.REGEXTEST(C326, "Temporary Dump Directory"), "一時ダンプディレクトリの監視", _xlfn.REGEXTEST(C326, "Safemode Extension"), "セーフモード延長状態", _xlfn.REGEXTEST(C326, "Client Idle"), "クライアントのアイドル（待機）状態", _xlfn.REGEXTEST(C326, "Available Space Policy Balanced"), "空き容量ポリシーの分散バランス状態", _xlfn.REGEXTEST(C326, "Filesystem Checkpoint Transaction"), "ファイルシステムのチェックポイントトランザクション", _xlfn.REGEXTEST(C326, "Blocks With Corrupt Replicas Monitoring"), "破損レプリカを持つブロックの監視", _xlfn.REGEXTEST(C326, "Missing Block Monitoring"), "消失（ミッシング）ブロックの監視", _xlfn.REGEXTEST(C326, "Under-replicated Block Monitoring"), "レプリカ数不足ブロックの監視", _xlfn.REGEXTEST(C326, "HDFS Free Space Monitoring"), "HDFSの空き容量監視", _xlfn.REGEXTEST(C326, "DataNode Monitoring"), "DataNodeの稼働状態監視", _xlfn.REGEXTEST(C326, "Rules to Extract Events from Log Files"), "ログファイルからのイベント抽出ルール設定", _xlfn.REGEXTEST(C326, "Free Space Monitoring$"), "空き容量監視（一般設定）", _xlfn.REGEXTEST(C326, "Transceivers Usage"), "トランシーバー使用量（データ転送スレッド数）", _xlfn.REGEXTEST(C326, "Volume Failures"), "ボリューム障害（ディスクエラー）数", _xlfn.REGEXTEST(C326, "Block Count"), "ブロック総数", _xlfn.REGEXTEST(C326, "Audit Failure"), "監査（オーディット）ログの失敗イベント", _xlfn.REGEXTEST(C326, "Web Metric Collection Duration"), "Webメトリック収集の所要時間", _xlfn.REGEXTEST(C326, "Pause Duration"), "一時停止（ポーズ）の所要時間", _xlfn.REGEXTEST(C326, "Fsync Latency"), "Fsync（ディスク同期）のレイテンシ", _xlfn.REGEXTEST(C326, "Free Space Monitoring Absolute"), "空き容量（絶対値）", _xlfn.REGEXTEST(C326, "Free Space Monitoring Percentage"), "空き容量割合（%）", _xlfn.REGEXTEST(C326, "Age Monitoring"), "経過時間の監視", _xlfn.REGEXTEST(C326, "Transactions Monitoring"), "トランザクション数の監視", _xlfn.REGEXTEST(C326, "RPC Latency"), "RPC（遠隔手続き呼出し）のレイテンシ", _xlfn.REGEXTEST(C326, "Directory Failures"), "ディレクトリ障害数", _xlfn.REGEXTEST(C326, "Out-Of-Sync JournalNodes"), "同期ズレが発生しているJournalNode数", _xlfn.REGEXTEST(C326, "Safemode Threshold Percentage"), "セーフモード解除閾値の割合（%）", _xlfn.REGEXTEST(C326, "Kerberos Ticket Renewer Monitoring"), "Kerberosチケット更新プロセスの稼働状態監視", _xlfn.REGEXTEST(C326, "Load Balancer Monitoring"), "ロードバランサーの稼働状態監視", _xlfn.REGEXTEST(C326, "Navigator Audit Failure"), "Cloudera Navigator監査ログの失敗イベント", _xlfn.REGEXTEST(C326, "Schema Registry Server Monitoring"), "Schema Registry Serverの稼働状態監視", _xlfn.REGEXTEST(C326, "SRM Service Monitoring"), "SRMサービスの稼働状態監視", _xlfn.REGEXTEST(C326, "SRM Driver Monitoring"), "SRMドライバーの稼働状態監視", _xlfn.REGEXTEST(C326, "Loggin"), "ログ出力状態・設定監視", _xlfn.REGEXTEST(C326, "Server Monitoring"), "サーバーの稼働状態監視", _xlfn.REGEXTEST(C326, "Server Connection Count"), "サーバーの接続数（コネクション数）", _xlfn.REGEXTEST(C326, "Server Outstanding Requests"), "サーバーの未処理リクエスト数（滞留要求数）", _xlfn.REGEXTEST(C326, "Repository Status"), "リポジトリのステータス状態", _xlfn.REGEXTEST(C326, "Monitor Long Running Task"), "長時間実行タスク（ジョブ）の監視", _xlfn.REGEXTEST(C326, "Token requests per second"), "1秒あたりのトークンリクエスト数（要求レート）", _xlfn.REGEXTEST(C326, "Connection Model Score"), "接続モデルスコア（コネクション品質）", _xlfn.REGEXTEST(C326, "Queue swap"), "キューのスワップ発生状態", _xlfn.REGEXTEST(C326, "NiFi Node Monitoring"), "NiFiノードの稼働状態監視", _xlfn.REGEXTEST(C326, "Host Clock Offset"), "ホストのクロックオフセット（時刻同期のズレ）", _xlfn.REGEXTEST(C326, "Memory Overcommit Validation"), "メモリオーバーコミット設定の検証", _xlfn.REGEXTEST(C326, "Gateway Logging"), "ゲートウェイのログ出力設定", _xlfn.REGEXTEST(C326, "CPU Balance"), "CPU使用率の分散バランス状態", _xlfn.REGEXTEST(C326, "Disk Balance"), "ディスク使用量の分散バランス状態", _xlfn.REGEXTEST(C326, "Network Inbound Balance"), "ネットワークインバウンド（受信）の分散バランス状態", _xlfn.REGEXTEST(C326, "Network Outbound Balance"), "ネットワークアウトバウンド（送信）の分散バランス状態", _xlfn.REGEXTEST(C326, "Replica Count Balance"), "レプリカ数の分散バランス状態", _xlfn.REGEXTEST(C326, "Disk Capacity"), "ディスク総容量の限界・使用容量", _xlfn.REGEXTEST(C326, "CPU Capacity"), "CPU総処理能力の限界・使用量", _xlfn.REGEXTEST(C326, "Network Inbound Capacity"), "ネットワークインバウンド（受信）帯域の限界・使用量", _xlfn.REGEXTEST(C326, "Network Outbound Capacity"), "ネットワークアウトバウンド（送信）帯域の限界・使用量", _xlfn.REGEXTEST(C326, "Leader Replica Count Balance"), "リーダーレプリカ数の分散バランス状態", _xlfn.REGEXTEST(C326, "Host DNS Resolution Duration"), "ホストのDNS名前解決の所要時間", _xlfn.REGEXTEST(C326, "TLS Certificate Expiry"), "TLS証明書の有効期限切れ", _xlfn.REGEXTEST(C326, "Host Entropy"), "ホストのエントロピー（乱数生成能力）の不足", _xlfn.REGEXTEST(C326, "File Descriptor"), "プロセスのファイルディスクリプタ使用率", _xlfn.REGEXTEST(C326, "Unexpected Exits"), "プロセスの異常終了（予期せぬ停止）", _xlfn.REGEXTEST(C326, "Swap Memory Thresholds"), "プロセスのスワップメモリ使用量", _xlfn.REGEXTEST(C326, "Swap Memory Usage Rate"), "スワップメモリ使用量の変化率（増加速度）", _xlfn.REGEXTEST(C326, "Log Directory Free Space.*Absolute"), "ログディレクトリの空き容量（絶対値）", _xlfn.REGEXTEST(C326, "Log Directory Free Space.*Percentage"), "ログディレクトリの空き容量割合（%）", _xlfn.REGEXTEST(C326, "Heap Dump Directory Free Space.*Absolute"), "ヒープダンプディレクトリの空き容量（絶対値）", _xlfn.REGEXTEST(C326, "Heap Dump Directory Free Space.*Percentage"), "ヒープダンプディレクトリの空き容量割合（%）", _xlfn.REGEXTEST(C326, "Data Directory Free Space.*Absolute"), "データディレクトリの空き容量（絶対値）", _xlfn.REGEXTEST(C326, "Data Directory Free Space.*Percentage"), "データディレクトリの空き容量割合（%）", _xlfn.REGEXTEST(C326, "Transaction Log Directory Free Space.*Absolute"), "トランザクションログディレクトリの空き容量（絶対値）", _xlfn.REGEXTEST(C326, "Logging Threshold|Logger Threshold"), "ログ出力レベルの閾値設定", _xlfn.REGEXTEST(C326, "Enable.*Alerts"), "ヘルスアラートの有効化状態", _xlfn.REGEXTEST(C326, "Triggers"), "カスタムアラート条件（トリガー設定）", _xlfn.REGEXTEST(C326, "Healthy Kafka Broker"), "Kafka Brokerの健全ノード割合（稼働率）", _xlfn.REGEXTEST(C326, "Healthy Kafka Connect"), "Kafka Connectの健全ノード割合（稼働率）", _xlfn.REGEXTEST(C326, "Healthy KRaft Controller"), "KRaft Controllerの健全ノード割合（稼働率）", _xlfn.REGEXTEST(C326, "Healthy Knox IDBroker"), "Knox IDBrokerの健全ノード割合（稼働率）", _xlfn.REGEXTEST(C326, "Healthy Knox Gateway"), "Knox Gatewayの健全ノード割合（稼働率）", _xlfn.REGEXTEST(C326, "Healthy ZooKeeper Server"), "ZooKeeper Serverの健全ノード割合（稼働率）", _xlfn.REGEXTEST(C326, "Healthy NodeManager"), "NodeManagerの健全ノード割合（稼働率）", _xlfn.REGEXTEST(C326, "Maximum Latency"), "リクエストの最大レイテンシ（処理遅延）", _xlfn.REGEXTEST(C326, "Garbage Collection Duration"), "Javaのガベージコレクション（GC）の所要時間", _xlfn.REGEXTEST(C326, "Spool Directory Usage"), "Rangerプラグインのスプールディレクトリ使用量", _xlfn.REGEXTEST(C326, "Process Directory Free Space Monitoring Absolute"), "プロセスディレクトリの空き容量（絶対値)", _xlfn.REGEXTEST(C326, "Process Directory Free Space.*Percentage"), "プロセスディレクトリの空き容量割合（%）", _xlfn.REGEXTEST(C326, "Parcel Directory Free Space.*Absolute"), "パーセルディレクトリの空き容量（絶対値）", _xlfn.REGEXTEST(C326, "Parcel Directory Free Space.*Percentage"), "パーセルディレクトリの空き容量割合（%）", _xlfn.REGEXTEST(C326, "Host Network Frame Error Percentage"), "ホストのネットワークフレームエラー割合（%）", _xlfn.REGEXTEST(C326, "Network Interfaces Slow Link Modes"), "ホストのネットワークインターフェースの低速リンクモード検出", _xlfn.REGEXTEST(C326, "Host Memory Swapping"), "ホストのメモリのスワップ発生状態", TRUE, "要手動確認")</f>
        <v>同期ズレが発生しているJournalNode数</v>
      </c>
      <c r="H326" s="479" t="s">
        <v>818</v>
      </c>
    </row>
    <row r="327" spans="1:8" ht="33.6">
      <c r="A327" s="514"/>
      <c r="B327" s="473"/>
      <c r="C327" s="471" t="s">
        <v>736</v>
      </c>
      <c r="D327" s="471" t="s">
        <v>1137</v>
      </c>
      <c r="E327" s="471" t="s">
        <v>1040</v>
      </c>
      <c r="F327" s="471"/>
      <c r="G327" s="471" t="str" cm="1">
        <f t="array" ref="G327">_xlfn.IFS(C327 = "", "", _xlfn.REGEXTEST(C327, "Service Metric Migrator Minimum Consecutive Successful Checks"), "サービスメトリック移行ツールの連続正常チェック最小回数", _xlfn.REGEXTEST(C327, "Rebalancing"), "リバランシング（データ再配置）状態", _xlfn.REGEXTEST(C327, "Temporary Dump Directory"), "一時ダンプディレクトリの監視", _xlfn.REGEXTEST(C327, "Safemode Extension"), "セーフモード延長状態", _xlfn.REGEXTEST(C327, "Client Idle"), "クライアントのアイドル（待機）状態", _xlfn.REGEXTEST(C327, "Available Space Policy Balanced"), "空き容量ポリシーの分散バランス状態", _xlfn.REGEXTEST(C327, "Filesystem Checkpoint Transaction"), "ファイルシステムのチェックポイントトランザクション", _xlfn.REGEXTEST(C327, "Blocks With Corrupt Replicas Monitoring"), "破損レプリカを持つブロックの監視", _xlfn.REGEXTEST(C327, "Missing Block Monitoring"), "消失（ミッシング）ブロックの監視", _xlfn.REGEXTEST(C327, "Under-replicated Block Monitoring"), "レプリカ数不足ブロックの監視", _xlfn.REGEXTEST(C327, "HDFS Free Space Monitoring"), "HDFSの空き容量監視", _xlfn.REGEXTEST(C327, "DataNode Monitoring"), "DataNodeの稼働状態監視", _xlfn.REGEXTEST(C327, "Rules to Extract Events from Log Files"), "ログファイルからのイベント抽出ルール設定", _xlfn.REGEXTEST(C327, "Free Space Monitoring$"), "空き容量監視（一般設定）", _xlfn.REGEXTEST(C327, "Transceivers Usage"), "トランシーバー使用量（データ転送スレッド数）", _xlfn.REGEXTEST(C327, "Volume Failures"), "ボリューム障害（ディスクエラー）数", _xlfn.REGEXTEST(C327, "Block Count"), "ブロック総数", _xlfn.REGEXTEST(C327, "Audit Failure"), "監査（オーディット）ログの失敗イベント", _xlfn.REGEXTEST(C327, "Web Metric Collection Duration"), "Webメトリック収集の所要時間", _xlfn.REGEXTEST(C327, "Pause Duration"), "一時停止（ポーズ）の所要時間", _xlfn.REGEXTEST(C327, "Fsync Latency"), "Fsync（ディスク同期）のレイテンシ", _xlfn.REGEXTEST(C327, "Free Space Monitoring Absolute"), "空き容量（絶対値）", _xlfn.REGEXTEST(C327, "Free Space Monitoring Percentage"), "空き容量割合（%）", _xlfn.REGEXTEST(C327, "Age Monitoring"), "経過時間の監視", _xlfn.REGEXTEST(C327, "Transactions Monitoring"), "トランザクション数の監視", _xlfn.REGEXTEST(C327, "RPC Latency"), "RPC（遠隔手続き呼出し）のレイテンシ", _xlfn.REGEXTEST(C327, "Directory Failures"), "ディレクトリ障害数", _xlfn.REGEXTEST(C327, "Out-Of-Sync JournalNodes"), "同期ズレが発生しているJournalNode数", _xlfn.REGEXTEST(C327, "Safemode Threshold Percentage"), "セーフモード解除閾値の割合（%）", _xlfn.REGEXTEST(C327, "Kerberos Ticket Renewer Monitoring"), "Kerberosチケット更新プロセスの稼働状態監視", _xlfn.REGEXTEST(C327, "Load Balancer Monitoring"), "ロードバランサーの稼働状態監視", _xlfn.REGEXTEST(C327, "Navigator Audit Failure"), "Cloudera Navigator監査ログの失敗イベント", _xlfn.REGEXTEST(C327, "Schema Registry Server Monitoring"), "Schema Registry Serverの稼働状態監視", _xlfn.REGEXTEST(C327, "SRM Service Monitoring"), "SRMサービスの稼働状態監視", _xlfn.REGEXTEST(C327, "SRM Driver Monitoring"), "SRMドライバーの稼働状態監視", _xlfn.REGEXTEST(C327, "Loggin"), "ログ出力状態・設定監視", _xlfn.REGEXTEST(C327, "Server Monitoring"), "サーバーの稼働状態監視", _xlfn.REGEXTEST(C327, "Server Connection Count"), "サーバーの接続数（コネクション数）", _xlfn.REGEXTEST(C327, "Server Outstanding Requests"), "サーバーの未処理リクエスト数（滞留要求数）", _xlfn.REGEXTEST(C327, "Repository Status"), "リポジトリのステータス状態", _xlfn.REGEXTEST(C327, "Monitor Long Running Task"), "長時間実行タスク（ジョブ）の監視", _xlfn.REGEXTEST(C327, "Token requests per second"), "1秒あたりのトークンリクエスト数（要求レート）", _xlfn.REGEXTEST(C327, "Connection Model Score"), "接続モデルスコア（コネクション品質）", _xlfn.REGEXTEST(C327, "Queue swap"), "キューのスワップ発生状態", _xlfn.REGEXTEST(C327, "NiFi Node Monitoring"), "NiFiノードの稼働状態監視", _xlfn.REGEXTEST(C327, "Host Clock Offset"), "ホストのクロックオフセット（時刻同期のズレ）", _xlfn.REGEXTEST(C327, "Memory Overcommit Validation"), "メモリオーバーコミット設定の検証", _xlfn.REGEXTEST(C327, "Gateway Logging"), "ゲートウェイのログ出力設定", _xlfn.REGEXTEST(C327, "CPU Balance"), "CPU使用率の分散バランス状態", _xlfn.REGEXTEST(C327, "Disk Balance"), "ディスク使用量の分散バランス状態", _xlfn.REGEXTEST(C327, "Network Inbound Balance"), "ネットワークインバウンド（受信）の分散バランス状態", _xlfn.REGEXTEST(C327, "Network Outbound Balance"), "ネットワークアウトバウンド（送信）の分散バランス状態", _xlfn.REGEXTEST(C327, "Replica Count Balance"), "レプリカ数の分散バランス状態", _xlfn.REGEXTEST(C327, "Disk Capacity"), "ディスク総容量の限界・使用容量", _xlfn.REGEXTEST(C327, "CPU Capacity"), "CPU総処理能力の限界・使用量", _xlfn.REGEXTEST(C327, "Network Inbound Capacity"), "ネットワークインバウンド（受信）帯域の限界・使用量", _xlfn.REGEXTEST(C327, "Network Outbound Capacity"), "ネットワークアウトバウンド（送信）帯域の限界・使用量", _xlfn.REGEXTEST(C327, "Leader Replica Count Balance"), "リーダーレプリカ数の分散バランス状態", _xlfn.REGEXTEST(C327, "Host DNS Resolution Duration"), "ホストのDNS名前解決の所要時間", _xlfn.REGEXTEST(C327, "TLS Certificate Expiry"), "TLS証明書の有効期限切れ", _xlfn.REGEXTEST(C327, "Host Entropy"), "ホストのエントロピー（乱数生成能力）の不足", _xlfn.REGEXTEST(C327, "File Descriptor"), "プロセスのファイルディスクリプタ使用率", _xlfn.REGEXTEST(C327, "Unexpected Exits"), "プロセスの異常終了（予期せぬ停止）", _xlfn.REGEXTEST(C327, "Swap Memory Thresholds"), "プロセスのスワップメモリ使用量", _xlfn.REGEXTEST(C327, "Swap Memory Usage Rate"), "スワップメモリ使用量の変化率（増加速度）", _xlfn.REGEXTEST(C327, "Log Directory Free Space.*Absolute"), "ログディレクトリの空き容量（絶対値）", _xlfn.REGEXTEST(C327, "Log Directory Free Space.*Percentage"), "ログディレクトリの空き容量割合（%）", _xlfn.REGEXTEST(C327, "Heap Dump Directory Free Space.*Absolute"), "ヒープダンプディレクトリの空き容量（絶対値）", _xlfn.REGEXTEST(C327, "Heap Dump Directory Free Space.*Percentage"), "ヒープダンプディレクトリの空き容量割合（%）", _xlfn.REGEXTEST(C327, "Data Directory Free Space.*Absolute"), "データディレクトリの空き容量（絶対値）", _xlfn.REGEXTEST(C327, "Data Directory Free Space.*Percentage"), "データディレクトリの空き容量割合（%）", _xlfn.REGEXTEST(C327, "Transaction Log Directory Free Space.*Absolute"), "トランザクションログディレクトリの空き容量（絶対値）", _xlfn.REGEXTEST(C327, "Logging Threshold|Logger Threshold"), "ログ出力レベルの閾値設定", _xlfn.REGEXTEST(C327, "Enable.*Alerts"), "ヘルスアラートの有効化状態", _xlfn.REGEXTEST(C327, "Triggers"), "カスタムアラート条件（トリガー設定）", _xlfn.REGEXTEST(C327, "Healthy Kafka Broker"), "Kafka Brokerの健全ノード割合（稼働率）", _xlfn.REGEXTEST(C327, "Healthy Kafka Connect"), "Kafka Connectの健全ノード割合（稼働率）", _xlfn.REGEXTEST(C327, "Healthy KRaft Controller"), "KRaft Controllerの健全ノード割合（稼働率）", _xlfn.REGEXTEST(C327, "Healthy Knox IDBroker"), "Knox IDBrokerの健全ノード割合（稼働率）", _xlfn.REGEXTEST(C327, "Healthy Knox Gateway"), "Knox Gatewayの健全ノード割合（稼働率）", _xlfn.REGEXTEST(C327, "Healthy ZooKeeper Server"), "ZooKeeper Serverの健全ノード割合（稼働率）", _xlfn.REGEXTEST(C327, "Healthy NodeManager"), "NodeManagerの健全ノード割合（稼働率）", _xlfn.REGEXTEST(C327, "Maximum Latency"), "リクエストの最大レイテンシ（処理遅延）", _xlfn.REGEXTEST(C327, "Garbage Collection Duration"), "Javaのガベージコレクション（GC）の所要時間", _xlfn.REGEXTEST(C327, "Spool Directory Usage"), "Rangerプラグインのスプールディレクトリ使用量", _xlfn.REGEXTEST(C327, "Process Directory Free Space Monitoring Absolute"), "プロセスディレクトリの空き容量（絶対値)", _xlfn.REGEXTEST(C327, "Process Directory Free Space.*Percentage"), "プロセスディレクトリの空き容量割合（%）", _xlfn.REGEXTEST(C327, "Parcel Directory Free Space.*Absolute"), "パーセルディレクトリの空き容量（絶対値）", _xlfn.REGEXTEST(C327, "Parcel Directory Free Space.*Percentage"), "パーセルディレクトリの空き容量割合（%）", _xlfn.REGEXTEST(C327, "Host Network Frame Error Percentage"), "ホストのネットワークフレームエラー割合（%）", _xlfn.REGEXTEST(C327, "Network Interfaces Slow Link Modes"), "ホストのネットワークインターフェースの低速リンクモード検出", _xlfn.REGEXTEST(C327, "Host Memory Swapping"), "ホストのメモリのスワップ発生状態", TRUE, "要手動確認")</f>
        <v>プロセスのファイルディスクリプタ使用率</v>
      </c>
      <c r="H327" s="479" t="s">
        <v>813</v>
      </c>
    </row>
    <row r="328" spans="1:8" ht="33.6">
      <c r="A328" s="514"/>
      <c r="B328" s="473"/>
      <c r="C328" s="471" t="s">
        <v>1099</v>
      </c>
      <c r="D328" s="471" t="s">
        <v>1138</v>
      </c>
      <c r="E328" s="471" t="s">
        <v>1040</v>
      </c>
      <c r="F328" s="471"/>
      <c r="G328" s="471" t="str" cm="1">
        <f t="array" ref="G328">_xlfn.IFS(C328 = "", "", _xlfn.REGEXTEST(C328, "Service Metric Migrator Minimum Consecutive Successful Checks"), "サービスメトリック移行ツールの連続正常チェック最小回数", _xlfn.REGEXTEST(C328, "Rebalancing"), "リバランシング（データ再配置）状態", _xlfn.REGEXTEST(C328, "Temporary Dump Directory"), "一時ダンプディレクトリの監視", _xlfn.REGEXTEST(C328, "Safemode Extension"), "セーフモード延長状態", _xlfn.REGEXTEST(C328, "Client Idle"), "クライアントのアイドル（待機）状態", _xlfn.REGEXTEST(C328, "Available Space Policy Balanced"), "空き容量ポリシーの分散バランス状態", _xlfn.REGEXTEST(C328, "Filesystem Checkpoint Transaction"), "ファイルシステムのチェックポイントトランザクション", _xlfn.REGEXTEST(C328, "Blocks With Corrupt Replicas Monitoring"), "破損レプリカを持つブロックの監視", _xlfn.REGEXTEST(C328, "Missing Block Monitoring"), "消失（ミッシング）ブロックの監視", _xlfn.REGEXTEST(C328, "Under-replicated Block Monitoring"), "レプリカ数不足ブロックの監視", _xlfn.REGEXTEST(C328, "HDFS Free Space Monitoring"), "HDFSの空き容量監視", _xlfn.REGEXTEST(C328, "DataNode Monitoring"), "DataNodeの稼働状態監視", _xlfn.REGEXTEST(C328, "Rules to Extract Events from Log Files"), "ログファイルからのイベント抽出ルール設定", _xlfn.REGEXTEST(C328, "Free Space Monitoring$"), "空き容量監視（一般設定）", _xlfn.REGEXTEST(C328, "Transceivers Usage"), "トランシーバー使用量（データ転送スレッド数）", _xlfn.REGEXTEST(C328, "Volume Failures"), "ボリューム障害（ディスクエラー）数", _xlfn.REGEXTEST(C328, "Block Count"), "ブロック総数", _xlfn.REGEXTEST(C328, "Audit Failure"), "監査（オーディット）ログの失敗イベント", _xlfn.REGEXTEST(C328, "Web Metric Collection Duration"), "Webメトリック収集の所要時間", _xlfn.REGEXTEST(C328, "Pause Duration"), "一時停止（ポーズ）の所要時間", _xlfn.REGEXTEST(C328, "Fsync Latency"), "Fsync（ディスク同期）のレイテンシ", _xlfn.REGEXTEST(C328, "Free Space Monitoring Absolute"), "空き容量（絶対値）", _xlfn.REGEXTEST(C328, "Free Space Monitoring Percentage"), "空き容量割合（%）", _xlfn.REGEXTEST(C328, "Age Monitoring"), "経過時間の監視", _xlfn.REGEXTEST(C328, "Transactions Monitoring"), "トランザクション数の監視", _xlfn.REGEXTEST(C328, "RPC Latency"), "RPC（遠隔手続き呼出し）のレイテンシ", _xlfn.REGEXTEST(C328, "Directory Failures"), "ディレクトリ障害数", _xlfn.REGEXTEST(C328, "Out-Of-Sync JournalNodes"), "同期ズレが発生しているJournalNode数", _xlfn.REGEXTEST(C328, "Safemode Threshold Percentage"), "セーフモード解除閾値の割合（%）", _xlfn.REGEXTEST(C328, "Kerberos Ticket Renewer Monitoring"), "Kerberosチケット更新プロセスの稼働状態監視", _xlfn.REGEXTEST(C328, "Load Balancer Monitoring"), "ロードバランサーの稼働状態監視", _xlfn.REGEXTEST(C328, "Navigator Audit Failure"), "Cloudera Navigator監査ログの失敗イベント", _xlfn.REGEXTEST(C328, "Schema Registry Server Monitoring"), "Schema Registry Serverの稼働状態監視", _xlfn.REGEXTEST(C328, "SRM Service Monitoring"), "SRMサービスの稼働状態監視", _xlfn.REGEXTEST(C328, "SRM Driver Monitoring"), "SRMドライバーの稼働状態監視", _xlfn.REGEXTEST(C328, "Loggin"), "ログ出力状態・設定監視", _xlfn.REGEXTEST(C328, "Server Monitoring"), "サーバーの稼働状態監視", _xlfn.REGEXTEST(C328, "Server Connection Count"), "サーバーの接続数（コネクション数）", _xlfn.REGEXTEST(C328, "Server Outstanding Requests"), "サーバーの未処理リクエスト数（滞留要求数）", _xlfn.REGEXTEST(C328, "Repository Status"), "リポジトリのステータス状態", _xlfn.REGEXTEST(C328, "Monitor Long Running Task"), "長時間実行タスク（ジョブ）の監視", _xlfn.REGEXTEST(C328, "Token requests per second"), "1秒あたりのトークンリクエスト数（要求レート）", _xlfn.REGEXTEST(C328, "Connection Model Score"), "接続モデルスコア（コネクション品質）", _xlfn.REGEXTEST(C328, "Queue swap"), "キューのスワップ発生状態", _xlfn.REGEXTEST(C328, "NiFi Node Monitoring"), "NiFiノードの稼働状態監視", _xlfn.REGEXTEST(C328, "Host Clock Offset"), "ホストのクロックオフセット（時刻同期のズレ）", _xlfn.REGEXTEST(C328, "Memory Overcommit Validation"), "メモリオーバーコミット設定の検証", _xlfn.REGEXTEST(C328, "Gateway Logging"), "ゲートウェイのログ出力設定", _xlfn.REGEXTEST(C328, "CPU Balance"), "CPU使用率の分散バランス状態", _xlfn.REGEXTEST(C328, "Disk Balance"), "ディスク使用量の分散バランス状態", _xlfn.REGEXTEST(C328, "Network Inbound Balance"), "ネットワークインバウンド（受信）の分散バランス状態", _xlfn.REGEXTEST(C328, "Network Outbound Balance"), "ネットワークアウトバウンド（送信）の分散バランス状態", _xlfn.REGEXTEST(C328, "Replica Count Balance"), "レプリカ数の分散バランス状態", _xlfn.REGEXTEST(C328, "Disk Capacity"), "ディスク総容量の限界・使用容量", _xlfn.REGEXTEST(C328, "CPU Capacity"), "CPU総処理能力の限界・使用量", _xlfn.REGEXTEST(C328, "Network Inbound Capacity"), "ネットワークインバウンド（受信）帯域の限界・使用量", _xlfn.REGEXTEST(C328, "Network Outbound Capacity"), "ネットワークアウトバウンド（送信）帯域の限界・使用量", _xlfn.REGEXTEST(C328, "Leader Replica Count Balance"), "リーダーレプリカ数の分散バランス状態", _xlfn.REGEXTEST(C328, "Host DNS Resolution Duration"), "ホストのDNS名前解決の所要時間", _xlfn.REGEXTEST(C328, "TLS Certificate Expiry"), "TLS証明書の有効期限切れ", _xlfn.REGEXTEST(C328, "Host Entropy"), "ホストのエントロピー（乱数生成能力）の不足", _xlfn.REGEXTEST(C328, "File Descriptor"), "プロセスのファイルディスクリプタ使用率", _xlfn.REGEXTEST(C328, "Unexpected Exits"), "プロセスの異常終了（予期せぬ停止）", _xlfn.REGEXTEST(C328, "Swap Memory Thresholds"), "プロセスのスワップメモリ使用量", _xlfn.REGEXTEST(C328, "Swap Memory Usage Rate"), "スワップメモリ使用量の変化率（増加速度）", _xlfn.REGEXTEST(C328, "Log Directory Free Space.*Absolute"), "ログディレクトリの空き容量（絶対値）", _xlfn.REGEXTEST(C328, "Log Directory Free Space.*Percentage"), "ログディレクトリの空き容量割合（%）", _xlfn.REGEXTEST(C328, "Heap Dump Directory Free Space.*Absolute"), "ヒープダンプディレクトリの空き容量（絶対値）", _xlfn.REGEXTEST(C328, "Heap Dump Directory Free Space.*Percentage"), "ヒープダンプディレクトリの空き容量割合（%）", _xlfn.REGEXTEST(C328, "Data Directory Free Space.*Absolute"), "データディレクトリの空き容量（絶対値）", _xlfn.REGEXTEST(C328, "Data Directory Free Space.*Percentage"), "データディレクトリの空き容量割合（%）", _xlfn.REGEXTEST(C328, "Transaction Log Directory Free Space.*Absolute"), "トランザクションログディレクトリの空き容量（絶対値）", _xlfn.REGEXTEST(C328, "Logging Threshold|Logger Threshold"), "ログ出力レベルの閾値設定", _xlfn.REGEXTEST(C328, "Enable.*Alerts"), "ヘルスアラートの有効化状態", _xlfn.REGEXTEST(C328, "Triggers"), "カスタムアラート条件（トリガー設定）", _xlfn.REGEXTEST(C328, "Healthy Kafka Broker"), "Kafka Brokerの健全ノード割合（稼働率）", _xlfn.REGEXTEST(C328, "Healthy Kafka Connect"), "Kafka Connectの健全ノード割合（稼働率）", _xlfn.REGEXTEST(C328, "Healthy KRaft Controller"), "KRaft Controllerの健全ノード割合（稼働率）", _xlfn.REGEXTEST(C328, "Healthy Knox IDBroker"), "Knox IDBrokerの健全ノード割合（稼働率）", _xlfn.REGEXTEST(C328, "Healthy Knox Gateway"), "Knox Gatewayの健全ノード割合（稼働率）", _xlfn.REGEXTEST(C328, "Healthy ZooKeeper Server"), "ZooKeeper Serverの健全ノード割合（稼働率）", _xlfn.REGEXTEST(C328, "Healthy NodeManager"), "NodeManagerの健全ノード割合（稼働率）", _xlfn.REGEXTEST(C328, "Maximum Latency"), "リクエストの最大レイテンシ（処理遅延）", _xlfn.REGEXTEST(C328, "Garbage Collection Duration"), "Javaのガベージコレクション（GC）の所要時間", _xlfn.REGEXTEST(C328, "Spool Directory Usage"), "Rangerプラグインのスプールディレクトリ使用量", _xlfn.REGEXTEST(C328, "Process Directory Free Space Monitoring Absolute"), "プロセスディレクトリの空き容量（絶対値)", _xlfn.REGEXTEST(C328, "Process Directory Free Space.*Percentage"), "プロセスディレクトリの空き容量割合（%）", _xlfn.REGEXTEST(C328, "Parcel Directory Free Space.*Absolute"), "パーセルディレクトリの空き容量（絶対値）", _xlfn.REGEXTEST(C328, "Parcel Directory Free Space.*Percentage"), "パーセルディレクトリの空き容量割合（%）", _xlfn.REGEXTEST(C328, "Host Network Frame Error Percentage"), "ホストのネットワークフレームエラー割合（%）", _xlfn.REGEXTEST(C328, "Network Interfaces Slow Link Modes"), "ホストのネットワークインターフェースの低速リンクモード検出", _xlfn.REGEXTEST(C328, "Host Memory Swapping"), "ホストのメモリのスワップ発生状態", TRUE, "要手動確認")</f>
        <v>Webメトリック収集の所要時間</v>
      </c>
      <c r="H328" s="479" t="s">
        <v>1101</v>
      </c>
    </row>
    <row r="329" spans="1:8" ht="33.6">
      <c r="A329" s="514"/>
      <c r="B329" s="473"/>
      <c r="C329" s="471" t="s">
        <v>1102</v>
      </c>
      <c r="D329" s="471" t="s">
        <v>1139</v>
      </c>
      <c r="E329" s="471" t="s">
        <v>1040</v>
      </c>
      <c r="F329" s="471"/>
      <c r="G329" s="471" t="str" cm="1">
        <f t="array" ref="G329">_xlfn.IFS(C329 = "", "", _xlfn.REGEXTEST(C329, "Service Metric Migrator Minimum Consecutive Successful Checks"), "サービスメトリック移行ツールの連続正常チェック最小回数", _xlfn.REGEXTEST(C329, "Rebalancing"), "リバランシング（データ再配置）状態", _xlfn.REGEXTEST(C329, "Temporary Dump Directory"), "一時ダンプディレクトリの監視", _xlfn.REGEXTEST(C329, "Safemode Extension"), "セーフモード延長状態", _xlfn.REGEXTEST(C329, "Client Idle"), "クライアントのアイドル（待機）状態", _xlfn.REGEXTEST(C329, "Available Space Policy Balanced"), "空き容量ポリシーの分散バランス状態", _xlfn.REGEXTEST(C329, "Filesystem Checkpoint Transaction"), "ファイルシステムのチェックポイントトランザクション", _xlfn.REGEXTEST(C329, "Blocks With Corrupt Replicas Monitoring"), "破損レプリカを持つブロックの監視", _xlfn.REGEXTEST(C329, "Missing Block Monitoring"), "消失（ミッシング）ブロックの監視", _xlfn.REGEXTEST(C329, "Under-replicated Block Monitoring"), "レプリカ数不足ブロックの監視", _xlfn.REGEXTEST(C329, "HDFS Free Space Monitoring"), "HDFSの空き容量監視", _xlfn.REGEXTEST(C329, "DataNode Monitoring"), "DataNodeの稼働状態監視", _xlfn.REGEXTEST(C329, "Rules to Extract Events from Log Files"), "ログファイルからのイベント抽出ルール設定", _xlfn.REGEXTEST(C329, "Free Space Monitoring$"), "空き容量監視（一般設定）", _xlfn.REGEXTEST(C329, "Transceivers Usage"), "トランシーバー使用量（データ転送スレッド数）", _xlfn.REGEXTEST(C329, "Volume Failures"), "ボリューム障害（ディスクエラー）数", _xlfn.REGEXTEST(C329, "Block Count"), "ブロック総数", _xlfn.REGEXTEST(C329, "Audit Failure"), "監査（オーディット）ログの失敗イベント", _xlfn.REGEXTEST(C329, "Web Metric Collection Duration"), "Webメトリック収集の所要時間", _xlfn.REGEXTEST(C329, "Pause Duration"), "一時停止（ポーズ）の所要時間", _xlfn.REGEXTEST(C329, "Fsync Latency"), "Fsync（ディスク同期）のレイテンシ", _xlfn.REGEXTEST(C329, "Free Space Monitoring Absolute"), "空き容量（絶対値）", _xlfn.REGEXTEST(C329, "Free Space Monitoring Percentage"), "空き容量割合（%）", _xlfn.REGEXTEST(C329, "Age Monitoring"), "経過時間の監視", _xlfn.REGEXTEST(C329, "Transactions Monitoring"), "トランザクション数の監視", _xlfn.REGEXTEST(C329, "RPC Latency"), "RPC（遠隔手続き呼出し）のレイテンシ", _xlfn.REGEXTEST(C329, "Directory Failures"), "ディレクトリ障害数", _xlfn.REGEXTEST(C329, "Out-Of-Sync JournalNodes"), "同期ズレが発生しているJournalNode数", _xlfn.REGEXTEST(C329, "Safemode Threshold Percentage"), "セーフモード解除閾値の割合（%）", _xlfn.REGEXTEST(C329, "Kerberos Ticket Renewer Monitoring"), "Kerberosチケット更新プロセスの稼働状態監視", _xlfn.REGEXTEST(C329, "Load Balancer Monitoring"), "ロードバランサーの稼働状態監視", _xlfn.REGEXTEST(C329, "Navigator Audit Failure"), "Cloudera Navigator監査ログの失敗イベント", _xlfn.REGEXTEST(C329, "Schema Registry Server Monitoring"), "Schema Registry Serverの稼働状態監視", _xlfn.REGEXTEST(C329, "SRM Service Monitoring"), "SRMサービスの稼働状態監視", _xlfn.REGEXTEST(C329, "SRM Driver Monitoring"), "SRMドライバーの稼働状態監視", _xlfn.REGEXTEST(C329, "Loggin"), "ログ出力状態・設定監視", _xlfn.REGEXTEST(C329, "Server Monitoring"), "サーバーの稼働状態監視", _xlfn.REGEXTEST(C329, "Server Connection Count"), "サーバーの接続数（コネクション数）", _xlfn.REGEXTEST(C329, "Server Outstanding Requests"), "サーバーの未処理リクエスト数（滞留要求数）", _xlfn.REGEXTEST(C329, "Repository Status"), "リポジトリのステータス状態", _xlfn.REGEXTEST(C329, "Monitor Long Running Task"), "長時間実行タスク（ジョブ）の監視", _xlfn.REGEXTEST(C329, "Token requests per second"), "1秒あたりのトークンリクエスト数（要求レート）", _xlfn.REGEXTEST(C329, "Connection Model Score"), "接続モデルスコア（コネクション品質）", _xlfn.REGEXTEST(C329, "Queue swap"), "キューのスワップ発生状態", _xlfn.REGEXTEST(C329, "NiFi Node Monitoring"), "NiFiノードの稼働状態監視", _xlfn.REGEXTEST(C329, "Host Clock Offset"), "ホストのクロックオフセット（時刻同期のズレ）", _xlfn.REGEXTEST(C329, "Memory Overcommit Validation"), "メモリオーバーコミット設定の検証", _xlfn.REGEXTEST(C329, "Gateway Logging"), "ゲートウェイのログ出力設定", _xlfn.REGEXTEST(C329, "CPU Balance"), "CPU使用率の分散バランス状態", _xlfn.REGEXTEST(C329, "Disk Balance"), "ディスク使用量の分散バランス状態", _xlfn.REGEXTEST(C329, "Network Inbound Balance"), "ネットワークインバウンド（受信）の分散バランス状態", _xlfn.REGEXTEST(C329, "Network Outbound Balance"), "ネットワークアウトバウンド（送信）の分散バランス状態", _xlfn.REGEXTEST(C329, "Replica Count Balance"), "レプリカ数の分散バランス状態", _xlfn.REGEXTEST(C329, "Disk Capacity"), "ディスク総容量の限界・使用容量", _xlfn.REGEXTEST(C329, "CPU Capacity"), "CPU総処理能力の限界・使用量", _xlfn.REGEXTEST(C329, "Network Inbound Capacity"), "ネットワークインバウンド（受信）帯域の限界・使用量", _xlfn.REGEXTEST(C329, "Network Outbound Capacity"), "ネットワークアウトバウンド（送信）帯域の限界・使用量", _xlfn.REGEXTEST(C329, "Leader Replica Count Balance"), "リーダーレプリカ数の分散バランス状態", _xlfn.REGEXTEST(C329, "Host DNS Resolution Duration"), "ホストのDNS名前解決の所要時間", _xlfn.REGEXTEST(C329, "TLS Certificate Expiry"), "TLS証明書の有効期限切れ", _xlfn.REGEXTEST(C329, "Host Entropy"), "ホストのエントロピー（乱数生成能力）の不足", _xlfn.REGEXTEST(C329, "File Descriptor"), "プロセスのファイルディスクリプタ使用率", _xlfn.REGEXTEST(C329, "Unexpected Exits"), "プロセスの異常終了（予期せぬ停止）", _xlfn.REGEXTEST(C329, "Swap Memory Thresholds"), "プロセスのスワップメモリ使用量", _xlfn.REGEXTEST(C329, "Swap Memory Usage Rate"), "スワップメモリ使用量の変化率（増加速度）", _xlfn.REGEXTEST(C329, "Log Directory Free Space.*Absolute"), "ログディレクトリの空き容量（絶対値）", _xlfn.REGEXTEST(C329, "Log Directory Free Space.*Percentage"), "ログディレクトリの空き容量割合（%）", _xlfn.REGEXTEST(C329, "Heap Dump Directory Free Space.*Absolute"), "ヒープダンプディレクトリの空き容量（絶対値）", _xlfn.REGEXTEST(C329, "Heap Dump Directory Free Space.*Percentage"), "ヒープダンプディレクトリの空き容量割合（%）", _xlfn.REGEXTEST(C329, "Data Directory Free Space.*Absolute"), "データディレクトリの空き容量（絶対値）", _xlfn.REGEXTEST(C329, "Data Directory Free Space.*Percentage"), "データディレクトリの空き容量割合（%）", _xlfn.REGEXTEST(C329, "Transaction Log Directory Free Space.*Absolute"), "トランザクションログディレクトリの空き容量（絶対値）", _xlfn.REGEXTEST(C329, "Logging Threshold|Logger Threshold"), "ログ出力レベルの閾値設定", _xlfn.REGEXTEST(C329, "Enable.*Alerts"), "ヘルスアラートの有効化状態", _xlfn.REGEXTEST(C329, "Triggers"), "カスタムアラート条件（トリガー設定）", _xlfn.REGEXTEST(C329, "Healthy Kafka Broker"), "Kafka Brokerの健全ノード割合（稼働率）", _xlfn.REGEXTEST(C329, "Healthy Kafka Connect"), "Kafka Connectの健全ノード割合（稼働率）", _xlfn.REGEXTEST(C329, "Healthy KRaft Controller"), "KRaft Controllerの健全ノード割合（稼働率）", _xlfn.REGEXTEST(C329, "Healthy Knox IDBroker"), "Knox IDBrokerの健全ノード割合（稼働率）", _xlfn.REGEXTEST(C329, "Healthy Knox Gateway"), "Knox Gatewayの健全ノード割合（稼働率）", _xlfn.REGEXTEST(C329, "Healthy ZooKeeper Server"), "ZooKeeper Serverの健全ノード割合（稼働率）", _xlfn.REGEXTEST(C329, "Healthy NodeManager"), "NodeManagerの健全ノード割合（稼働率）", _xlfn.REGEXTEST(C329, "Maximum Latency"), "リクエストの最大レイテンシ（処理遅延）", _xlfn.REGEXTEST(C329, "Garbage Collection Duration"), "Javaのガベージコレクション（GC）の所要時間", _xlfn.REGEXTEST(C329, "Spool Directory Usage"), "Rangerプラグインのスプールディレクトリ使用量", _xlfn.REGEXTEST(C329, "Process Directory Free Space Monitoring Absolute"), "プロセスディレクトリの空き容量（絶対値)", _xlfn.REGEXTEST(C329, "Process Directory Free Space.*Percentage"), "プロセスディレクトリの空き容量割合（%）", _xlfn.REGEXTEST(C329, "Parcel Directory Free Space.*Absolute"), "パーセルディレクトリの空き容量（絶対値）", _xlfn.REGEXTEST(C329, "Parcel Directory Free Space.*Percentage"), "パーセルディレクトリの空き容量割合（%）", _xlfn.REGEXTEST(C329, "Host Network Frame Error Percentage"), "ホストのネットワークフレームエラー割合（%）", _xlfn.REGEXTEST(C329, "Network Interfaces Slow Link Modes"), "ホストのネットワークインターフェースの低速リンクモード検出", _xlfn.REGEXTEST(C329, "Host Memory Swapping"), "ホストのメモリのスワップ発生状態", TRUE, "要手動確認")</f>
        <v>一時停止（ポーズ）の所要時間</v>
      </c>
      <c r="H329" s="479" t="s">
        <v>822</v>
      </c>
    </row>
    <row r="330" spans="1:8" ht="33.6">
      <c r="A330" s="514"/>
      <c r="B330" s="473"/>
      <c r="C330" s="471" t="s">
        <v>1140</v>
      </c>
      <c r="D330" s="471" t="s">
        <v>764</v>
      </c>
      <c r="E330" s="471" t="s">
        <v>1040</v>
      </c>
      <c r="F330" s="471"/>
      <c r="G330" s="471" t="str" cm="1">
        <f t="array" ref="G330">_xlfn.IFS(C330 = "", "", _xlfn.REGEXTEST(C330, "Service Metric Migrator Minimum Consecutive Successful Checks"), "サービスメトリック移行ツールの連続正常チェック最小回数", _xlfn.REGEXTEST(C330, "Rebalancing"), "リバランシング（データ再配置）状態", _xlfn.REGEXTEST(C330, "Temporary Dump Directory"), "一時ダンプディレクトリの監視", _xlfn.REGEXTEST(C330, "Safemode Extension"), "セーフモード延長状態", _xlfn.REGEXTEST(C330, "Client Idle"), "クライアントのアイドル（待機）状態", _xlfn.REGEXTEST(C330, "Available Space Policy Balanced"), "空き容量ポリシーの分散バランス状態", _xlfn.REGEXTEST(C330, "Filesystem Checkpoint Transaction"), "ファイルシステムのチェックポイントトランザクション", _xlfn.REGEXTEST(C330, "Blocks With Corrupt Replicas Monitoring"), "破損レプリカを持つブロックの監視", _xlfn.REGEXTEST(C330, "Missing Block Monitoring"), "消失（ミッシング）ブロックの監視", _xlfn.REGEXTEST(C330, "Under-replicated Block Monitoring"), "レプリカ数不足ブロックの監視", _xlfn.REGEXTEST(C330, "HDFS Free Space Monitoring"), "HDFSの空き容量監視", _xlfn.REGEXTEST(C330, "DataNode Monitoring"), "DataNodeの稼働状態監視", _xlfn.REGEXTEST(C330, "Rules to Extract Events from Log Files"), "ログファイルからのイベント抽出ルール設定", _xlfn.REGEXTEST(C330, "Free Space Monitoring$"), "空き容量監視（一般設定）", _xlfn.REGEXTEST(C330, "Transceivers Usage"), "トランシーバー使用量（データ転送スレッド数）", _xlfn.REGEXTEST(C330, "Volume Failures"), "ボリューム障害（ディスクエラー）数", _xlfn.REGEXTEST(C330, "Block Count"), "ブロック総数", _xlfn.REGEXTEST(C330, "Audit Failure"), "監査（オーディット）ログの失敗イベント", _xlfn.REGEXTEST(C330, "Web Metric Collection Duration"), "Webメトリック収集の所要時間", _xlfn.REGEXTEST(C330, "Pause Duration"), "一時停止（ポーズ）の所要時間", _xlfn.REGEXTEST(C330, "Fsync Latency"), "Fsync（ディスク同期）のレイテンシ", _xlfn.REGEXTEST(C330, "Free Space Monitoring Absolute"), "空き容量（絶対値）", _xlfn.REGEXTEST(C330, "Free Space Monitoring Percentage"), "空き容量割合（%）", _xlfn.REGEXTEST(C330, "Age Monitoring"), "経過時間の監視", _xlfn.REGEXTEST(C330, "Transactions Monitoring"), "トランザクション数の監視", _xlfn.REGEXTEST(C330, "RPC Latency"), "RPC（遠隔手続き呼出し）のレイテンシ", _xlfn.REGEXTEST(C330, "Directory Failures"), "ディレクトリ障害数", _xlfn.REGEXTEST(C330, "Out-Of-Sync JournalNodes"), "同期ズレが発生しているJournalNode数", _xlfn.REGEXTEST(C330, "Safemode Threshold Percentage"), "セーフモード解除閾値の割合（%）", _xlfn.REGEXTEST(C330, "Kerberos Ticket Renewer Monitoring"), "Kerberosチケット更新プロセスの稼働状態監視", _xlfn.REGEXTEST(C330, "Load Balancer Monitoring"), "ロードバランサーの稼働状態監視", _xlfn.REGEXTEST(C330, "Navigator Audit Failure"), "Cloudera Navigator監査ログの失敗イベント", _xlfn.REGEXTEST(C330, "Schema Registry Server Monitoring"), "Schema Registry Serverの稼働状態監視", _xlfn.REGEXTEST(C330, "SRM Service Monitoring"), "SRMサービスの稼働状態監視", _xlfn.REGEXTEST(C330, "SRM Driver Monitoring"), "SRMドライバーの稼働状態監視", _xlfn.REGEXTEST(C330, "Loggin"), "ログ出力状態・設定監視", _xlfn.REGEXTEST(C330, "Server Monitoring"), "サーバーの稼働状態監視", _xlfn.REGEXTEST(C330, "Server Connection Count"), "サーバーの接続数（コネクション数）", _xlfn.REGEXTEST(C330, "Server Outstanding Requests"), "サーバーの未処理リクエスト数（滞留要求数）", _xlfn.REGEXTEST(C330, "Repository Status"), "リポジトリのステータス状態", _xlfn.REGEXTEST(C330, "Monitor Long Running Task"), "長時間実行タスク（ジョブ）の監視", _xlfn.REGEXTEST(C330, "Token requests per second"), "1秒あたりのトークンリクエスト数（要求レート）", _xlfn.REGEXTEST(C330, "Connection Model Score"), "接続モデルスコア（コネクション品質）", _xlfn.REGEXTEST(C330, "Queue swap"), "キューのスワップ発生状態", _xlfn.REGEXTEST(C330, "NiFi Node Monitoring"), "NiFiノードの稼働状態監視", _xlfn.REGEXTEST(C330, "Host Clock Offset"), "ホストのクロックオフセット（時刻同期のズレ）", _xlfn.REGEXTEST(C330, "Memory Overcommit Validation"), "メモリオーバーコミット設定の検証", _xlfn.REGEXTEST(C330, "Gateway Logging"), "ゲートウェイのログ出力設定", _xlfn.REGEXTEST(C330, "CPU Balance"), "CPU使用率の分散バランス状態", _xlfn.REGEXTEST(C330, "Disk Balance"), "ディスク使用量の分散バランス状態", _xlfn.REGEXTEST(C330, "Network Inbound Balance"), "ネットワークインバウンド（受信）の分散バランス状態", _xlfn.REGEXTEST(C330, "Network Outbound Balance"), "ネットワークアウトバウンド（送信）の分散バランス状態", _xlfn.REGEXTEST(C330, "Replica Count Balance"), "レプリカ数の分散バランス状態", _xlfn.REGEXTEST(C330, "Disk Capacity"), "ディスク総容量の限界・使用容量", _xlfn.REGEXTEST(C330, "CPU Capacity"), "CPU総処理能力の限界・使用量", _xlfn.REGEXTEST(C330, "Network Inbound Capacity"), "ネットワークインバウンド（受信）帯域の限界・使用量", _xlfn.REGEXTEST(C330, "Network Outbound Capacity"), "ネットワークアウトバウンド（送信）帯域の限界・使用量", _xlfn.REGEXTEST(C330, "Leader Replica Count Balance"), "リーダーレプリカ数の分散バランス状態", _xlfn.REGEXTEST(C330, "Host DNS Resolution Duration"), "ホストのDNS名前解決の所要時間", _xlfn.REGEXTEST(C330, "TLS Certificate Expiry"), "TLS証明書の有効期限切れ", _xlfn.REGEXTEST(C330, "Host Entropy"), "ホストのエントロピー（乱数生成能力）の不足", _xlfn.REGEXTEST(C330, "File Descriptor"), "プロセスのファイルディスクリプタ使用率", _xlfn.REGEXTEST(C330, "Unexpected Exits"), "プロセスの異常終了（予期せぬ停止）", _xlfn.REGEXTEST(C330, "Swap Memory Thresholds"), "プロセスのスワップメモリ使用量", _xlfn.REGEXTEST(C330, "Swap Memory Usage Rate"), "スワップメモリ使用量の変化率（増加速度）", _xlfn.REGEXTEST(C330, "Log Directory Free Space.*Absolute"), "ログディレクトリの空き容量（絶対値）", _xlfn.REGEXTEST(C330, "Log Directory Free Space.*Percentage"), "ログディレクトリの空き容量割合（%）", _xlfn.REGEXTEST(C330, "Heap Dump Directory Free Space.*Absolute"), "ヒープダンプディレクトリの空き容量（絶対値）", _xlfn.REGEXTEST(C330, "Heap Dump Directory Free Space.*Percentage"), "ヒープダンプディレクトリの空き容量割合（%）", _xlfn.REGEXTEST(C330, "Data Directory Free Space.*Absolute"), "データディレクトリの空き容量（絶対値）", _xlfn.REGEXTEST(C330, "Data Directory Free Space.*Percentage"), "データディレクトリの空き容量割合（%）", _xlfn.REGEXTEST(C330, "Transaction Log Directory Free Space.*Absolute"), "トランザクションログディレクトリの空き容量（絶対値）", _xlfn.REGEXTEST(C330, "Logging Threshold|Logger Threshold"), "ログ出力レベルの閾値設定", _xlfn.REGEXTEST(C330, "Enable.*Alerts"), "ヘルスアラートの有効化状態", _xlfn.REGEXTEST(C330, "Triggers"), "カスタムアラート条件（トリガー設定）", _xlfn.REGEXTEST(C330, "Healthy Kafka Broker"), "Kafka Brokerの健全ノード割合（稼働率）", _xlfn.REGEXTEST(C330, "Healthy Kafka Connect"), "Kafka Connectの健全ノード割合（稼働率）", _xlfn.REGEXTEST(C330, "Healthy KRaft Controller"), "KRaft Controllerの健全ノード割合（稼働率）", _xlfn.REGEXTEST(C330, "Healthy Knox IDBroker"), "Knox IDBrokerの健全ノード割合（稼働率）", _xlfn.REGEXTEST(C330, "Healthy Knox Gateway"), "Knox Gatewayの健全ノード割合（稼働率）", _xlfn.REGEXTEST(C330, "Healthy ZooKeeper Server"), "ZooKeeper Serverの健全ノード割合（稼働率）", _xlfn.REGEXTEST(C330, "Healthy NodeManager"), "NodeManagerの健全ノード割合（稼働率）", _xlfn.REGEXTEST(C330, "Maximum Latency"), "リクエストの最大レイテンシ（処理遅延）", _xlfn.REGEXTEST(C330, "Garbage Collection Duration"), "Javaのガベージコレクション（GC）の所要時間", _xlfn.REGEXTEST(C330, "Spool Directory Usage"), "Rangerプラグインのスプールディレクトリ使用量", _xlfn.REGEXTEST(C330, "Process Directory Free Space Monitoring Absolute"), "プロセスディレクトリの空き容量（絶対値)", _xlfn.REGEXTEST(C330, "Process Directory Free Space.*Percentage"), "プロセスディレクトリの空き容量割合（%）", _xlfn.REGEXTEST(C330, "Parcel Directory Free Space.*Absolute"), "パーセルディレクトリの空き容量（絶対値）", _xlfn.REGEXTEST(C330, "Parcel Directory Free Space.*Percentage"), "パーセルディレクトリの空き容量割合（%）", _xlfn.REGEXTEST(C330, "Host Network Frame Error Percentage"), "ホストのネットワークフレームエラー割合（%）", _xlfn.REGEXTEST(C330, "Network Interfaces Slow Link Modes"), "ホストのネットワークインターフェースの低速リンクモード検出", _xlfn.REGEXTEST(C330, "Host Memory Swapping"), "ホストのメモリのスワップ発生状態", TRUE, "要手動確認")</f>
        <v>Rangerプラグインのスプールディレクトリ使用量</v>
      </c>
      <c r="H330" s="479" t="s">
        <v>766</v>
      </c>
    </row>
    <row r="331" spans="1:8" ht="33.6">
      <c r="A331" s="514"/>
      <c r="B331" s="473"/>
      <c r="C331" s="471" t="s">
        <v>1141</v>
      </c>
      <c r="D331" s="471" t="s">
        <v>1142</v>
      </c>
      <c r="E331" s="471" t="s">
        <v>1040</v>
      </c>
      <c r="F331" s="471"/>
      <c r="G331" s="471" t="str" cm="1">
        <f t="array" ref="G331">_xlfn.IFS(C331 = "", "", _xlfn.REGEXTEST(C331, "Service Metric Migrator Minimum Consecutive Successful Checks"), "サービスメトリック移行ツールの連続正常チェック最小回数", _xlfn.REGEXTEST(C331, "Rebalancing"), "リバランシング（データ再配置）状態", _xlfn.REGEXTEST(C331, "Temporary Dump Directory"), "一時ダンプディレクトリの監視", _xlfn.REGEXTEST(C331, "Safemode Extension"), "セーフモード延長状態", _xlfn.REGEXTEST(C331, "Client Idle"), "クライアントのアイドル（待機）状態", _xlfn.REGEXTEST(C331, "Available Space Policy Balanced"), "空き容量ポリシーの分散バランス状態", _xlfn.REGEXTEST(C331, "Filesystem Checkpoint Transaction"), "ファイルシステムのチェックポイントトランザクション", _xlfn.REGEXTEST(C331, "Blocks With Corrupt Replicas Monitoring"), "破損レプリカを持つブロックの監視", _xlfn.REGEXTEST(C331, "Missing Block Monitoring"), "消失（ミッシング）ブロックの監視", _xlfn.REGEXTEST(C331, "Under-replicated Block Monitoring"), "レプリカ数不足ブロックの監視", _xlfn.REGEXTEST(C331, "HDFS Free Space Monitoring"), "HDFSの空き容量監視", _xlfn.REGEXTEST(C331, "DataNode Monitoring"), "DataNodeの稼働状態監視", _xlfn.REGEXTEST(C331, "Rules to Extract Events from Log Files"), "ログファイルからのイベント抽出ルール設定", _xlfn.REGEXTEST(C331, "Free Space Monitoring$"), "空き容量監視（一般設定）", _xlfn.REGEXTEST(C331, "Transceivers Usage"), "トランシーバー使用量（データ転送スレッド数）", _xlfn.REGEXTEST(C331, "Volume Failures"), "ボリューム障害（ディスクエラー）数", _xlfn.REGEXTEST(C331, "Block Count"), "ブロック総数", _xlfn.REGEXTEST(C331, "Audit Failure"), "監査（オーディット）ログの失敗イベント", _xlfn.REGEXTEST(C331, "Web Metric Collection Duration"), "Webメトリック収集の所要時間", _xlfn.REGEXTEST(C331, "Pause Duration"), "一時停止（ポーズ）の所要時間", _xlfn.REGEXTEST(C331, "Fsync Latency"), "Fsync（ディスク同期）のレイテンシ", _xlfn.REGEXTEST(C331, "Free Space Monitoring Absolute"), "空き容量（絶対値）", _xlfn.REGEXTEST(C331, "Free Space Monitoring Percentage"), "空き容量割合（%）", _xlfn.REGEXTEST(C331, "Age Monitoring"), "経過時間の監視", _xlfn.REGEXTEST(C331, "Transactions Monitoring"), "トランザクション数の監視", _xlfn.REGEXTEST(C331, "RPC Latency"), "RPC（遠隔手続き呼出し）のレイテンシ", _xlfn.REGEXTEST(C331, "Directory Failures"), "ディレクトリ障害数", _xlfn.REGEXTEST(C331, "Out-Of-Sync JournalNodes"), "同期ズレが発生しているJournalNode数", _xlfn.REGEXTEST(C331, "Safemode Threshold Percentage"), "セーフモード解除閾値の割合（%）", _xlfn.REGEXTEST(C331, "Kerberos Ticket Renewer Monitoring"), "Kerberosチケット更新プロセスの稼働状態監視", _xlfn.REGEXTEST(C331, "Load Balancer Monitoring"), "ロードバランサーの稼働状態監視", _xlfn.REGEXTEST(C331, "Navigator Audit Failure"), "Cloudera Navigator監査ログの失敗イベント", _xlfn.REGEXTEST(C331, "Schema Registry Server Monitoring"), "Schema Registry Serverの稼働状態監視", _xlfn.REGEXTEST(C331, "SRM Service Monitoring"), "SRMサービスの稼働状態監視", _xlfn.REGEXTEST(C331, "SRM Driver Monitoring"), "SRMドライバーの稼働状態監視", _xlfn.REGEXTEST(C331, "Loggin"), "ログ出力状態・設定監視", _xlfn.REGEXTEST(C331, "Server Monitoring"), "サーバーの稼働状態監視", _xlfn.REGEXTEST(C331, "Server Connection Count"), "サーバーの接続数（コネクション数）", _xlfn.REGEXTEST(C331, "Server Outstanding Requests"), "サーバーの未処理リクエスト数（滞留要求数）", _xlfn.REGEXTEST(C331, "Repository Status"), "リポジトリのステータス状態", _xlfn.REGEXTEST(C331, "Monitor Long Running Task"), "長時間実行タスク（ジョブ）の監視", _xlfn.REGEXTEST(C331, "Token requests per second"), "1秒あたりのトークンリクエスト数（要求レート）", _xlfn.REGEXTEST(C331, "Connection Model Score"), "接続モデルスコア（コネクション品質）", _xlfn.REGEXTEST(C331, "Queue swap"), "キューのスワップ発生状態", _xlfn.REGEXTEST(C331, "NiFi Node Monitoring"), "NiFiノードの稼働状態監視", _xlfn.REGEXTEST(C331, "Host Clock Offset"), "ホストのクロックオフセット（時刻同期のズレ）", _xlfn.REGEXTEST(C331, "Memory Overcommit Validation"), "メモリオーバーコミット設定の検証", _xlfn.REGEXTEST(C331, "Gateway Logging"), "ゲートウェイのログ出力設定", _xlfn.REGEXTEST(C331, "CPU Balance"), "CPU使用率の分散バランス状態", _xlfn.REGEXTEST(C331, "Disk Balance"), "ディスク使用量の分散バランス状態", _xlfn.REGEXTEST(C331, "Network Inbound Balance"), "ネットワークインバウンド（受信）の分散バランス状態", _xlfn.REGEXTEST(C331, "Network Outbound Balance"), "ネットワークアウトバウンド（送信）の分散バランス状態", _xlfn.REGEXTEST(C331, "Replica Count Balance"), "レプリカ数の分散バランス状態", _xlfn.REGEXTEST(C331, "Disk Capacity"), "ディスク総容量の限界・使用容量", _xlfn.REGEXTEST(C331, "CPU Capacity"), "CPU総処理能力の限界・使用量", _xlfn.REGEXTEST(C331, "Network Inbound Capacity"), "ネットワークインバウンド（受信）帯域の限界・使用量", _xlfn.REGEXTEST(C331, "Network Outbound Capacity"), "ネットワークアウトバウンド（送信）帯域の限界・使用量", _xlfn.REGEXTEST(C331, "Leader Replica Count Balance"), "リーダーレプリカ数の分散バランス状態", _xlfn.REGEXTEST(C331, "Host DNS Resolution Duration"), "ホストのDNS名前解決の所要時間", _xlfn.REGEXTEST(C331, "TLS Certificate Expiry"), "TLS証明書の有効期限切れ", _xlfn.REGEXTEST(C331, "Host Entropy"), "ホストのエントロピー（乱数生成能力）の不足", _xlfn.REGEXTEST(C331, "File Descriptor"), "プロセスのファイルディスクリプタ使用率", _xlfn.REGEXTEST(C331, "Unexpected Exits"), "プロセスの異常終了（予期せぬ停止）", _xlfn.REGEXTEST(C331, "Swap Memory Thresholds"), "プロセスのスワップメモリ使用量", _xlfn.REGEXTEST(C331, "Swap Memory Usage Rate"), "スワップメモリ使用量の変化率（増加速度）", _xlfn.REGEXTEST(C331, "Log Directory Free Space.*Absolute"), "ログディレクトリの空き容量（絶対値）", _xlfn.REGEXTEST(C331, "Log Directory Free Space.*Percentage"), "ログディレクトリの空き容量割合（%）", _xlfn.REGEXTEST(C331, "Heap Dump Directory Free Space.*Absolute"), "ヒープダンプディレクトリの空き容量（絶対値）", _xlfn.REGEXTEST(C331, "Heap Dump Directory Free Space.*Percentage"), "ヒープダンプディレクトリの空き容量割合（%）", _xlfn.REGEXTEST(C331, "Data Directory Free Space.*Absolute"), "データディレクトリの空き容量（絶対値）", _xlfn.REGEXTEST(C331, "Data Directory Free Space.*Percentage"), "データディレクトリの空き容量割合（%）", _xlfn.REGEXTEST(C331, "Transaction Log Directory Free Space.*Absolute"), "トランザクションログディレクトリの空き容量（絶対値）", _xlfn.REGEXTEST(C331, "Logging Threshold|Logger Threshold"), "ログ出力レベルの閾値設定", _xlfn.REGEXTEST(C331, "Enable.*Alerts"), "ヘルスアラートの有効化状態", _xlfn.REGEXTEST(C331, "Triggers"), "カスタムアラート条件（トリガー設定）", _xlfn.REGEXTEST(C331, "Healthy Kafka Broker"), "Kafka Brokerの健全ノード割合（稼働率）", _xlfn.REGEXTEST(C331, "Healthy Kafka Connect"), "Kafka Connectの健全ノード割合（稼働率）", _xlfn.REGEXTEST(C331, "Healthy KRaft Controller"), "KRaft Controllerの健全ノード割合（稼働率）", _xlfn.REGEXTEST(C331, "Healthy Knox IDBroker"), "Knox IDBrokerの健全ノード割合（稼働率）", _xlfn.REGEXTEST(C331, "Healthy Knox Gateway"), "Knox Gatewayの健全ノード割合（稼働率）", _xlfn.REGEXTEST(C331, "Healthy ZooKeeper Server"), "ZooKeeper Serverの健全ノード割合（稼働率）", _xlfn.REGEXTEST(C331, "Healthy NodeManager"), "NodeManagerの健全ノード割合（稼働率）", _xlfn.REGEXTEST(C331, "Maximum Latency"), "リクエストの最大レイテンシ（処理遅延）", _xlfn.REGEXTEST(C331, "Garbage Collection Duration"), "Javaのガベージコレクション（GC）の所要時間", _xlfn.REGEXTEST(C331, "Spool Directory Usage"), "Rangerプラグインのスプールディレクトリ使用量", _xlfn.REGEXTEST(C331, "Process Directory Free Space Monitoring Absolute"), "プロセスディレクトリの空き容量（絶対値)", _xlfn.REGEXTEST(C331, "Process Directory Free Space.*Percentage"), "プロセスディレクトリの空き容量割合（%）", _xlfn.REGEXTEST(C331, "Parcel Directory Free Space.*Absolute"), "パーセルディレクトリの空き容量（絶対値）", _xlfn.REGEXTEST(C331, "Parcel Directory Free Space.*Percentage"), "パーセルディレクトリの空き容量割合（%）", _xlfn.REGEXTEST(C331, "Host Network Frame Error Percentage"), "ホストのネットワークフレームエラー割合（%）", _xlfn.REGEXTEST(C331, "Network Interfaces Slow Link Modes"), "ホストのネットワークインターフェースの低速リンクモード検出", _xlfn.REGEXTEST(C331, "Host Memory Swapping"), "ホストのメモリのスワップ発生状態", TRUE, "要手動確認")</f>
        <v>空き容量（絶対値）</v>
      </c>
      <c r="H331" s="479" t="s">
        <v>692</v>
      </c>
    </row>
    <row r="332" spans="1:8" ht="33.6">
      <c r="A332" s="514"/>
      <c r="B332" s="473"/>
      <c r="C332" s="471" t="s">
        <v>1143</v>
      </c>
      <c r="D332" s="471" t="s">
        <v>1144</v>
      </c>
      <c r="E332" s="471" t="s">
        <v>1040</v>
      </c>
      <c r="F332" s="471"/>
      <c r="G332" s="471" t="str" cm="1">
        <f t="array" ref="G332">_xlfn.IFS(C332 = "", "", _xlfn.REGEXTEST(C332, "Service Metric Migrator Minimum Consecutive Successful Checks"), "サービスメトリック移行ツールの連続正常チェック最小回数", _xlfn.REGEXTEST(C332, "Rebalancing"), "リバランシング（データ再配置）状態", _xlfn.REGEXTEST(C332, "Temporary Dump Directory"), "一時ダンプディレクトリの監視", _xlfn.REGEXTEST(C332, "Safemode Extension"), "セーフモード延長状態", _xlfn.REGEXTEST(C332, "Client Idle"), "クライアントのアイドル（待機）状態", _xlfn.REGEXTEST(C332, "Available Space Policy Balanced"), "空き容量ポリシーの分散バランス状態", _xlfn.REGEXTEST(C332, "Filesystem Checkpoint Transaction"), "ファイルシステムのチェックポイントトランザクション", _xlfn.REGEXTEST(C332, "Blocks With Corrupt Replicas Monitoring"), "破損レプリカを持つブロックの監視", _xlfn.REGEXTEST(C332, "Missing Block Monitoring"), "消失（ミッシング）ブロックの監視", _xlfn.REGEXTEST(C332, "Under-replicated Block Monitoring"), "レプリカ数不足ブロックの監視", _xlfn.REGEXTEST(C332, "HDFS Free Space Monitoring"), "HDFSの空き容量監視", _xlfn.REGEXTEST(C332, "DataNode Monitoring"), "DataNodeの稼働状態監視", _xlfn.REGEXTEST(C332, "Rules to Extract Events from Log Files"), "ログファイルからのイベント抽出ルール設定", _xlfn.REGEXTEST(C332, "Free Space Monitoring$"), "空き容量監視（一般設定）", _xlfn.REGEXTEST(C332, "Transceivers Usage"), "トランシーバー使用量（データ転送スレッド数）", _xlfn.REGEXTEST(C332, "Volume Failures"), "ボリューム障害（ディスクエラー）数", _xlfn.REGEXTEST(C332, "Block Count"), "ブロック総数", _xlfn.REGEXTEST(C332, "Audit Failure"), "監査（オーディット）ログの失敗イベント", _xlfn.REGEXTEST(C332, "Web Metric Collection Duration"), "Webメトリック収集の所要時間", _xlfn.REGEXTEST(C332, "Pause Duration"), "一時停止（ポーズ）の所要時間", _xlfn.REGEXTEST(C332, "Fsync Latency"), "Fsync（ディスク同期）のレイテンシ", _xlfn.REGEXTEST(C332, "Free Space Monitoring Absolute"), "空き容量（絶対値）", _xlfn.REGEXTEST(C332, "Free Space Monitoring Percentage"), "空き容量割合（%）", _xlfn.REGEXTEST(C332, "Age Monitoring"), "経過時間の監視", _xlfn.REGEXTEST(C332, "Transactions Monitoring"), "トランザクション数の監視", _xlfn.REGEXTEST(C332, "RPC Latency"), "RPC（遠隔手続き呼出し）のレイテンシ", _xlfn.REGEXTEST(C332, "Directory Failures"), "ディレクトリ障害数", _xlfn.REGEXTEST(C332, "Out-Of-Sync JournalNodes"), "同期ズレが発生しているJournalNode数", _xlfn.REGEXTEST(C332, "Safemode Threshold Percentage"), "セーフモード解除閾値の割合（%）", _xlfn.REGEXTEST(C332, "Kerberos Ticket Renewer Monitoring"), "Kerberosチケット更新プロセスの稼働状態監視", _xlfn.REGEXTEST(C332, "Load Balancer Monitoring"), "ロードバランサーの稼働状態監視", _xlfn.REGEXTEST(C332, "Navigator Audit Failure"), "Cloudera Navigator監査ログの失敗イベント", _xlfn.REGEXTEST(C332, "Schema Registry Server Monitoring"), "Schema Registry Serverの稼働状態監視", _xlfn.REGEXTEST(C332, "SRM Service Monitoring"), "SRMサービスの稼働状態監視", _xlfn.REGEXTEST(C332, "SRM Driver Monitoring"), "SRMドライバーの稼働状態監視", _xlfn.REGEXTEST(C332, "Loggin"), "ログ出力状態・設定監視", _xlfn.REGEXTEST(C332, "Server Monitoring"), "サーバーの稼働状態監視", _xlfn.REGEXTEST(C332, "Server Connection Count"), "サーバーの接続数（コネクション数）", _xlfn.REGEXTEST(C332, "Server Outstanding Requests"), "サーバーの未処理リクエスト数（滞留要求数）", _xlfn.REGEXTEST(C332, "Repository Status"), "リポジトリのステータス状態", _xlfn.REGEXTEST(C332, "Monitor Long Running Task"), "長時間実行タスク（ジョブ）の監視", _xlfn.REGEXTEST(C332, "Token requests per second"), "1秒あたりのトークンリクエスト数（要求レート）", _xlfn.REGEXTEST(C332, "Connection Model Score"), "接続モデルスコア（コネクション品質）", _xlfn.REGEXTEST(C332, "Queue swap"), "キューのスワップ発生状態", _xlfn.REGEXTEST(C332, "NiFi Node Monitoring"), "NiFiノードの稼働状態監視", _xlfn.REGEXTEST(C332, "Host Clock Offset"), "ホストのクロックオフセット（時刻同期のズレ）", _xlfn.REGEXTEST(C332, "Memory Overcommit Validation"), "メモリオーバーコミット設定の検証", _xlfn.REGEXTEST(C332, "Gateway Logging"), "ゲートウェイのログ出力設定", _xlfn.REGEXTEST(C332, "CPU Balance"), "CPU使用率の分散バランス状態", _xlfn.REGEXTEST(C332, "Disk Balance"), "ディスク使用量の分散バランス状態", _xlfn.REGEXTEST(C332, "Network Inbound Balance"), "ネットワークインバウンド（受信）の分散バランス状態", _xlfn.REGEXTEST(C332, "Network Outbound Balance"), "ネットワークアウトバウンド（送信）の分散バランス状態", _xlfn.REGEXTEST(C332, "Replica Count Balance"), "レプリカ数の分散バランス状態", _xlfn.REGEXTEST(C332, "Disk Capacity"), "ディスク総容量の限界・使用容量", _xlfn.REGEXTEST(C332, "CPU Capacity"), "CPU総処理能力の限界・使用量", _xlfn.REGEXTEST(C332, "Network Inbound Capacity"), "ネットワークインバウンド（受信）帯域の限界・使用量", _xlfn.REGEXTEST(C332, "Network Outbound Capacity"), "ネットワークアウトバウンド（送信）帯域の限界・使用量", _xlfn.REGEXTEST(C332, "Leader Replica Count Balance"), "リーダーレプリカ数の分散バランス状態", _xlfn.REGEXTEST(C332, "Host DNS Resolution Duration"), "ホストのDNS名前解決の所要時間", _xlfn.REGEXTEST(C332, "TLS Certificate Expiry"), "TLS証明書の有効期限切れ", _xlfn.REGEXTEST(C332, "Host Entropy"), "ホストのエントロピー（乱数生成能力）の不足", _xlfn.REGEXTEST(C332, "File Descriptor"), "プロセスのファイルディスクリプタ使用率", _xlfn.REGEXTEST(C332, "Unexpected Exits"), "プロセスの異常終了（予期せぬ停止）", _xlfn.REGEXTEST(C332, "Swap Memory Thresholds"), "プロセスのスワップメモリ使用量", _xlfn.REGEXTEST(C332, "Swap Memory Usage Rate"), "スワップメモリ使用量の変化率（増加速度）", _xlfn.REGEXTEST(C332, "Log Directory Free Space.*Absolute"), "ログディレクトリの空き容量（絶対値）", _xlfn.REGEXTEST(C332, "Log Directory Free Space.*Percentage"), "ログディレクトリの空き容量割合（%）", _xlfn.REGEXTEST(C332, "Heap Dump Directory Free Space.*Absolute"), "ヒープダンプディレクトリの空き容量（絶対値）", _xlfn.REGEXTEST(C332, "Heap Dump Directory Free Space.*Percentage"), "ヒープダンプディレクトリの空き容量割合（%）", _xlfn.REGEXTEST(C332, "Data Directory Free Space.*Absolute"), "データディレクトリの空き容量（絶対値）", _xlfn.REGEXTEST(C332, "Data Directory Free Space.*Percentage"), "データディレクトリの空き容量割合（%）", _xlfn.REGEXTEST(C332, "Transaction Log Directory Free Space.*Absolute"), "トランザクションログディレクトリの空き容量（絶対値）", _xlfn.REGEXTEST(C332, "Logging Threshold|Logger Threshold"), "ログ出力レベルの閾値設定", _xlfn.REGEXTEST(C332, "Enable.*Alerts"), "ヘルスアラートの有効化状態", _xlfn.REGEXTEST(C332, "Triggers"), "カスタムアラート条件（トリガー設定）", _xlfn.REGEXTEST(C332, "Healthy Kafka Broker"), "Kafka Brokerの健全ノード割合（稼働率）", _xlfn.REGEXTEST(C332, "Healthy Kafka Connect"), "Kafka Connectの健全ノード割合（稼働率）", _xlfn.REGEXTEST(C332, "Healthy KRaft Controller"), "KRaft Controllerの健全ノード割合（稼働率）", _xlfn.REGEXTEST(C332, "Healthy Knox IDBroker"), "Knox IDBrokerの健全ノード割合（稼働率）", _xlfn.REGEXTEST(C332, "Healthy Knox Gateway"), "Knox Gatewayの健全ノード割合（稼働率）", _xlfn.REGEXTEST(C332, "Healthy ZooKeeper Server"), "ZooKeeper Serverの健全ノード割合（稼働率）", _xlfn.REGEXTEST(C332, "Healthy NodeManager"), "NodeManagerの健全ノード割合（稼働率）", _xlfn.REGEXTEST(C332, "Maximum Latency"), "リクエストの最大レイテンシ（処理遅延）", _xlfn.REGEXTEST(C332, "Garbage Collection Duration"), "Javaのガベージコレクション（GC）の所要時間", _xlfn.REGEXTEST(C332, "Spool Directory Usage"), "Rangerプラグインのスプールディレクトリ使用量", _xlfn.REGEXTEST(C332, "Process Directory Free Space Monitoring Absolute"), "プロセスディレクトリの空き容量（絶対値)", _xlfn.REGEXTEST(C332, "Process Directory Free Space.*Percentage"), "プロセスディレクトリの空き容量割合（%）", _xlfn.REGEXTEST(C332, "Parcel Directory Free Space.*Absolute"), "パーセルディレクトリの空き容量（絶対値）", _xlfn.REGEXTEST(C332, "Parcel Directory Free Space.*Percentage"), "パーセルディレクトリの空き容量割合（%）", _xlfn.REGEXTEST(C332, "Host Network Frame Error Percentage"), "ホストのネットワークフレームエラー割合（%）", _xlfn.REGEXTEST(C332, "Network Interfaces Slow Link Modes"), "ホストのネットワークインターフェースの低速リンクモード検出", _xlfn.REGEXTEST(C332, "Host Memory Swapping"), "ホストのメモリのスワップ発生状態", TRUE, "要手動確認")</f>
        <v>空き容量割合（%）</v>
      </c>
      <c r="H332" s="479" t="s">
        <v>689</v>
      </c>
    </row>
    <row r="333" spans="1:8" ht="33.6">
      <c r="A333" s="514"/>
      <c r="B333" s="473"/>
      <c r="C333" s="471" t="s">
        <v>736</v>
      </c>
      <c r="D333" s="471" t="s">
        <v>1145</v>
      </c>
      <c r="E333" s="471" t="s">
        <v>1067</v>
      </c>
      <c r="F333" s="471"/>
      <c r="G333" s="471" t="str" cm="1">
        <f t="array" ref="G333">_xlfn.IFS(C333 = "", "", _xlfn.REGEXTEST(C333, "Service Metric Migrator Minimum Consecutive Successful Checks"), "サービスメトリック移行ツールの連続正常チェック最小回数", _xlfn.REGEXTEST(C333, "Rebalancing"), "リバランシング（データ再配置）状態", _xlfn.REGEXTEST(C333, "Temporary Dump Directory"), "一時ダンプディレクトリの監視", _xlfn.REGEXTEST(C333, "Safemode Extension"), "セーフモード延長状態", _xlfn.REGEXTEST(C333, "Client Idle"), "クライアントのアイドル（待機）状態", _xlfn.REGEXTEST(C333, "Available Space Policy Balanced"), "空き容量ポリシーの分散バランス状態", _xlfn.REGEXTEST(C333, "Filesystem Checkpoint Transaction"), "ファイルシステムのチェックポイントトランザクション", _xlfn.REGEXTEST(C333, "Blocks With Corrupt Replicas Monitoring"), "破損レプリカを持つブロックの監視", _xlfn.REGEXTEST(C333, "Missing Block Monitoring"), "消失（ミッシング）ブロックの監視", _xlfn.REGEXTEST(C333, "Under-replicated Block Monitoring"), "レプリカ数不足ブロックの監視", _xlfn.REGEXTEST(C333, "HDFS Free Space Monitoring"), "HDFSの空き容量監視", _xlfn.REGEXTEST(C333, "DataNode Monitoring"), "DataNodeの稼働状態監視", _xlfn.REGEXTEST(C333, "Rules to Extract Events from Log Files"), "ログファイルからのイベント抽出ルール設定", _xlfn.REGEXTEST(C333, "Free Space Monitoring$"), "空き容量監視（一般設定）", _xlfn.REGEXTEST(C333, "Transceivers Usage"), "トランシーバー使用量（データ転送スレッド数）", _xlfn.REGEXTEST(C333, "Volume Failures"), "ボリューム障害（ディスクエラー）数", _xlfn.REGEXTEST(C333, "Block Count"), "ブロック総数", _xlfn.REGEXTEST(C333, "Audit Failure"), "監査（オーディット）ログの失敗イベント", _xlfn.REGEXTEST(C333, "Web Metric Collection Duration"), "Webメトリック収集の所要時間", _xlfn.REGEXTEST(C333, "Pause Duration"), "一時停止（ポーズ）の所要時間", _xlfn.REGEXTEST(C333, "Fsync Latency"), "Fsync（ディスク同期）のレイテンシ", _xlfn.REGEXTEST(C333, "Free Space Monitoring Absolute"), "空き容量（絶対値）", _xlfn.REGEXTEST(C333, "Free Space Monitoring Percentage"), "空き容量割合（%）", _xlfn.REGEXTEST(C333, "Age Monitoring"), "経過時間の監視", _xlfn.REGEXTEST(C333, "Transactions Monitoring"), "トランザクション数の監視", _xlfn.REGEXTEST(C333, "RPC Latency"), "RPC（遠隔手続き呼出し）のレイテンシ", _xlfn.REGEXTEST(C333, "Directory Failures"), "ディレクトリ障害数", _xlfn.REGEXTEST(C333, "Out-Of-Sync JournalNodes"), "同期ズレが発生しているJournalNode数", _xlfn.REGEXTEST(C333, "Safemode Threshold Percentage"), "セーフモード解除閾値の割合（%）", _xlfn.REGEXTEST(C333, "Kerberos Ticket Renewer Monitoring"), "Kerberosチケット更新プロセスの稼働状態監視", _xlfn.REGEXTEST(C333, "Load Balancer Monitoring"), "ロードバランサーの稼働状態監視", _xlfn.REGEXTEST(C333, "Navigator Audit Failure"), "Cloudera Navigator監査ログの失敗イベント", _xlfn.REGEXTEST(C333, "Schema Registry Server Monitoring"), "Schema Registry Serverの稼働状態監視", _xlfn.REGEXTEST(C333, "SRM Service Monitoring"), "SRMサービスの稼働状態監視", _xlfn.REGEXTEST(C333, "SRM Driver Monitoring"), "SRMドライバーの稼働状態監視", _xlfn.REGEXTEST(C333, "Loggin"), "ログ出力状態・設定監視", _xlfn.REGEXTEST(C333, "Server Monitoring"), "サーバーの稼働状態監視", _xlfn.REGEXTEST(C333, "Server Connection Count"), "サーバーの接続数（コネクション数）", _xlfn.REGEXTEST(C333, "Server Outstanding Requests"), "サーバーの未処理リクエスト数（滞留要求数）", _xlfn.REGEXTEST(C333, "Repository Status"), "リポジトリのステータス状態", _xlfn.REGEXTEST(C333, "Monitor Long Running Task"), "長時間実行タスク（ジョブ）の監視", _xlfn.REGEXTEST(C333, "Token requests per second"), "1秒あたりのトークンリクエスト数（要求レート）", _xlfn.REGEXTEST(C333, "Connection Model Score"), "接続モデルスコア（コネクション品質）", _xlfn.REGEXTEST(C333, "Queue swap"), "キューのスワップ発生状態", _xlfn.REGEXTEST(C333, "NiFi Node Monitoring"), "NiFiノードの稼働状態監視", _xlfn.REGEXTEST(C333, "Host Clock Offset"), "ホストのクロックオフセット（時刻同期のズレ）", _xlfn.REGEXTEST(C333, "Memory Overcommit Validation"), "メモリオーバーコミット設定の検証", _xlfn.REGEXTEST(C333, "Gateway Logging"), "ゲートウェイのログ出力設定", _xlfn.REGEXTEST(C333, "CPU Balance"), "CPU使用率の分散バランス状態", _xlfn.REGEXTEST(C333, "Disk Balance"), "ディスク使用量の分散バランス状態", _xlfn.REGEXTEST(C333, "Network Inbound Balance"), "ネットワークインバウンド（受信）の分散バランス状態", _xlfn.REGEXTEST(C333, "Network Outbound Balance"), "ネットワークアウトバウンド（送信）の分散バランス状態", _xlfn.REGEXTEST(C333, "Replica Count Balance"), "レプリカ数の分散バランス状態", _xlfn.REGEXTEST(C333, "Disk Capacity"), "ディスク総容量の限界・使用容量", _xlfn.REGEXTEST(C333, "CPU Capacity"), "CPU総処理能力の限界・使用量", _xlfn.REGEXTEST(C333, "Network Inbound Capacity"), "ネットワークインバウンド（受信）帯域の限界・使用量", _xlfn.REGEXTEST(C333, "Network Outbound Capacity"), "ネットワークアウトバウンド（送信）帯域の限界・使用量", _xlfn.REGEXTEST(C333, "Leader Replica Count Balance"), "リーダーレプリカ数の分散バランス状態", _xlfn.REGEXTEST(C333, "Host DNS Resolution Duration"), "ホストのDNS名前解決の所要時間", _xlfn.REGEXTEST(C333, "TLS Certificate Expiry"), "TLS証明書の有効期限切れ", _xlfn.REGEXTEST(C333, "Host Entropy"), "ホストのエントロピー（乱数生成能力）の不足", _xlfn.REGEXTEST(C333, "File Descriptor"), "プロセスのファイルディスクリプタ使用率", _xlfn.REGEXTEST(C333, "Unexpected Exits"), "プロセスの異常終了（予期せぬ停止）", _xlfn.REGEXTEST(C333, "Swap Memory Thresholds"), "プロセスのスワップメモリ使用量", _xlfn.REGEXTEST(C333, "Swap Memory Usage Rate"), "スワップメモリ使用量の変化率（増加速度）", _xlfn.REGEXTEST(C333, "Log Directory Free Space.*Absolute"), "ログディレクトリの空き容量（絶対値）", _xlfn.REGEXTEST(C333, "Log Directory Free Space.*Percentage"), "ログディレクトリの空き容量割合（%）", _xlfn.REGEXTEST(C333, "Heap Dump Directory Free Space.*Absolute"), "ヒープダンプディレクトリの空き容量（絶対値）", _xlfn.REGEXTEST(C333, "Heap Dump Directory Free Space.*Percentage"), "ヒープダンプディレクトリの空き容量割合（%）", _xlfn.REGEXTEST(C333, "Data Directory Free Space.*Absolute"), "データディレクトリの空き容量（絶対値）", _xlfn.REGEXTEST(C333, "Data Directory Free Space.*Percentage"), "データディレクトリの空き容量割合（%）", _xlfn.REGEXTEST(C333, "Transaction Log Directory Free Space.*Absolute"), "トランザクションログディレクトリの空き容量（絶対値）", _xlfn.REGEXTEST(C333, "Logging Threshold|Logger Threshold"), "ログ出力レベルの閾値設定", _xlfn.REGEXTEST(C333, "Enable.*Alerts"), "ヘルスアラートの有効化状態", _xlfn.REGEXTEST(C333, "Triggers"), "カスタムアラート条件（トリガー設定）", _xlfn.REGEXTEST(C333, "Healthy Kafka Broker"), "Kafka Brokerの健全ノード割合（稼働率）", _xlfn.REGEXTEST(C333, "Healthy Kafka Connect"), "Kafka Connectの健全ノード割合（稼働率）", _xlfn.REGEXTEST(C333, "Healthy KRaft Controller"), "KRaft Controllerの健全ノード割合（稼働率）", _xlfn.REGEXTEST(C333, "Healthy Knox IDBroker"), "Knox IDBrokerの健全ノード割合（稼働率）", _xlfn.REGEXTEST(C333, "Healthy Knox Gateway"), "Knox Gatewayの健全ノード割合（稼働率）", _xlfn.REGEXTEST(C333, "Healthy ZooKeeper Server"), "ZooKeeper Serverの健全ノード割合（稼働率）", _xlfn.REGEXTEST(C333, "Healthy NodeManager"), "NodeManagerの健全ノード割合（稼働率）", _xlfn.REGEXTEST(C333, "Maximum Latency"), "リクエストの最大レイテンシ（処理遅延）", _xlfn.REGEXTEST(C333, "Garbage Collection Duration"), "Javaのガベージコレクション（GC）の所要時間", _xlfn.REGEXTEST(C333, "Spool Directory Usage"), "Rangerプラグインのスプールディレクトリ使用量", _xlfn.REGEXTEST(C333, "Process Directory Free Space Monitoring Absolute"), "プロセスディレクトリの空き容量（絶対値)", _xlfn.REGEXTEST(C333, "Process Directory Free Space.*Percentage"), "プロセスディレクトリの空き容量割合（%）", _xlfn.REGEXTEST(C333, "Parcel Directory Free Space.*Absolute"), "パーセルディレクトリの空き容量（絶対値）", _xlfn.REGEXTEST(C333, "Parcel Directory Free Space.*Percentage"), "パーセルディレクトリの空き容量割合（%）", _xlfn.REGEXTEST(C333, "Host Network Frame Error Percentage"), "ホストのネットワークフレームエラー割合（%）", _xlfn.REGEXTEST(C333, "Network Interfaces Slow Link Modes"), "ホストのネットワークインターフェースの低速リンクモード検出", _xlfn.REGEXTEST(C333, "Host Memory Swapping"), "ホストのメモリのスワップ発生状態", TRUE, "要手動確認")</f>
        <v>プロセスのファイルディスクリプタ使用率</v>
      </c>
      <c r="H333" s="479" t="s">
        <v>813</v>
      </c>
    </row>
    <row r="334" spans="1:8" ht="33.6">
      <c r="A334" s="514"/>
      <c r="B334" s="473"/>
      <c r="C334" s="471" t="s">
        <v>1099</v>
      </c>
      <c r="D334" s="471" t="s">
        <v>1146</v>
      </c>
      <c r="E334" s="471" t="s">
        <v>1067</v>
      </c>
      <c r="F334" s="471"/>
      <c r="G334" s="471" t="str" cm="1">
        <f t="array" ref="G334">_xlfn.IFS(C334 = "", "", _xlfn.REGEXTEST(C334, "Service Metric Migrator Minimum Consecutive Successful Checks"), "サービスメトリック移行ツールの連続正常チェック最小回数", _xlfn.REGEXTEST(C334, "Rebalancing"), "リバランシング（データ再配置）状態", _xlfn.REGEXTEST(C334, "Temporary Dump Directory"), "一時ダンプディレクトリの監視", _xlfn.REGEXTEST(C334, "Safemode Extension"), "セーフモード延長状態", _xlfn.REGEXTEST(C334, "Client Idle"), "クライアントのアイドル（待機）状態", _xlfn.REGEXTEST(C334, "Available Space Policy Balanced"), "空き容量ポリシーの分散バランス状態", _xlfn.REGEXTEST(C334, "Filesystem Checkpoint Transaction"), "ファイルシステムのチェックポイントトランザクション", _xlfn.REGEXTEST(C334, "Blocks With Corrupt Replicas Monitoring"), "破損レプリカを持つブロックの監視", _xlfn.REGEXTEST(C334, "Missing Block Monitoring"), "消失（ミッシング）ブロックの監視", _xlfn.REGEXTEST(C334, "Under-replicated Block Monitoring"), "レプリカ数不足ブロックの監視", _xlfn.REGEXTEST(C334, "HDFS Free Space Monitoring"), "HDFSの空き容量監視", _xlfn.REGEXTEST(C334, "DataNode Monitoring"), "DataNodeの稼働状態監視", _xlfn.REGEXTEST(C334, "Rules to Extract Events from Log Files"), "ログファイルからのイベント抽出ルール設定", _xlfn.REGEXTEST(C334, "Free Space Monitoring$"), "空き容量監視（一般設定）", _xlfn.REGEXTEST(C334, "Transceivers Usage"), "トランシーバー使用量（データ転送スレッド数）", _xlfn.REGEXTEST(C334, "Volume Failures"), "ボリューム障害（ディスクエラー）数", _xlfn.REGEXTEST(C334, "Block Count"), "ブロック総数", _xlfn.REGEXTEST(C334, "Audit Failure"), "監査（オーディット）ログの失敗イベント", _xlfn.REGEXTEST(C334, "Web Metric Collection Duration"), "Webメトリック収集の所要時間", _xlfn.REGEXTEST(C334, "Pause Duration"), "一時停止（ポーズ）の所要時間", _xlfn.REGEXTEST(C334, "Fsync Latency"), "Fsync（ディスク同期）のレイテンシ", _xlfn.REGEXTEST(C334, "Free Space Monitoring Absolute"), "空き容量（絶対値）", _xlfn.REGEXTEST(C334, "Free Space Monitoring Percentage"), "空き容量割合（%）", _xlfn.REGEXTEST(C334, "Age Monitoring"), "経過時間の監視", _xlfn.REGEXTEST(C334, "Transactions Monitoring"), "トランザクション数の監視", _xlfn.REGEXTEST(C334, "RPC Latency"), "RPC（遠隔手続き呼出し）のレイテンシ", _xlfn.REGEXTEST(C334, "Directory Failures"), "ディレクトリ障害数", _xlfn.REGEXTEST(C334, "Out-Of-Sync JournalNodes"), "同期ズレが発生しているJournalNode数", _xlfn.REGEXTEST(C334, "Safemode Threshold Percentage"), "セーフモード解除閾値の割合（%）", _xlfn.REGEXTEST(C334, "Kerberos Ticket Renewer Monitoring"), "Kerberosチケット更新プロセスの稼働状態監視", _xlfn.REGEXTEST(C334, "Load Balancer Monitoring"), "ロードバランサーの稼働状態監視", _xlfn.REGEXTEST(C334, "Navigator Audit Failure"), "Cloudera Navigator監査ログの失敗イベント", _xlfn.REGEXTEST(C334, "Schema Registry Server Monitoring"), "Schema Registry Serverの稼働状態監視", _xlfn.REGEXTEST(C334, "SRM Service Monitoring"), "SRMサービスの稼働状態監視", _xlfn.REGEXTEST(C334, "SRM Driver Monitoring"), "SRMドライバーの稼働状態監視", _xlfn.REGEXTEST(C334, "Loggin"), "ログ出力状態・設定監視", _xlfn.REGEXTEST(C334, "Server Monitoring"), "サーバーの稼働状態監視", _xlfn.REGEXTEST(C334, "Server Connection Count"), "サーバーの接続数（コネクション数）", _xlfn.REGEXTEST(C334, "Server Outstanding Requests"), "サーバーの未処理リクエスト数（滞留要求数）", _xlfn.REGEXTEST(C334, "Repository Status"), "リポジトリのステータス状態", _xlfn.REGEXTEST(C334, "Monitor Long Running Task"), "長時間実行タスク（ジョブ）の監視", _xlfn.REGEXTEST(C334, "Token requests per second"), "1秒あたりのトークンリクエスト数（要求レート）", _xlfn.REGEXTEST(C334, "Connection Model Score"), "接続モデルスコア（コネクション品質）", _xlfn.REGEXTEST(C334, "Queue swap"), "キューのスワップ発生状態", _xlfn.REGEXTEST(C334, "NiFi Node Monitoring"), "NiFiノードの稼働状態監視", _xlfn.REGEXTEST(C334, "Host Clock Offset"), "ホストのクロックオフセット（時刻同期のズレ）", _xlfn.REGEXTEST(C334, "Memory Overcommit Validation"), "メモリオーバーコミット設定の検証", _xlfn.REGEXTEST(C334, "Gateway Logging"), "ゲートウェイのログ出力設定", _xlfn.REGEXTEST(C334, "CPU Balance"), "CPU使用率の分散バランス状態", _xlfn.REGEXTEST(C334, "Disk Balance"), "ディスク使用量の分散バランス状態", _xlfn.REGEXTEST(C334, "Network Inbound Balance"), "ネットワークインバウンド（受信）の分散バランス状態", _xlfn.REGEXTEST(C334, "Network Outbound Balance"), "ネットワークアウトバウンド（送信）の分散バランス状態", _xlfn.REGEXTEST(C334, "Replica Count Balance"), "レプリカ数の分散バランス状態", _xlfn.REGEXTEST(C334, "Disk Capacity"), "ディスク総容量の限界・使用容量", _xlfn.REGEXTEST(C334, "CPU Capacity"), "CPU総処理能力の限界・使用量", _xlfn.REGEXTEST(C334, "Network Inbound Capacity"), "ネットワークインバウンド（受信）帯域の限界・使用量", _xlfn.REGEXTEST(C334, "Network Outbound Capacity"), "ネットワークアウトバウンド（送信）帯域の限界・使用量", _xlfn.REGEXTEST(C334, "Leader Replica Count Balance"), "リーダーレプリカ数の分散バランス状態", _xlfn.REGEXTEST(C334, "Host DNS Resolution Duration"), "ホストのDNS名前解決の所要時間", _xlfn.REGEXTEST(C334, "TLS Certificate Expiry"), "TLS証明書の有効期限切れ", _xlfn.REGEXTEST(C334, "Host Entropy"), "ホストのエントロピー（乱数生成能力）の不足", _xlfn.REGEXTEST(C334, "File Descriptor"), "プロセスのファイルディスクリプタ使用率", _xlfn.REGEXTEST(C334, "Unexpected Exits"), "プロセスの異常終了（予期せぬ停止）", _xlfn.REGEXTEST(C334, "Swap Memory Thresholds"), "プロセスのスワップメモリ使用量", _xlfn.REGEXTEST(C334, "Swap Memory Usage Rate"), "スワップメモリ使用量の変化率（増加速度）", _xlfn.REGEXTEST(C334, "Log Directory Free Space.*Absolute"), "ログディレクトリの空き容量（絶対値）", _xlfn.REGEXTEST(C334, "Log Directory Free Space.*Percentage"), "ログディレクトリの空き容量割合（%）", _xlfn.REGEXTEST(C334, "Heap Dump Directory Free Space.*Absolute"), "ヒープダンプディレクトリの空き容量（絶対値）", _xlfn.REGEXTEST(C334, "Heap Dump Directory Free Space.*Percentage"), "ヒープダンプディレクトリの空き容量割合（%）", _xlfn.REGEXTEST(C334, "Data Directory Free Space.*Absolute"), "データディレクトリの空き容量（絶対値）", _xlfn.REGEXTEST(C334, "Data Directory Free Space.*Percentage"), "データディレクトリの空き容量割合（%）", _xlfn.REGEXTEST(C334, "Transaction Log Directory Free Space.*Absolute"), "トランザクションログディレクトリの空き容量（絶対値）", _xlfn.REGEXTEST(C334, "Logging Threshold|Logger Threshold"), "ログ出力レベルの閾値設定", _xlfn.REGEXTEST(C334, "Enable.*Alerts"), "ヘルスアラートの有効化状態", _xlfn.REGEXTEST(C334, "Triggers"), "カスタムアラート条件（トリガー設定）", _xlfn.REGEXTEST(C334, "Healthy Kafka Broker"), "Kafka Brokerの健全ノード割合（稼働率）", _xlfn.REGEXTEST(C334, "Healthy Kafka Connect"), "Kafka Connectの健全ノード割合（稼働率）", _xlfn.REGEXTEST(C334, "Healthy KRaft Controller"), "KRaft Controllerの健全ノード割合（稼働率）", _xlfn.REGEXTEST(C334, "Healthy Knox IDBroker"), "Knox IDBrokerの健全ノード割合（稼働率）", _xlfn.REGEXTEST(C334, "Healthy Knox Gateway"), "Knox Gatewayの健全ノード割合（稼働率）", _xlfn.REGEXTEST(C334, "Healthy ZooKeeper Server"), "ZooKeeper Serverの健全ノード割合（稼働率）", _xlfn.REGEXTEST(C334, "Healthy NodeManager"), "NodeManagerの健全ノード割合（稼働率）", _xlfn.REGEXTEST(C334, "Maximum Latency"), "リクエストの最大レイテンシ（処理遅延）", _xlfn.REGEXTEST(C334, "Garbage Collection Duration"), "Javaのガベージコレクション（GC）の所要時間", _xlfn.REGEXTEST(C334, "Spool Directory Usage"), "Rangerプラグインのスプールディレクトリ使用量", _xlfn.REGEXTEST(C334, "Process Directory Free Space Monitoring Absolute"), "プロセスディレクトリの空き容量（絶対値)", _xlfn.REGEXTEST(C334, "Process Directory Free Space.*Percentage"), "プロセスディレクトリの空き容量割合（%）", _xlfn.REGEXTEST(C334, "Parcel Directory Free Space.*Absolute"), "パーセルディレクトリの空き容量（絶対値）", _xlfn.REGEXTEST(C334, "Parcel Directory Free Space.*Percentage"), "パーセルディレクトリの空き容量割合（%）", _xlfn.REGEXTEST(C334, "Host Network Frame Error Percentage"), "ホストのネットワークフレームエラー割合（%）", _xlfn.REGEXTEST(C334, "Network Interfaces Slow Link Modes"), "ホストのネットワークインターフェースの低速リンクモード検出", _xlfn.REGEXTEST(C334, "Host Memory Swapping"), "ホストのメモリのスワップ発生状態", TRUE, "要手動確認")</f>
        <v>Webメトリック収集の所要時間</v>
      </c>
      <c r="H334" s="479" t="s">
        <v>1101</v>
      </c>
    </row>
    <row r="335" spans="1:8" ht="33.6">
      <c r="A335" s="514"/>
      <c r="B335" s="473"/>
      <c r="C335" s="471" t="s">
        <v>820</v>
      </c>
      <c r="D335" s="471" t="s">
        <v>1147</v>
      </c>
      <c r="E335" s="471" t="s">
        <v>1067</v>
      </c>
      <c r="F335" s="471"/>
      <c r="G335" s="471" t="str" cm="1">
        <f t="array" ref="G335">_xlfn.IFS(C335 = "", "", _xlfn.REGEXTEST(C335, "Service Metric Migrator Minimum Consecutive Successful Checks"), "サービスメトリック移行ツールの連続正常チェック最小回数", _xlfn.REGEXTEST(C335, "Rebalancing"), "リバランシング（データ再配置）状態", _xlfn.REGEXTEST(C335, "Temporary Dump Directory"), "一時ダンプディレクトリの監視", _xlfn.REGEXTEST(C335, "Safemode Extension"), "セーフモード延長状態", _xlfn.REGEXTEST(C335, "Client Idle"), "クライアントのアイドル（待機）状態", _xlfn.REGEXTEST(C335, "Available Space Policy Balanced"), "空き容量ポリシーの分散バランス状態", _xlfn.REGEXTEST(C335, "Filesystem Checkpoint Transaction"), "ファイルシステムのチェックポイントトランザクション", _xlfn.REGEXTEST(C335, "Blocks With Corrupt Replicas Monitoring"), "破損レプリカを持つブロックの監視", _xlfn.REGEXTEST(C335, "Missing Block Monitoring"), "消失（ミッシング）ブロックの監視", _xlfn.REGEXTEST(C335, "Under-replicated Block Monitoring"), "レプリカ数不足ブロックの監視", _xlfn.REGEXTEST(C335, "HDFS Free Space Monitoring"), "HDFSの空き容量監視", _xlfn.REGEXTEST(C335, "DataNode Monitoring"), "DataNodeの稼働状態監視", _xlfn.REGEXTEST(C335, "Rules to Extract Events from Log Files"), "ログファイルからのイベント抽出ルール設定", _xlfn.REGEXTEST(C335, "Free Space Monitoring$"), "空き容量監視（一般設定）", _xlfn.REGEXTEST(C335, "Transceivers Usage"), "トランシーバー使用量（データ転送スレッド数）", _xlfn.REGEXTEST(C335, "Volume Failures"), "ボリューム障害（ディスクエラー）数", _xlfn.REGEXTEST(C335, "Block Count"), "ブロック総数", _xlfn.REGEXTEST(C335, "Audit Failure"), "監査（オーディット）ログの失敗イベント", _xlfn.REGEXTEST(C335, "Web Metric Collection Duration"), "Webメトリック収集の所要時間", _xlfn.REGEXTEST(C335, "Pause Duration"), "一時停止（ポーズ）の所要時間", _xlfn.REGEXTEST(C335, "Fsync Latency"), "Fsync（ディスク同期）のレイテンシ", _xlfn.REGEXTEST(C335, "Free Space Monitoring Absolute"), "空き容量（絶対値）", _xlfn.REGEXTEST(C335, "Free Space Monitoring Percentage"), "空き容量割合（%）", _xlfn.REGEXTEST(C335, "Age Monitoring"), "経過時間の監視", _xlfn.REGEXTEST(C335, "Transactions Monitoring"), "トランザクション数の監視", _xlfn.REGEXTEST(C335, "RPC Latency"), "RPC（遠隔手続き呼出し）のレイテンシ", _xlfn.REGEXTEST(C335, "Directory Failures"), "ディレクトリ障害数", _xlfn.REGEXTEST(C335, "Out-Of-Sync JournalNodes"), "同期ズレが発生しているJournalNode数", _xlfn.REGEXTEST(C335, "Safemode Threshold Percentage"), "セーフモード解除閾値の割合（%）", _xlfn.REGEXTEST(C335, "Kerberos Ticket Renewer Monitoring"), "Kerberosチケット更新プロセスの稼働状態監視", _xlfn.REGEXTEST(C335, "Load Balancer Monitoring"), "ロードバランサーの稼働状態監視", _xlfn.REGEXTEST(C335, "Navigator Audit Failure"), "Cloudera Navigator監査ログの失敗イベント", _xlfn.REGEXTEST(C335, "Schema Registry Server Monitoring"), "Schema Registry Serverの稼働状態監視", _xlfn.REGEXTEST(C335, "SRM Service Monitoring"), "SRMサービスの稼働状態監視", _xlfn.REGEXTEST(C335, "SRM Driver Monitoring"), "SRMドライバーの稼働状態監視", _xlfn.REGEXTEST(C335, "Loggin"), "ログ出力状態・設定監視", _xlfn.REGEXTEST(C335, "Server Monitoring"), "サーバーの稼働状態監視", _xlfn.REGEXTEST(C335, "Server Connection Count"), "サーバーの接続数（コネクション数）", _xlfn.REGEXTEST(C335, "Server Outstanding Requests"), "サーバーの未処理リクエスト数（滞留要求数）", _xlfn.REGEXTEST(C335, "Repository Status"), "リポジトリのステータス状態", _xlfn.REGEXTEST(C335, "Monitor Long Running Task"), "長時間実行タスク（ジョブ）の監視", _xlfn.REGEXTEST(C335, "Token requests per second"), "1秒あたりのトークンリクエスト数（要求レート）", _xlfn.REGEXTEST(C335, "Connection Model Score"), "接続モデルスコア（コネクション品質）", _xlfn.REGEXTEST(C335, "Queue swap"), "キューのスワップ発生状態", _xlfn.REGEXTEST(C335, "NiFi Node Monitoring"), "NiFiノードの稼働状態監視", _xlfn.REGEXTEST(C335, "Host Clock Offset"), "ホストのクロックオフセット（時刻同期のズレ）", _xlfn.REGEXTEST(C335, "Memory Overcommit Validation"), "メモリオーバーコミット設定の検証", _xlfn.REGEXTEST(C335, "Gateway Logging"), "ゲートウェイのログ出力設定", _xlfn.REGEXTEST(C335, "CPU Balance"), "CPU使用率の分散バランス状態", _xlfn.REGEXTEST(C335, "Disk Balance"), "ディスク使用量の分散バランス状態", _xlfn.REGEXTEST(C335, "Network Inbound Balance"), "ネットワークインバウンド（受信）の分散バランス状態", _xlfn.REGEXTEST(C335, "Network Outbound Balance"), "ネットワークアウトバウンド（送信）の分散バランス状態", _xlfn.REGEXTEST(C335, "Replica Count Balance"), "レプリカ数の分散バランス状態", _xlfn.REGEXTEST(C335, "Disk Capacity"), "ディスク総容量の限界・使用容量", _xlfn.REGEXTEST(C335, "CPU Capacity"), "CPU総処理能力の限界・使用量", _xlfn.REGEXTEST(C335, "Network Inbound Capacity"), "ネットワークインバウンド（受信）帯域の限界・使用量", _xlfn.REGEXTEST(C335, "Network Outbound Capacity"), "ネットワークアウトバウンド（送信）帯域の限界・使用量", _xlfn.REGEXTEST(C335, "Leader Replica Count Balance"), "リーダーレプリカ数の分散バランス状態", _xlfn.REGEXTEST(C335, "Host DNS Resolution Duration"), "ホストのDNS名前解決の所要時間", _xlfn.REGEXTEST(C335, "TLS Certificate Expiry"), "TLS証明書の有効期限切れ", _xlfn.REGEXTEST(C335, "Host Entropy"), "ホストのエントロピー（乱数生成能力）の不足", _xlfn.REGEXTEST(C335, "File Descriptor"), "プロセスのファイルディスクリプタ使用率", _xlfn.REGEXTEST(C335, "Unexpected Exits"), "プロセスの異常終了（予期せぬ停止）", _xlfn.REGEXTEST(C335, "Swap Memory Thresholds"), "プロセスのスワップメモリ使用量", _xlfn.REGEXTEST(C335, "Swap Memory Usage Rate"), "スワップメモリ使用量の変化率（増加速度）", _xlfn.REGEXTEST(C335, "Log Directory Free Space.*Absolute"), "ログディレクトリの空き容量（絶対値）", _xlfn.REGEXTEST(C335, "Log Directory Free Space.*Percentage"), "ログディレクトリの空き容量割合（%）", _xlfn.REGEXTEST(C335, "Heap Dump Directory Free Space.*Absolute"), "ヒープダンプディレクトリの空き容量（絶対値）", _xlfn.REGEXTEST(C335, "Heap Dump Directory Free Space.*Percentage"), "ヒープダンプディレクトリの空き容量割合（%）", _xlfn.REGEXTEST(C335, "Data Directory Free Space.*Absolute"), "データディレクトリの空き容量（絶対値）", _xlfn.REGEXTEST(C335, "Data Directory Free Space.*Percentage"), "データディレクトリの空き容量割合（%）", _xlfn.REGEXTEST(C335, "Transaction Log Directory Free Space.*Absolute"), "トランザクションログディレクトリの空き容量（絶対値）", _xlfn.REGEXTEST(C335, "Logging Threshold|Logger Threshold"), "ログ出力レベルの閾値設定", _xlfn.REGEXTEST(C335, "Enable.*Alerts"), "ヘルスアラートの有効化状態", _xlfn.REGEXTEST(C335, "Triggers"), "カスタムアラート条件（トリガー設定）", _xlfn.REGEXTEST(C335, "Healthy Kafka Broker"), "Kafka Brokerの健全ノード割合（稼働率）", _xlfn.REGEXTEST(C335, "Healthy Kafka Connect"), "Kafka Connectの健全ノード割合（稼働率）", _xlfn.REGEXTEST(C335, "Healthy KRaft Controller"), "KRaft Controllerの健全ノード割合（稼働率）", _xlfn.REGEXTEST(C335, "Healthy Knox IDBroker"), "Knox IDBrokerの健全ノード割合（稼働率）", _xlfn.REGEXTEST(C335, "Healthy Knox Gateway"), "Knox Gatewayの健全ノード割合（稼働率）", _xlfn.REGEXTEST(C335, "Healthy ZooKeeper Server"), "ZooKeeper Serverの健全ノード割合（稼働率）", _xlfn.REGEXTEST(C335, "Healthy NodeManager"), "NodeManagerの健全ノード割合（稼働率）", _xlfn.REGEXTEST(C335, "Maximum Latency"), "リクエストの最大レイテンシ（処理遅延）", _xlfn.REGEXTEST(C335, "Garbage Collection Duration"), "Javaのガベージコレクション（GC）の所要時間", _xlfn.REGEXTEST(C335, "Spool Directory Usage"), "Rangerプラグインのスプールディレクトリ使用量", _xlfn.REGEXTEST(C335, "Process Directory Free Space Monitoring Absolute"), "プロセスディレクトリの空き容量（絶対値)", _xlfn.REGEXTEST(C335, "Process Directory Free Space.*Percentage"), "プロセスディレクトリの空き容量割合（%）", _xlfn.REGEXTEST(C335, "Parcel Directory Free Space.*Absolute"), "パーセルディレクトリの空き容量（絶対値）", _xlfn.REGEXTEST(C335, "Parcel Directory Free Space.*Percentage"), "パーセルディレクトリの空き容量割合（%）", _xlfn.REGEXTEST(C335, "Host Network Frame Error Percentage"), "ホストのネットワークフレームエラー割合（%）", _xlfn.REGEXTEST(C335, "Network Interfaces Slow Link Modes"), "ホストのネットワークインターフェースの低速リンクモード検出", _xlfn.REGEXTEST(C335, "Host Memory Swapping"), "ホストのメモリのスワップ発生状態", TRUE, "要手動確認")</f>
        <v>Javaのガベージコレクション（GC）の所要時間</v>
      </c>
      <c r="H335" s="479" t="s">
        <v>822</v>
      </c>
    </row>
    <row r="336" spans="1:8" ht="33.6">
      <c r="A336" s="514"/>
      <c r="B336" s="473"/>
      <c r="C336" s="471" t="s">
        <v>1148</v>
      </c>
      <c r="D336" s="471" t="s">
        <v>1149</v>
      </c>
      <c r="E336" s="471" t="s">
        <v>1067</v>
      </c>
      <c r="F336" s="471"/>
      <c r="G336" s="471" t="str" cm="1">
        <f t="array" ref="G336">_xlfn.IFS(C336 = "", "", _xlfn.REGEXTEST(C336, "Service Metric Migrator Minimum Consecutive Successful Checks"), "サービスメトリック移行ツールの連続正常チェック最小回数", _xlfn.REGEXTEST(C336, "Rebalancing"), "リバランシング（データ再配置）状態", _xlfn.REGEXTEST(C336, "Temporary Dump Directory"), "一時ダンプディレクトリの監視", _xlfn.REGEXTEST(C336, "Safemode Extension"), "セーフモード延長状態", _xlfn.REGEXTEST(C336, "Client Idle"), "クライアントのアイドル（待機）状態", _xlfn.REGEXTEST(C336, "Available Space Policy Balanced"), "空き容量ポリシーの分散バランス状態", _xlfn.REGEXTEST(C336, "Filesystem Checkpoint Transaction"), "ファイルシステムのチェックポイントトランザクション", _xlfn.REGEXTEST(C336, "Blocks With Corrupt Replicas Monitoring"), "破損レプリカを持つブロックの監視", _xlfn.REGEXTEST(C336, "Missing Block Monitoring"), "消失（ミッシング）ブロックの監視", _xlfn.REGEXTEST(C336, "Under-replicated Block Monitoring"), "レプリカ数不足ブロックの監視", _xlfn.REGEXTEST(C336, "HDFS Free Space Monitoring"), "HDFSの空き容量監視", _xlfn.REGEXTEST(C336, "DataNode Monitoring"), "DataNodeの稼働状態監視", _xlfn.REGEXTEST(C336, "Rules to Extract Events from Log Files"), "ログファイルからのイベント抽出ルール設定", _xlfn.REGEXTEST(C336, "Free Space Monitoring$"), "空き容量監視（一般設定）", _xlfn.REGEXTEST(C336, "Transceivers Usage"), "トランシーバー使用量（データ転送スレッド数）", _xlfn.REGEXTEST(C336, "Volume Failures"), "ボリューム障害（ディスクエラー）数", _xlfn.REGEXTEST(C336, "Block Count"), "ブロック総数", _xlfn.REGEXTEST(C336, "Audit Failure"), "監査（オーディット）ログの失敗イベント", _xlfn.REGEXTEST(C336, "Web Metric Collection Duration"), "Webメトリック収集の所要時間", _xlfn.REGEXTEST(C336, "Pause Duration"), "一時停止（ポーズ）の所要時間", _xlfn.REGEXTEST(C336, "Fsync Latency"), "Fsync（ディスク同期）のレイテンシ", _xlfn.REGEXTEST(C336, "Free Space Monitoring Absolute"), "空き容量（絶対値）", _xlfn.REGEXTEST(C336, "Free Space Monitoring Percentage"), "空き容量割合（%）", _xlfn.REGEXTEST(C336, "Age Monitoring"), "経過時間の監視", _xlfn.REGEXTEST(C336, "Transactions Monitoring"), "トランザクション数の監視", _xlfn.REGEXTEST(C336, "RPC Latency"), "RPC（遠隔手続き呼出し）のレイテンシ", _xlfn.REGEXTEST(C336, "Directory Failures"), "ディレクトリ障害数", _xlfn.REGEXTEST(C336, "Out-Of-Sync JournalNodes"), "同期ズレが発生しているJournalNode数", _xlfn.REGEXTEST(C336, "Safemode Threshold Percentage"), "セーフモード解除閾値の割合（%）", _xlfn.REGEXTEST(C336, "Kerberos Ticket Renewer Monitoring"), "Kerberosチケット更新プロセスの稼働状態監視", _xlfn.REGEXTEST(C336, "Load Balancer Monitoring"), "ロードバランサーの稼働状態監視", _xlfn.REGEXTEST(C336, "Navigator Audit Failure"), "Cloudera Navigator監査ログの失敗イベント", _xlfn.REGEXTEST(C336, "Schema Registry Server Monitoring"), "Schema Registry Serverの稼働状態監視", _xlfn.REGEXTEST(C336, "SRM Service Monitoring"), "SRMサービスの稼働状態監視", _xlfn.REGEXTEST(C336, "SRM Driver Monitoring"), "SRMドライバーの稼働状態監視", _xlfn.REGEXTEST(C336, "Loggin"), "ログ出力状態・設定監視", _xlfn.REGEXTEST(C336, "Server Monitoring"), "サーバーの稼働状態監視", _xlfn.REGEXTEST(C336, "Server Connection Count"), "サーバーの接続数（コネクション数）", _xlfn.REGEXTEST(C336, "Server Outstanding Requests"), "サーバーの未処理リクエスト数（滞留要求数）", _xlfn.REGEXTEST(C336, "Repository Status"), "リポジトリのステータス状態", _xlfn.REGEXTEST(C336, "Monitor Long Running Task"), "長時間実行タスク（ジョブ）の監視", _xlfn.REGEXTEST(C336, "Token requests per second"), "1秒あたりのトークンリクエスト数（要求レート）", _xlfn.REGEXTEST(C336, "Connection Model Score"), "接続モデルスコア（コネクション品質）", _xlfn.REGEXTEST(C336, "Queue swap"), "キューのスワップ発生状態", _xlfn.REGEXTEST(C336, "NiFi Node Monitoring"), "NiFiノードの稼働状態監視", _xlfn.REGEXTEST(C336, "Host Clock Offset"), "ホストのクロックオフセット（時刻同期のズレ）", _xlfn.REGEXTEST(C336, "Memory Overcommit Validation"), "メモリオーバーコミット設定の検証", _xlfn.REGEXTEST(C336, "Gateway Logging"), "ゲートウェイのログ出力設定", _xlfn.REGEXTEST(C336, "CPU Balance"), "CPU使用率の分散バランス状態", _xlfn.REGEXTEST(C336, "Disk Balance"), "ディスク使用量の分散バランス状態", _xlfn.REGEXTEST(C336, "Network Inbound Balance"), "ネットワークインバウンド（受信）の分散バランス状態", _xlfn.REGEXTEST(C336, "Network Outbound Balance"), "ネットワークアウトバウンド（送信）の分散バランス状態", _xlfn.REGEXTEST(C336, "Replica Count Balance"), "レプリカ数の分散バランス状態", _xlfn.REGEXTEST(C336, "Disk Capacity"), "ディスク総容量の限界・使用容量", _xlfn.REGEXTEST(C336, "CPU Capacity"), "CPU総処理能力の限界・使用量", _xlfn.REGEXTEST(C336, "Network Inbound Capacity"), "ネットワークインバウンド（受信）帯域の限界・使用量", _xlfn.REGEXTEST(C336, "Network Outbound Capacity"), "ネットワークアウトバウンド（送信）帯域の限界・使用量", _xlfn.REGEXTEST(C336, "Leader Replica Count Balance"), "リーダーレプリカ数の分散バランス状態", _xlfn.REGEXTEST(C336, "Host DNS Resolution Duration"), "ホストのDNS名前解決の所要時間", _xlfn.REGEXTEST(C336, "TLS Certificate Expiry"), "TLS証明書の有効期限切れ", _xlfn.REGEXTEST(C336, "Host Entropy"), "ホストのエントロピー（乱数生成能力）の不足", _xlfn.REGEXTEST(C336, "File Descriptor"), "プロセスのファイルディスクリプタ使用率", _xlfn.REGEXTEST(C336, "Unexpected Exits"), "プロセスの異常終了（予期せぬ停止）", _xlfn.REGEXTEST(C336, "Swap Memory Thresholds"), "プロセスのスワップメモリ使用量", _xlfn.REGEXTEST(C336, "Swap Memory Usage Rate"), "スワップメモリ使用量の変化率（増加速度）", _xlfn.REGEXTEST(C336, "Log Directory Free Space.*Absolute"), "ログディレクトリの空き容量（絶対値）", _xlfn.REGEXTEST(C336, "Log Directory Free Space.*Percentage"), "ログディレクトリの空き容量割合（%）", _xlfn.REGEXTEST(C336, "Heap Dump Directory Free Space.*Absolute"), "ヒープダンプディレクトリの空き容量（絶対値）", _xlfn.REGEXTEST(C336, "Heap Dump Directory Free Space.*Percentage"), "ヒープダンプディレクトリの空き容量割合（%）", _xlfn.REGEXTEST(C336, "Data Directory Free Space.*Absolute"), "データディレクトリの空き容量（絶対値）", _xlfn.REGEXTEST(C336, "Data Directory Free Space.*Percentage"), "データディレクトリの空き容量割合（%）", _xlfn.REGEXTEST(C336, "Transaction Log Directory Free Space.*Absolute"), "トランザクションログディレクトリの空き容量（絶対値）", _xlfn.REGEXTEST(C336, "Logging Threshold|Logger Threshold"), "ログ出力レベルの閾値設定", _xlfn.REGEXTEST(C336, "Enable.*Alerts"), "ヘルスアラートの有効化状態", _xlfn.REGEXTEST(C336, "Triggers"), "カスタムアラート条件（トリガー設定）", _xlfn.REGEXTEST(C336, "Healthy Kafka Broker"), "Kafka Brokerの健全ノード割合（稼働率）", _xlfn.REGEXTEST(C336, "Healthy Kafka Connect"), "Kafka Connectの健全ノード割合（稼働率）", _xlfn.REGEXTEST(C336, "Healthy KRaft Controller"), "KRaft Controllerの健全ノード割合（稼働率）", _xlfn.REGEXTEST(C336, "Healthy Knox IDBroker"), "Knox IDBrokerの健全ノード割合（稼働率）", _xlfn.REGEXTEST(C336, "Healthy Knox Gateway"), "Knox Gatewayの健全ノード割合（稼働率）", _xlfn.REGEXTEST(C336, "Healthy ZooKeeper Server"), "ZooKeeper Serverの健全ノード割合（稼働率）", _xlfn.REGEXTEST(C336, "Healthy NodeManager"), "NodeManagerの健全ノード割合（稼働率）", _xlfn.REGEXTEST(C336, "Maximum Latency"), "リクエストの最大レイテンシ（処理遅延）", _xlfn.REGEXTEST(C336, "Garbage Collection Duration"), "Javaのガベージコレクション（GC）の所要時間", _xlfn.REGEXTEST(C336, "Spool Directory Usage"), "Rangerプラグインのスプールディレクトリ使用量", _xlfn.REGEXTEST(C336, "Process Directory Free Space Monitoring Absolute"), "プロセスディレクトリの空き容量（絶対値)", _xlfn.REGEXTEST(C336, "Process Directory Free Space.*Percentage"), "プロセスディレクトリの空き容量割合（%）", _xlfn.REGEXTEST(C336, "Parcel Directory Free Space.*Absolute"), "パーセルディレクトリの空き容量（絶対値）", _xlfn.REGEXTEST(C336, "Parcel Directory Free Space.*Percentage"), "パーセルディレクトリの空き容量割合（%）", _xlfn.REGEXTEST(C336, "Host Network Frame Error Percentage"), "ホストのネットワークフレームエラー割合（%）", _xlfn.REGEXTEST(C336, "Network Interfaces Slow Link Modes"), "ホストのネットワークインターフェースの低速リンクモード検出", _xlfn.REGEXTEST(C336, "Host Memory Swapping"), "ホストのメモリのスワップ発生状態", TRUE, "要手動確認")</f>
        <v>空き容量（絶対値）</v>
      </c>
      <c r="H336" s="479" t="s">
        <v>692</v>
      </c>
    </row>
    <row r="337" spans="1:8" ht="33.6">
      <c r="A337" s="514"/>
      <c r="B337" s="473"/>
      <c r="C337" s="471" t="s">
        <v>1150</v>
      </c>
      <c r="D337" s="471" t="s">
        <v>1151</v>
      </c>
      <c r="E337" s="471" t="s">
        <v>1067</v>
      </c>
      <c r="F337" s="471"/>
      <c r="G337" s="471" t="str" cm="1">
        <f t="array" ref="G337">_xlfn.IFS(C337 = "", "", _xlfn.REGEXTEST(C337, "Service Metric Migrator Minimum Consecutive Successful Checks"), "サービスメトリック移行ツールの連続正常チェック最小回数", _xlfn.REGEXTEST(C337, "Rebalancing"), "リバランシング（データ再配置）状態", _xlfn.REGEXTEST(C337, "Temporary Dump Directory"), "一時ダンプディレクトリの監視", _xlfn.REGEXTEST(C337, "Safemode Extension"), "セーフモード延長状態", _xlfn.REGEXTEST(C337, "Client Idle"), "クライアントのアイドル（待機）状態", _xlfn.REGEXTEST(C337, "Available Space Policy Balanced"), "空き容量ポリシーの分散バランス状態", _xlfn.REGEXTEST(C337, "Filesystem Checkpoint Transaction"), "ファイルシステムのチェックポイントトランザクション", _xlfn.REGEXTEST(C337, "Blocks With Corrupt Replicas Monitoring"), "破損レプリカを持つブロックの監視", _xlfn.REGEXTEST(C337, "Missing Block Monitoring"), "消失（ミッシング）ブロックの監視", _xlfn.REGEXTEST(C337, "Under-replicated Block Monitoring"), "レプリカ数不足ブロックの監視", _xlfn.REGEXTEST(C337, "HDFS Free Space Monitoring"), "HDFSの空き容量監視", _xlfn.REGEXTEST(C337, "DataNode Monitoring"), "DataNodeの稼働状態監視", _xlfn.REGEXTEST(C337, "Rules to Extract Events from Log Files"), "ログファイルからのイベント抽出ルール設定", _xlfn.REGEXTEST(C337, "Free Space Monitoring$"), "空き容量監視（一般設定）", _xlfn.REGEXTEST(C337, "Transceivers Usage"), "トランシーバー使用量（データ転送スレッド数）", _xlfn.REGEXTEST(C337, "Volume Failures"), "ボリューム障害（ディスクエラー）数", _xlfn.REGEXTEST(C337, "Block Count"), "ブロック総数", _xlfn.REGEXTEST(C337, "Audit Failure"), "監査（オーディット）ログの失敗イベント", _xlfn.REGEXTEST(C337, "Web Metric Collection Duration"), "Webメトリック収集の所要時間", _xlfn.REGEXTEST(C337, "Pause Duration"), "一時停止（ポーズ）の所要時間", _xlfn.REGEXTEST(C337, "Fsync Latency"), "Fsync（ディスク同期）のレイテンシ", _xlfn.REGEXTEST(C337, "Free Space Monitoring Absolute"), "空き容量（絶対値）", _xlfn.REGEXTEST(C337, "Free Space Monitoring Percentage"), "空き容量割合（%）", _xlfn.REGEXTEST(C337, "Age Monitoring"), "経過時間の監視", _xlfn.REGEXTEST(C337, "Transactions Monitoring"), "トランザクション数の監視", _xlfn.REGEXTEST(C337, "RPC Latency"), "RPC（遠隔手続き呼出し）のレイテンシ", _xlfn.REGEXTEST(C337, "Directory Failures"), "ディレクトリ障害数", _xlfn.REGEXTEST(C337, "Out-Of-Sync JournalNodes"), "同期ズレが発生しているJournalNode数", _xlfn.REGEXTEST(C337, "Safemode Threshold Percentage"), "セーフモード解除閾値の割合（%）", _xlfn.REGEXTEST(C337, "Kerberos Ticket Renewer Monitoring"), "Kerberosチケット更新プロセスの稼働状態監視", _xlfn.REGEXTEST(C337, "Load Balancer Monitoring"), "ロードバランサーの稼働状態監視", _xlfn.REGEXTEST(C337, "Navigator Audit Failure"), "Cloudera Navigator監査ログの失敗イベント", _xlfn.REGEXTEST(C337, "Schema Registry Server Monitoring"), "Schema Registry Serverの稼働状態監視", _xlfn.REGEXTEST(C337, "SRM Service Monitoring"), "SRMサービスの稼働状態監視", _xlfn.REGEXTEST(C337, "SRM Driver Monitoring"), "SRMドライバーの稼働状態監視", _xlfn.REGEXTEST(C337, "Loggin"), "ログ出力状態・設定監視", _xlfn.REGEXTEST(C337, "Server Monitoring"), "サーバーの稼働状態監視", _xlfn.REGEXTEST(C337, "Server Connection Count"), "サーバーの接続数（コネクション数）", _xlfn.REGEXTEST(C337, "Server Outstanding Requests"), "サーバーの未処理リクエスト数（滞留要求数）", _xlfn.REGEXTEST(C337, "Repository Status"), "リポジトリのステータス状態", _xlfn.REGEXTEST(C337, "Monitor Long Running Task"), "長時間実行タスク（ジョブ）の監視", _xlfn.REGEXTEST(C337, "Token requests per second"), "1秒あたりのトークンリクエスト数（要求レート）", _xlfn.REGEXTEST(C337, "Connection Model Score"), "接続モデルスコア（コネクション品質）", _xlfn.REGEXTEST(C337, "Queue swap"), "キューのスワップ発生状態", _xlfn.REGEXTEST(C337, "NiFi Node Monitoring"), "NiFiノードの稼働状態監視", _xlfn.REGEXTEST(C337, "Host Clock Offset"), "ホストのクロックオフセット（時刻同期のズレ）", _xlfn.REGEXTEST(C337, "Memory Overcommit Validation"), "メモリオーバーコミット設定の検証", _xlfn.REGEXTEST(C337, "Gateway Logging"), "ゲートウェイのログ出力設定", _xlfn.REGEXTEST(C337, "CPU Balance"), "CPU使用率の分散バランス状態", _xlfn.REGEXTEST(C337, "Disk Balance"), "ディスク使用量の分散バランス状態", _xlfn.REGEXTEST(C337, "Network Inbound Balance"), "ネットワークインバウンド（受信）の分散バランス状態", _xlfn.REGEXTEST(C337, "Network Outbound Balance"), "ネットワークアウトバウンド（送信）の分散バランス状態", _xlfn.REGEXTEST(C337, "Replica Count Balance"), "レプリカ数の分散バランス状態", _xlfn.REGEXTEST(C337, "Disk Capacity"), "ディスク総容量の限界・使用容量", _xlfn.REGEXTEST(C337, "CPU Capacity"), "CPU総処理能力の限界・使用量", _xlfn.REGEXTEST(C337, "Network Inbound Capacity"), "ネットワークインバウンド（受信）帯域の限界・使用量", _xlfn.REGEXTEST(C337, "Network Outbound Capacity"), "ネットワークアウトバウンド（送信）帯域の限界・使用量", _xlfn.REGEXTEST(C337, "Leader Replica Count Balance"), "リーダーレプリカ数の分散バランス状態", _xlfn.REGEXTEST(C337, "Host DNS Resolution Duration"), "ホストのDNS名前解決の所要時間", _xlfn.REGEXTEST(C337, "TLS Certificate Expiry"), "TLS証明書の有効期限切れ", _xlfn.REGEXTEST(C337, "Host Entropy"), "ホストのエントロピー（乱数生成能力）の不足", _xlfn.REGEXTEST(C337, "File Descriptor"), "プロセスのファイルディスクリプタ使用率", _xlfn.REGEXTEST(C337, "Unexpected Exits"), "プロセスの異常終了（予期せぬ停止）", _xlfn.REGEXTEST(C337, "Swap Memory Thresholds"), "プロセスのスワップメモリ使用量", _xlfn.REGEXTEST(C337, "Swap Memory Usage Rate"), "スワップメモリ使用量の変化率（増加速度）", _xlfn.REGEXTEST(C337, "Log Directory Free Space.*Absolute"), "ログディレクトリの空き容量（絶対値）", _xlfn.REGEXTEST(C337, "Log Directory Free Space.*Percentage"), "ログディレクトリの空き容量割合（%）", _xlfn.REGEXTEST(C337, "Heap Dump Directory Free Space.*Absolute"), "ヒープダンプディレクトリの空き容量（絶対値）", _xlfn.REGEXTEST(C337, "Heap Dump Directory Free Space.*Percentage"), "ヒープダンプディレクトリの空き容量割合（%）", _xlfn.REGEXTEST(C337, "Data Directory Free Space.*Absolute"), "データディレクトリの空き容量（絶対値）", _xlfn.REGEXTEST(C337, "Data Directory Free Space.*Percentage"), "データディレクトリの空き容量割合（%）", _xlfn.REGEXTEST(C337, "Transaction Log Directory Free Space.*Absolute"), "トランザクションログディレクトリの空き容量（絶対値）", _xlfn.REGEXTEST(C337, "Logging Threshold|Logger Threshold"), "ログ出力レベルの閾値設定", _xlfn.REGEXTEST(C337, "Enable.*Alerts"), "ヘルスアラートの有効化状態", _xlfn.REGEXTEST(C337, "Triggers"), "カスタムアラート条件（トリガー設定）", _xlfn.REGEXTEST(C337, "Healthy Kafka Broker"), "Kafka Brokerの健全ノード割合（稼働率）", _xlfn.REGEXTEST(C337, "Healthy Kafka Connect"), "Kafka Connectの健全ノード割合（稼働率）", _xlfn.REGEXTEST(C337, "Healthy KRaft Controller"), "KRaft Controllerの健全ノード割合（稼働率）", _xlfn.REGEXTEST(C337, "Healthy Knox IDBroker"), "Knox IDBrokerの健全ノード割合（稼働率）", _xlfn.REGEXTEST(C337, "Healthy Knox Gateway"), "Knox Gatewayの健全ノード割合（稼働率）", _xlfn.REGEXTEST(C337, "Healthy ZooKeeper Server"), "ZooKeeper Serverの健全ノード割合（稼働率）", _xlfn.REGEXTEST(C337, "Healthy NodeManager"), "NodeManagerの健全ノード割合（稼働率）", _xlfn.REGEXTEST(C337, "Maximum Latency"), "リクエストの最大レイテンシ（処理遅延）", _xlfn.REGEXTEST(C337, "Garbage Collection Duration"), "Javaのガベージコレクション（GC）の所要時間", _xlfn.REGEXTEST(C337, "Spool Directory Usage"), "Rangerプラグインのスプールディレクトリ使用量", _xlfn.REGEXTEST(C337, "Process Directory Free Space Monitoring Absolute"), "プロセスディレクトリの空き容量（絶対値)", _xlfn.REGEXTEST(C337, "Process Directory Free Space.*Percentage"), "プロセスディレクトリの空き容量割合（%）", _xlfn.REGEXTEST(C337, "Parcel Directory Free Space.*Absolute"), "パーセルディレクトリの空き容量（絶対値）", _xlfn.REGEXTEST(C337, "Parcel Directory Free Space.*Percentage"), "パーセルディレクトリの空き容量割合（%）", _xlfn.REGEXTEST(C337, "Host Network Frame Error Percentage"), "ホストのネットワークフレームエラー割合（%）", _xlfn.REGEXTEST(C337, "Network Interfaces Slow Link Modes"), "ホストのネットワークインターフェースの低速リンクモード検出", _xlfn.REGEXTEST(C337, "Host Memory Swapping"), "ホストのメモリのスワップ発生状態", TRUE, "要手動確認")</f>
        <v>空き容量割合（%）</v>
      </c>
      <c r="H337" s="479" t="s">
        <v>689</v>
      </c>
    </row>
    <row r="338" spans="1:8" ht="16.899999999999999">
      <c r="A338" s="514"/>
      <c r="B338" s="473"/>
      <c r="C338" s="471" t="s">
        <v>1152</v>
      </c>
      <c r="D338" s="471" t="s">
        <v>1153</v>
      </c>
      <c r="E338" s="471" t="s">
        <v>1040</v>
      </c>
      <c r="F338" s="471"/>
      <c r="G338" s="471" t="str" cm="1">
        <f t="array" ref="G338">_xlfn.IFS(C338 = "", "", _xlfn.REGEXTEST(C338, "Service Metric Migrator Minimum Consecutive Successful Checks"), "サービスメトリック移行ツールの連続正常チェック最小回数", _xlfn.REGEXTEST(C338, "Rebalancing"), "リバランシング（データ再配置）状態", _xlfn.REGEXTEST(C338, "Temporary Dump Directory"), "一時ダンプディレクトリの監視", _xlfn.REGEXTEST(C338, "Safemode Extension"), "セーフモード延長状態", _xlfn.REGEXTEST(C338, "Client Idle"), "クライアントのアイドル（待機）状態", _xlfn.REGEXTEST(C338, "Available Space Policy Balanced"), "空き容量ポリシーの分散バランス状態", _xlfn.REGEXTEST(C338, "Filesystem Checkpoint Transaction"), "ファイルシステムのチェックポイントトランザクション", _xlfn.REGEXTEST(C338, "Blocks With Corrupt Replicas Monitoring"), "破損レプリカを持つブロックの監視", _xlfn.REGEXTEST(C338, "Missing Block Monitoring"), "消失（ミッシング）ブロックの監視", _xlfn.REGEXTEST(C338, "Under-replicated Block Monitoring"), "レプリカ数不足ブロックの監視", _xlfn.REGEXTEST(C338, "HDFS Free Space Monitoring"), "HDFSの空き容量監視", _xlfn.REGEXTEST(C338, "DataNode Monitoring"), "DataNodeの稼働状態監視", _xlfn.REGEXTEST(C338, "Rules to Extract Events from Log Files"), "ログファイルからのイベント抽出ルール設定", _xlfn.REGEXTEST(C338, "Free Space Monitoring$"), "空き容量監視（一般設定）", _xlfn.REGEXTEST(C338, "Transceivers Usage"), "トランシーバー使用量（データ転送スレッド数）", _xlfn.REGEXTEST(C338, "Volume Failures"), "ボリューム障害（ディスクエラー）数", _xlfn.REGEXTEST(C338, "Block Count"), "ブロック総数", _xlfn.REGEXTEST(C338, "Audit Failure"), "監査（オーディット）ログの失敗イベント", _xlfn.REGEXTEST(C338, "Web Metric Collection Duration"), "Webメトリック収集の所要時間", _xlfn.REGEXTEST(C338, "Pause Duration"), "一時停止（ポーズ）の所要時間", _xlfn.REGEXTEST(C338, "Fsync Latency"), "Fsync（ディスク同期）のレイテンシ", _xlfn.REGEXTEST(C338, "Free Space Monitoring Absolute"), "空き容量（絶対値）", _xlfn.REGEXTEST(C338, "Free Space Monitoring Percentage"), "空き容量割合（%）", _xlfn.REGEXTEST(C338, "Age Monitoring"), "経過時間の監視", _xlfn.REGEXTEST(C338, "Transactions Monitoring"), "トランザクション数の監視", _xlfn.REGEXTEST(C338, "RPC Latency"), "RPC（遠隔手続き呼出し）のレイテンシ", _xlfn.REGEXTEST(C338, "Directory Failures"), "ディレクトリ障害数", _xlfn.REGEXTEST(C338, "Out-Of-Sync JournalNodes"), "同期ズレが発生しているJournalNode数", _xlfn.REGEXTEST(C338, "Safemode Threshold Percentage"), "セーフモード解除閾値の割合（%）", _xlfn.REGEXTEST(C338, "Kerberos Ticket Renewer Monitoring"), "Kerberosチケット更新プロセスの稼働状態監視", _xlfn.REGEXTEST(C338, "Load Balancer Monitoring"), "ロードバランサーの稼働状態監視", _xlfn.REGEXTEST(C338, "Navigator Audit Failure"), "Cloudera Navigator監査ログの失敗イベント", _xlfn.REGEXTEST(C338, "Schema Registry Server Monitoring"), "Schema Registry Serverの稼働状態監視", _xlfn.REGEXTEST(C338, "SRM Service Monitoring"), "SRMサービスの稼働状態監視", _xlfn.REGEXTEST(C338, "SRM Driver Monitoring"), "SRMドライバーの稼働状態監視", _xlfn.REGEXTEST(C338, "Loggin"), "ログ出力状態・設定監視", _xlfn.REGEXTEST(C338, "Server Monitoring"), "サーバーの稼働状態監視", _xlfn.REGEXTEST(C338, "Server Connection Count"), "サーバーの接続数（コネクション数）", _xlfn.REGEXTEST(C338, "Server Outstanding Requests"), "サーバーの未処理リクエスト数（滞留要求数）", _xlfn.REGEXTEST(C338, "Repository Status"), "リポジトリのステータス状態", _xlfn.REGEXTEST(C338, "Monitor Long Running Task"), "長時間実行タスク（ジョブ）の監視", _xlfn.REGEXTEST(C338, "Token requests per second"), "1秒あたりのトークンリクエスト数（要求レート）", _xlfn.REGEXTEST(C338, "Connection Model Score"), "接続モデルスコア（コネクション品質）", _xlfn.REGEXTEST(C338, "Queue swap"), "キューのスワップ発生状態", _xlfn.REGEXTEST(C338, "NiFi Node Monitoring"), "NiFiノードの稼働状態監視", _xlfn.REGEXTEST(C338, "Host Clock Offset"), "ホストのクロックオフセット（時刻同期のズレ）", _xlfn.REGEXTEST(C338, "Memory Overcommit Validation"), "メモリオーバーコミット設定の検証", _xlfn.REGEXTEST(C338, "Gateway Logging"), "ゲートウェイのログ出力設定", _xlfn.REGEXTEST(C338, "CPU Balance"), "CPU使用率の分散バランス状態", _xlfn.REGEXTEST(C338, "Disk Balance"), "ディスク使用量の分散バランス状態", _xlfn.REGEXTEST(C338, "Network Inbound Balance"), "ネットワークインバウンド（受信）の分散バランス状態", _xlfn.REGEXTEST(C338, "Network Outbound Balance"), "ネットワークアウトバウンド（送信）の分散バランス状態", _xlfn.REGEXTEST(C338, "Replica Count Balance"), "レプリカ数の分散バランス状態", _xlfn.REGEXTEST(C338, "Disk Capacity"), "ディスク総容量の限界・使用容量", _xlfn.REGEXTEST(C338, "CPU Capacity"), "CPU総処理能力の限界・使用量", _xlfn.REGEXTEST(C338, "Network Inbound Capacity"), "ネットワークインバウンド（受信）帯域の限界・使用量", _xlfn.REGEXTEST(C338, "Network Outbound Capacity"), "ネットワークアウトバウンド（送信）帯域の限界・使用量", _xlfn.REGEXTEST(C338, "Leader Replica Count Balance"), "リーダーレプリカ数の分散バランス状態", _xlfn.REGEXTEST(C338, "Host DNS Resolution Duration"), "ホストのDNS名前解決の所要時間", _xlfn.REGEXTEST(C338, "TLS Certificate Expiry"), "TLS証明書の有効期限切れ", _xlfn.REGEXTEST(C338, "Host Entropy"), "ホストのエントロピー（乱数生成能力）の不足", _xlfn.REGEXTEST(C338, "File Descriptor"), "プロセスのファイルディスクリプタ使用率", _xlfn.REGEXTEST(C338, "Unexpected Exits"), "プロセスの異常終了（予期せぬ停止）", _xlfn.REGEXTEST(C338, "Swap Memory Thresholds"), "プロセスのスワップメモリ使用量", _xlfn.REGEXTEST(C338, "Swap Memory Usage Rate"), "スワップメモリ使用量の変化率（増加速度）", _xlfn.REGEXTEST(C338, "Log Directory Free Space.*Absolute"), "ログディレクトリの空き容量（絶対値）", _xlfn.REGEXTEST(C338, "Log Directory Free Space.*Percentage"), "ログディレクトリの空き容量割合（%）", _xlfn.REGEXTEST(C338, "Heap Dump Directory Free Space.*Absolute"), "ヒープダンプディレクトリの空き容量（絶対値）", _xlfn.REGEXTEST(C338, "Heap Dump Directory Free Space.*Percentage"), "ヒープダンプディレクトリの空き容量割合（%）", _xlfn.REGEXTEST(C338, "Data Directory Free Space.*Absolute"), "データディレクトリの空き容量（絶対値）", _xlfn.REGEXTEST(C338, "Data Directory Free Space.*Percentage"), "データディレクトリの空き容量割合（%）", _xlfn.REGEXTEST(C338, "Transaction Log Directory Free Space.*Absolute"), "トランザクションログディレクトリの空き容量（絶対値）", _xlfn.REGEXTEST(C338, "Logging Threshold|Logger Threshold"), "ログ出力レベルの閾値設定", _xlfn.REGEXTEST(C338, "Enable.*Alerts"), "ヘルスアラートの有効化状態", _xlfn.REGEXTEST(C338, "Triggers"), "カスタムアラート条件（トリガー設定）", _xlfn.REGEXTEST(C338, "Healthy Kafka Broker"), "Kafka Brokerの健全ノード割合（稼働率）", _xlfn.REGEXTEST(C338, "Healthy Kafka Connect"), "Kafka Connectの健全ノード割合（稼働率）", _xlfn.REGEXTEST(C338, "Healthy KRaft Controller"), "KRaft Controllerの健全ノード割合（稼働率）", _xlfn.REGEXTEST(C338, "Healthy Knox IDBroker"), "Knox IDBrokerの健全ノード割合（稼働率）", _xlfn.REGEXTEST(C338, "Healthy Knox Gateway"), "Knox Gatewayの健全ノード割合（稼働率）", _xlfn.REGEXTEST(C338, "Healthy ZooKeeper Server"), "ZooKeeper Serverの健全ノード割合（稼働率）", _xlfn.REGEXTEST(C338, "Healthy NodeManager"), "NodeManagerの健全ノード割合（稼働率）", _xlfn.REGEXTEST(C338, "Maximum Latency"), "リクエストの最大レイテンシ（処理遅延）", _xlfn.REGEXTEST(C338, "Garbage Collection Duration"), "Javaのガベージコレクション（GC）の所要時間", _xlfn.REGEXTEST(C338, "Spool Directory Usage"), "Rangerプラグインのスプールディレクトリ使用量", _xlfn.REGEXTEST(C338, "Process Directory Free Space Monitoring Absolute"), "プロセスディレクトリの空き容量（絶対値)", _xlfn.REGEXTEST(C338, "Process Directory Free Space.*Percentage"), "プロセスディレクトリの空き容量割合（%）", _xlfn.REGEXTEST(C338, "Parcel Directory Free Space.*Absolute"), "パーセルディレクトリの空き容量（絶対値）", _xlfn.REGEXTEST(C338, "Parcel Directory Free Space.*Percentage"), "パーセルディレクトリの空き容量割合（%）", _xlfn.REGEXTEST(C338, "Host Network Frame Error Percentage"), "ホストのネットワークフレームエラー割合（%）", _xlfn.REGEXTEST(C338, "Network Interfaces Slow Link Modes"), "ホストのネットワークインターフェースの低速リンクモード検出", _xlfn.REGEXTEST(C338, "Host Memory Swapping"), "ホストのメモリのスワップ発生状態", TRUE, "要手動確認")</f>
        <v>セーフモード解除閾値の割合（%）</v>
      </c>
      <c r="H338" s="479">
        <v>0.999</v>
      </c>
    </row>
    <row r="339" spans="1:8" ht="16.899999999999999">
      <c r="A339" s="514"/>
      <c r="B339" s="470"/>
      <c r="C339" s="471"/>
      <c r="D339" s="471"/>
      <c r="E339" s="471"/>
      <c r="F339" s="471"/>
      <c r="G339" s="471" t="str" cm="1">
        <f t="array" ref="G339">_xlfn.IFS(C339 = "", "", _xlfn.REGEXTEST(C339, "Service Metric Migrator Minimum Consecutive Successful Checks"), "サービスメトリック移行ツールの連続正常チェック最小回数", _xlfn.REGEXTEST(C339, "Rebalancing"), "リバランシング（データ再配置）状態", _xlfn.REGEXTEST(C339, "Temporary Dump Directory"), "一時ダンプディレクトリの監視", _xlfn.REGEXTEST(C339, "Safemode Extension"), "セーフモード延長状態", _xlfn.REGEXTEST(C339, "Client Idle"), "クライアントのアイドル（待機）状態", _xlfn.REGEXTEST(C339, "Available Space Policy Balanced"), "空き容量ポリシーの分散バランス状態", _xlfn.REGEXTEST(C339, "Filesystem Checkpoint Transaction"), "ファイルシステムのチェックポイントトランザクション", _xlfn.REGEXTEST(C339, "Blocks With Corrupt Replicas Monitoring"), "破損レプリカを持つブロックの監視", _xlfn.REGEXTEST(C339, "Missing Block Monitoring"), "消失（ミッシング）ブロックの監視", _xlfn.REGEXTEST(C339, "Under-replicated Block Monitoring"), "レプリカ数不足ブロックの監視", _xlfn.REGEXTEST(C339, "HDFS Free Space Monitoring"), "HDFSの空き容量監視", _xlfn.REGEXTEST(C339, "DataNode Monitoring"), "DataNodeの稼働状態監視", _xlfn.REGEXTEST(C339, "Rules to Extract Events from Log Files"), "ログファイルからのイベント抽出ルール設定", _xlfn.REGEXTEST(C339, "Free Space Monitoring$"), "空き容量監視（一般設定）", _xlfn.REGEXTEST(C339, "Transceivers Usage"), "トランシーバー使用量（データ転送スレッド数）", _xlfn.REGEXTEST(C339, "Volume Failures"), "ボリューム障害（ディスクエラー）数", _xlfn.REGEXTEST(C339, "Block Count"), "ブロック総数", _xlfn.REGEXTEST(C339, "Audit Failure"), "監査（オーディット）ログの失敗イベント", _xlfn.REGEXTEST(C339, "Web Metric Collection Duration"), "Webメトリック収集の所要時間", _xlfn.REGEXTEST(C339, "Pause Duration"), "一時停止（ポーズ）の所要時間", _xlfn.REGEXTEST(C339, "Fsync Latency"), "Fsync（ディスク同期）のレイテンシ", _xlfn.REGEXTEST(C339, "Free Space Monitoring Absolute"), "空き容量（絶対値）", _xlfn.REGEXTEST(C339, "Free Space Monitoring Percentage"), "空き容量割合（%）", _xlfn.REGEXTEST(C339, "Age Monitoring"), "経過時間の監視", _xlfn.REGEXTEST(C339, "Transactions Monitoring"), "トランザクション数の監視", _xlfn.REGEXTEST(C339, "RPC Latency"), "RPC（遠隔手続き呼出し）のレイテンシ", _xlfn.REGEXTEST(C339, "Directory Failures"), "ディレクトリ障害数", _xlfn.REGEXTEST(C339, "Out-Of-Sync JournalNodes"), "同期ズレが発生しているJournalNode数", _xlfn.REGEXTEST(C339, "Safemode Threshold Percentage"), "セーフモード解除閾値の割合（%）", _xlfn.REGEXTEST(C339, "Kerberos Ticket Renewer Monitoring"), "Kerberosチケット更新プロセスの稼働状態監視", _xlfn.REGEXTEST(C339, "Load Balancer Monitoring"), "ロードバランサーの稼働状態監視", _xlfn.REGEXTEST(C339, "Navigator Audit Failure"), "Cloudera Navigator監査ログの失敗イベント", _xlfn.REGEXTEST(C339, "Schema Registry Server Monitoring"), "Schema Registry Serverの稼働状態監視", _xlfn.REGEXTEST(C339, "SRM Service Monitoring"), "SRMサービスの稼働状態監視", _xlfn.REGEXTEST(C339, "SRM Driver Monitoring"), "SRMドライバーの稼働状態監視", _xlfn.REGEXTEST(C339, "Loggin"), "ログ出力状態・設定監視", _xlfn.REGEXTEST(C339, "Server Monitoring"), "サーバーの稼働状態監視", _xlfn.REGEXTEST(C339, "Server Connection Count"), "サーバーの接続数（コネクション数）", _xlfn.REGEXTEST(C339, "Server Outstanding Requests"), "サーバーの未処理リクエスト数（滞留要求数）", _xlfn.REGEXTEST(C339, "Repository Status"), "リポジトリのステータス状態", _xlfn.REGEXTEST(C339, "Monitor Long Running Task"), "長時間実行タスク（ジョブ）の監視", _xlfn.REGEXTEST(C339, "Token requests per second"), "1秒あたりのトークンリクエスト数（要求レート）", _xlfn.REGEXTEST(C339, "Connection Model Score"), "接続モデルスコア（コネクション品質）", _xlfn.REGEXTEST(C339, "Queue swap"), "キューのスワップ発生状態", _xlfn.REGEXTEST(C339, "NiFi Node Monitoring"), "NiFiノードの稼働状態監視", _xlfn.REGEXTEST(C339, "Host Clock Offset"), "ホストのクロックオフセット（時刻同期のズレ）", _xlfn.REGEXTEST(C339, "Memory Overcommit Validation"), "メモリオーバーコミット設定の検証", _xlfn.REGEXTEST(C339, "Gateway Logging"), "ゲートウェイのログ出力設定", _xlfn.REGEXTEST(C339, "CPU Balance"), "CPU使用率の分散バランス状態", _xlfn.REGEXTEST(C339, "Disk Balance"), "ディスク使用量の分散バランス状態", _xlfn.REGEXTEST(C339, "Network Inbound Balance"), "ネットワークインバウンド（受信）の分散バランス状態", _xlfn.REGEXTEST(C339, "Network Outbound Balance"), "ネットワークアウトバウンド（送信）の分散バランス状態", _xlfn.REGEXTEST(C339, "Replica Count Balance"), "レプリカ数の分散バランス状態", _xlfn.REGEXTEST(C339, "Disk Capacity"), "ディスク総容量の限界・使用容量", _xlfn.REGEXTEST(C339, "CPU Capacity"), "CPU総処理能力の限界・使用量", _xlfn.REGEXTEST(C339, "Network Inbound Capacity"), "ネットワークインバウンド（受信）帯域の限界・使用量", _xlfn.REGEXTEST(C339, "Network Outbound Capacity"), "ネットワークアウトバウンド（送信）帯域の限界・使用量", _xlfn.REGEXTEST(C339, "Leader Replica Count Balance"), "リーダーレプリカ数の分散バランス状態", _xlfn.REGEXTEST(C339, "Host DNS Resolution Duration"), "ホストのDNS名前解決の所要時間", _xlfn.REGEXTEST(C339, "TLS Certificate Expiry"), "TLS証明書の有効期限切れ", _xlfn.REGEXTEST(C339, "Host Entropy"), "ホストのエントロピー（乱数生成能力）の不足", _xlfn.REGEXTEST(C339, "File Descriptor"), "プロセスのファイルディスクリプタ使用率", _xlfn.REGEXTEST(C339, "Unexpected Exits"), "プロセスの異常終了（予期せぬ停止）", _xlfn.REGEXTEST(C339, "Swap Memory Thresholds"), "プロセスのスワップメモリ使用量", _xlfn.REGEXTEST(C339, "Swap Memory Usage Rate"), "スワップメモリ使用量の変化率（増加速度）", _xlfn.REGEXTEST(C339, "Log Directory Free Space.*Absolute"), "ログディレクトリの空き容量（絶対値）", _xlfn.REGEXTEST(C339, "Log Directory Free Space.*Percentage"), "ログディレクトリの空き容量割合（%）", _xlfn.REGEXTEST(C339, "Heap Dump Directory Free Space.*Absolute"), "ヒープダンプディレクトリの空き容量（絶対値）", _xlfn.REGEXTEST(C339, "Heap Dump Directory Free Space.*Percentage"), "ヒープダンプディレクトリの空き容量割合（%）", _xlfn.REGEXTEST(C339, "Data Directory Free Space.*Absolute"), "データディレクトリの空き容量（絶対値）", _xlfn.REGEXTEST(C339, "Data Directory Free Space.*Percentage"), "データディレクトリの空き容量割合（%）", _xlfn.REGEXTEST(C339, "Transaction Log Directory Free Space.*Absolute"), "トランザクションログディレクトリの空き容量（絶対値）", _xlfn.REGEXTEST(C339, "Logging Threshold|Logger Threshold"), "ログ出力レベルの閾値設定", _xlfn.REGEXTEST(C339, "Enable.*Alerts"), "ヘルスアラートの有効化状態", _xlfn.REGEXTEST(C339, "Triggers"), "カスタムアラート条件（トリガー設定）", _xlfn.REGEXTEST(C339, "Healthy Kafka Broker"), "Kafka Brokerの健全ノード割合（稼働率）", _xlfn.REGEXTEST(C339, "Healthy Kafka Connect"), "Kafka Connectの健全ノード割合（稼働率）", _xlfn.REGEXTEST(C339, "Healthy KRaft Controller"), "KRaft Controllerの健全ノード割合（稼働率）", _xlfn.REGEXTEST(C339, "Healthy Knox IDBroker"), "Knox IDBrokerの健全ノード割合（稼働率）", _xlfn.REGEXTEST(C339, "Healthy Knox Gateway"), "Knox Gatewayの健全ノード割合（稼働率）", _xlfn.REGEXTEST(C339, "Healthy ZooKeeper Server"), "ZooKeeper Serverの健全ノード割合（稼働率）", _xlfn.REGEXTEST(C339, "Healthy NodeManager"), "NodeManagerの健全ノード割合（稼働率）", _xlfn.REGEXTEST(C339, "Maximum Latency"), "リクエストの最大レイテンシ（処理遅延）", _xlfn.REGEXTEST(C339, "Garbage Collection Duration"), "Javaのガベージコレクション（GC）の所要時間", _xlfn.REGEXTEST(C339, "Spool Directory Usage"), "Rangerプラグインのスプールディレクトリ使用量", _xlfn.REGEXTEST(C339, "Process Directory Free Space Monitoring Absolute"), "プロセスディレクトリの空き容量（絶対値)", _xlfn.REGEXTEST(C339, "Process Directory Free Space.*Percentage"), "プロセスディレクトリの空き容量割合（%）", _xlfn.REGEXTEST(C339, "Parcel Directory Free Space.*Absolute"), "パーセルディレクトリの空き容量（絶対値）", _xlfn.REGEXTEST(C339, "Parcel Directory Free Space.*Percentage"), "パーセルディレクトリの空き容量割合（%）", _xlfn.REGEXTEST(C339, "Host Network Frame Error Percentage"), "ホストのネットワークフレームエラー割合（%）", _xlfn.REGEXTEST(C339, "Network Interfaces Slow Link Modes"), "ホストのネットワークインターフェースの低速リンクモード検出", _xlfn.REGEXTEST(C339, "Host Memory Swapping"), "ホストのメモリのスワップ発生状態", TRUE, "要手動確認")</f>
        <v/>
      </c>
      <c r="H339" s="479"/>
    </row>
    <row r="340" spans="1:8" ht="16.899999999999999">
      <c r="A340" s="514"/>
      <c r="B340" s="472" t="s">
        <v>1154</v>
      </c>
      <c r="C340" s="471" t="s">
        <v>788</v>
      </c>
      <c r="D340" s="471" t="s">
        <v>710</v>
      </c>
      <c r="E340" s="471" t="s">
        <v>1155</v>
      </c>
      <c r="F340" s="471"/>
      <c r="G340" s="471" t="str" cm="1">
        <f t="array" ref="G340">_xlfn.IFS(C340 = "", "", _xlfn.REGEXTEST(C340, "Service Metric Migrator Minimum Consecutive Successful Checks"), "サービスメトリック移行ツールの連続正常チェック最小回数", _xlfn.REGEXTEST(C340, "Rebalancing"), "リバランシング（データ再配置）状態", _xlfn.REGEXTEST(C340, "Temporary Dump Directory"), "一時ダンプディレクトリの監視", _xlfn.REGEXTEST(C340, "Safemode Extension"), "セーフモード延長状態", _xlfn.REGEXTEST(C340, "Client Idle"), "クライアントのアイドル（待機）状態", _xlfn.REGEXTEST(C340, "Available Space Policy Balanced"), "空き容量ポリシーの分散バランス状態", _xlfn.REGEXTEST(C340, "Filesystem Checkpoint Transaction"), "ファイルシステムのチェックポイントトランザクション", _xlfn.REGEXTEST(C340, "Blocks With Corrupt Replicas Monitoring"), "破損レプリカを持つブロックの監視", _xlfn.REGEXTEST(C340, "Missing Block Monitoring"), "消失（ミッシング）ブロックの監視", _xlfn.REGEXTEST(C340, "Under-replicated Block Monitoring"), "レプリカ数不足ブロックの監視", _xlfn.REGEXTEST(C340, "HDFS Free Space Monitoring"), "HDFSの空き容量監視", _xlfn.REGEXTEST(C340, "DataNode Monitoring"), "DataNodeの稼働状態監視", _xlfn.REGEXTEST(C340, "Rules to Extract Events from Log Files"), "ログファイルからのイベント抽出ルール設定", _xlfn.REGEXTEST(C340, "Free Space Monitoring$"), "空き容量監視（一般設定）", _xlfn.REGEXTEST(C340, "Transceivers Usage"), "トランシーバー使用量（データ転送スレッド数）", _xlfn.REGEXTEST(C340, "Volume Failures"), "ボリューム障害（ディスクエラー）数", _xlfn.REGEXTEST(C340, "Block Count"), "ブロック総数", _xlfn.REGEXTEST(C340, "Audit Failure"), "監査（オーディット）ログの失敗イベント", _xlfn.REGEXTEST(C340, "Web Metric Collection Duration"), "Webメトリック収集の所要時間", _xlfn.REGEXTEST(C340, "Pause Duration"), "一時停止（ポーズ）の所要時間", _xlfn.REGEXTEST(C340, "Fsync Latency"), "Fsync（ディスク同期）のレイテンシ", _xlfn.REGEXTEST(C340, "Free Space Monitoring Absolute"), "空き容量（絶対値）", _xlfn.REGEXTEST(C340, "Free Space Monitoring Percentage"), "空き容量割合（%）", _xlfn.REGEXTEST(C340, "Age Monitoring"), "経過時間の監視", _xlfn.REGEXTEST(C340, "Transactions Monitoring"), "トランザクション数の監視", _xlfn.REGEXTEST(C340, "RPC Latency"), "RPC（遠隔手続き呼出し）のレイテンシ", _xlfn.REGEXTEST(C340, "Directory Failures"), "ディレクトリ障害数", _xlfn.REGEXTEST(C340, "Out-Of-Sync JournalNodes"), "同期ズレが発生しているJournalNode数", _xlfn.REGEXTEST(C340, "Safemode Threshold Percentage"), "セーフモード解除閾値の割合（%）", _xlfn.REGEXTEST(C340, "Kerberos Ticket Renewer Monitoring"), "Kerberosチケット更新プロセスの稼働状態監視", _xlfn.REGEXTEST(C340, "Load Balancer Monitoring"), "ロードバランサーの稼働状態監視", _xlfn.REGEXTEST(C340, "Navigator Audit Failure"), "Cloudera Navigator監査ログの失敗イベント", _xlfn.REGEXTEST(C340, "Schema Registry Server Monitoring"), "Schema Registry Serverの稼働状態監視", _xlfn.REGEXTEST(C340, "SRM Service Monitoring"), "SRMサービスの稼働状態監視", _xlfn.REGEXTEST(C340, "SRM Driver Monitoring"), "SRMドライバーの稼働状態監視", _xlfn.REGEXTEST(C340, "Loggin"), "ログ出力状態・設定監視", _xlfn.REGEXTEST(C340, "Server Monitoring"), "サーバーの稼働状態監視", _xlfn.REGEXTEST(C340, "Server Connection Count"), "サーバーの接続数（コネクション数）", _xlfn.REGEXTEST(C340, "Server Outstanding Requests"), "サーバーの未処理リクエスト数（滞留要求数）", _xlfn.REGEXTEST(C340, "Repository Status"), "リポジトリのステータス状態", _xlfn.REGEXTEST(C340, "Monitor Long Running Task"), "長時間実行タスク（ジョブ）の監視", _xlfn.REGEXTEST(C340, "Token requests per second"), "1秒あたりのトークンリクエスト数（要求レート）", _xlfn.REGEXTEST(C340, "Connection Model Score"), "接続モデルスコア（コネクション品質）", _xlfn.REGEXTEST(C340, "Queue swap"), "キューのスワップ発生状態", _xlfn.REGEXTEST(C340, "NiFi Node Monitoring"), "NiFiノードの稼働状態監視", _xlfn.REGEXTEST(C340, "Host Clock Offset"), "ホストのクロックオフセット（時刻同期のズレ）", _xlfn.REGEXTEST(C340, "Memory Overcommit Validation"), "メモリオーバーコミット設定の検証", _xlfn.REGEXTEST(C340, "Gateway Logging"), "ゲートウェイのログ出力設定", _xlfn.REGEXTEST(C340, "CPU Balance"), "CPU使用率の分散バランス状態", _xlfn.REGEXTEST(C340, "Disk Balance"), "ディスク使用量の分散バランス状態", _xlfn.REGEXTEST(C340, "Network Inbound Balance"), "ネットワークインバウンド（受信）の分散バランス状態", _xlfn.REGEXTEST(C340, "Network Outbound Balance"), "ネットワークアウトバウンド（送信）の分散バランス状態", _xlfn.REGEXTEST(C340, "Replica Count Balance"), "レプリカ数の分散バランス状態", _xlfn.REGEXTEST(C340, "Disk Capacity"), "ディスク総容量の限界・使用容量", _xlfn.REGEXTEST(C340, "CPU Capacity"), "CPU総処理能力の限界・使用量", _xlfn.REGEXTEST(C340, "Network Inbound Capacity"), "ネットワークインバウンド（受信）帯域の限界・使用量", _xlfn.REGEXTEST(C340, "Network Outbound Capacity"), "ネットワークアウトバウンド（送信）帯域の限界・使用量", _xlfn.REGEXTEST(C340, "Leader Replica Count Balance"), "リーダーレプリカ数の分散バランス状態", _xlfn.REGEXTEST(C340, "Host DNS Resolution Duration"), "ホストのDNS名前解決の所要時間", _xlfn.REGEXTEST(C340, "TLS Certificate Expiry"), "TLS証明書の有効期限切れ", _xlfn.REGEXTEST(C340, "Host Entropy"), "ホストのエントロピー（乱数生成能力）の不足", _xlfn.REGEXTEST(C340, "File Descriptor"), "プロセスのファイルディスクリプタ使用率", _xlfn.REGEXTEST(C340, "Unexpected Exits"), "プロセスの異常終了（予期せぬ停止）", _xlfn.REGEXTEST(C340, "Swap Memory Thresholds"), "プロセスのスワップメモリ使用量", _xlfn.REGEXTEST(C340, "Swap Memory Usage Rate"), "スワップメモリ使用量の変化率（増加速度）", _xlfn.REGEXTEST(C340, "Log Directory Free Space.*Absolute"), "ログディレクトリの空き容量（絶対値）", _xlfn.REGEXTEST(C340, "Log Directory Free Space.*Percentage"), "ログディレクトリの空き容量割合（%）", _xlfn.REGEXTEST(C340, "Heap Dump Directory Free Space.*Absolute"), "ヒープダンプディレクトリの空き容量（絶対値）", _xlfn.REGEXTEST(C340, "Heap Dump Directory Free Space.*Percentage"), "ヒープダンプディレクトリの空き容量割合（%）", _xlfn.REGEXTEST(C340, "Data Directory Free Space.*Absolute"), "データディレクトリの空き容量（絶対値）", _xlfn.REGEXTEST(C340, "Data Directory Free Space.*Percentage"), "データディレクトリの空き容量割合（%）", _xlfn.REGEXTEST(C340, "Transaction Log Directory Free Space.*Absolute"), "トランザクションログディレクトリの空き容量（絶対値）", _xlfn.REGEXTEST(C340, "Logging Threshold|Logger Threshold"), "ログ出力レベルの閾値設定", _xlfn.REGEXTEST(C340, "Enable.*Alerts"), "ヘルスアラートの有効化状態", _xlfn.REGEXTEST(C340, "Triggers"), "カスタムアラート条件（トリガー設定）", _xlfn.REGEXTEST(C340, "Healthy Kafka Broker"), "Kafka Brokerの健全ノード割合（稼働率）", _xlfn.REGEXTEST(C340, "Healthy Kafka Connect"), "Kafka Connectの健全ノード割合（稼働率）", _xlfn.REGEXTEST(C340, "Healthy KRaft Controller"), "KRaft Controllerの健全ノード割合（稼働率）", _xlfn.REGEXTEST(C340, "Healthy Knox IDBroker"), "Knox IDBrokerの健全ノード割合（稼働率）", _xlfn.REGEXTEST(C340, "Healthy Knox Gateway"), "Knox Gatewayの健全ノード割合（稼働率）", _xlfn.REGEXTEST(C340, "Healthy ZooKeeper Server"), "ZooKeeper Serverの健全ノード割合（稼働率）", _xlfn.REGEXTEST(C340, "Healthy NodeManager"), "NodeManagerの健全ノード割合（稼働率）", _xlfn.REGEXTEST(C340, "Maximum Latency"), "リクエストの最大レイテンシ（処理遅延）", _xlfn.REGEXTEST(C340, "Garbage Collection Duration"), "Javaのガベージコレクション（GC）の所要時間", _xlfn.REGEXTEST(C340, "Spool Directory Usage"), "Rangerプラグインのスプールディレクトリ使用量", _xlfn.REGEXTEST(C340, "Process Directory Free Space Monitoring Absolute"), "プロセスディレクトリの空き容量（絶対値)", _xlfn.REGEXTEST(C340, "Process Directory Free Space.*Percentage"), "プロセスディレクトリの空き容量割合（%）", _xlfn.REGEXTEST(C340, "Parcel Directory Free Space.*Absolute"), "パーセルディレクトリの空き容量（絶対値）", _xlfn.REGEXTEST(C340, "Parcel Directory Free Space.*Percentage"), "パーセルディレクトリの空き容量割合（%）", _xlfn.REGEXTEST(C340, "Host Network Frame Error Percentage"), "ホストのネットワークフレームエラー割合（%）", _xlfn.REGEXTEST(C340, "Network Interfaces Slow Link Modes"), "ホストのネットワークインターフェースの低速リンクモード検出", _xlfn.REGEXTEST(C340, "Host Memory Swapping"), "ホストのメモリのスワップ発生状態", TRUE, "要手動確認")</f>
        <v>ヘルスアラートの有効化状態</v>
      </c>
      <c r="H340" s="479" t="s">
        <v>1079</v>
      </c>
    </row>
    <row r="341" spans="1:8" ht="16.899999999999999">
      <c r="A341" s="514"/>
      <c r="B341" s="473"/>
      <c r="C341" s="471" t="s">
        <v>791</v>
      </c>
      <c r="D341" s="471" t="s">
        <v>792</v>
      </c>
      <c r="E341" s="471" t="s">
        <v>1155</v>
      </c>
      <c r="F341" s="471"/>
      <c r="G341" s="471" t="str" cm="1">
        <f t="array" ref="G341">_xlfn.IFS(C341 = "", "", _xlfn.REGEXTEST(C341, "Service Metric Migrator Minimum Consecutive Successful Checks"), "サービスメトリック移行ツールの連続正常チェック最小回数", _xlfn.REGEXTEST(C341, "Rebalancing"), "リバランシング（データ再配置）状態", _xlfn.REGEXTEST(C341, "Temporary Dump Directory"), "一時ダンプディレクトリの監視", _xlfn.REGEXTEST(C341, "Safemode Extension"), "セーフモード延長状態", _xlfn.REGEXTEST(C341, "Client Idle"), "クライアントのアイドル（待機）状態", _xlfn.REGEXTEST(C341, "Available Space Policy Balanced"), "空き容量ポリシーの分散バランス状態", _xlfn.REGEXTEST(C341, "Filesystem Checkpoint Transaction"), "ファイルシステムのチェックポイントトランザクション", _xlfn.REGEXTEST(C341, "Blocks With Corrupt Replicas Monitoring"), "破損レプリカを持つブロックの監視", _xlfn.REGEXTEST(C341, "Missing Block Monitoring"), "消失（ミッシング）ブロックの監視", _xlfn.REGEXTEST(C341, "Under-replicated Block Monitoring"), "レプリカ数不足ブロックの監視", _xlfn.REGEXTEST(C341, "HDFS Free Space Monitoring"), "HDFSの空き容量監視", _xlfn.REGEXTEST(C341, "DataNode Monitoring"), "DataNodeの稼働状態監視", _xlfn.REGEXTEST(C341, "Rules to Extract Events from Log Files"), "ログファイルからのイベント抽出ルール設定", _xlfn.REGEXTEST(C341, "Free Space Monitoring$"), "空き容量監視（一般設定）", _xlfn.REGEXTEST(C341, "Transceivers Usage"), "トランシーバー使用量（データ転送スレッド数）", _xlfn.REGEXTEST(C341, "Volume Failures"), "ボリューム障害（ディスクエラー）数", _xlfn.REGEXTEST(C341, "Block Count"), "ブロック総数", _xlfn.REGEXTEST(C341, "Audit Failure"), "監査（オーディット）ログの失敗イベント", _xlfn.REGEXTEST(C341, "Web Metric Collection Duration"), "Webメトリック収集の所要時間", _xlfn.REGEXTEST(C341, "Pause Duration"), "一時停止（ポーズ）の所要時間", _xlfn.REGEXTEST(C341, "Fsync Latency"), "Fsync（ディスク同期）のレイテンシ", _xlfn.REGEXTEST(C341, "Free Space Monitoring Absolute"), "空き容量（絶対値）", _xlfn.REGEXTEST(C341, "Free Space Monitoring Percentage"), "空き容量割合（%）", _xlfn.REGEXTEST(C341, "Age Monitoring"), "経過時間の監視", _xlfn.REGEXTEST(C341, "Transactions Monitoring"), "トランザクション数の監視", _xlfn.REGEXTEST(C341, "RPC Latency"), "RPC（遠隔手続き呼出し）のレイテンシ", _xlfn.REGEXTEST(C341, "Directory Failures"), "ディレクトリ障害数", _xlfn.REGEXTEST(C341, "Out-Of-Sync JournalNodes"), "同期ズレが発生しているJournalNode数", _xlfn.REGEXTEST(C341, "Safemode Threshold Percentage"), "セーフモード解除閾値の割合（%）", _xlfn.REGEXTEST(C341, "Kerberos Ticket Renewer Monitoring"), "Kerberosチケット更新プロセスの稼働状態監視", _xlfn.REGEXTEST(C341, "Load Balancer Monitoring"), "ロードバランサーの稼働状態監視", _xlfn.REGEXTEST(C341, "Navigator Audit Failure"), "Cloudera Navigator監査ログの失敗イベント", _xlfn.REGEXTEST(C341, "Schema Registry Server Monitoring"), "Schema Registry Serverの稼働状態監視", _xlfn.REGEXTEST(C341, "SRM Service Monitoring"), "SRMサービスの稼働状態監視", _xlfn.REGEXTEST(C341, "SRM Driver Monitoring"), "SRMドライバーの稼働状態監視", _xlfn.REGEXTEST(C341, "Loggin"), "ログ出力状態・設定監視", _xlfn.REGEXTEST(C341, "Server Monitoring"), "サーバーの稼働状態監視", _xlfn.REGEXTEST(C341, "Server Connection Count"), "サーバーの接続数（コネクション数）", _xlfn.REGEXTEST(C341, "Server Outstanding Requests"), "サーバーの未処理リクエスト数（滞留要求数）", _xlfn.REGEXTEST(C341, "Repository Status"), "リポジトリのステータス状態", _xlfn.REGEXTEST(C341, "Monitor Long Running Task"), "長時間実行タスク（ジョブ）の監視", _xlfn.REGEXTEST(C341, "Token requests per second"), "1秒あたりのトークンリクエスト数（要求レート）", _xlfn.REGEXTEST(C341, "Connection Model Score"), "接続モデルスコア（コネクション品質）", _xlfn.REGEXTEST(C341, "Queue swap"), "キューのスワップ発生状態", _xlfn.REGEXTEST(C341, "NiFi Node Monitoring"), "NiFiノードの稼働状態監視", _xlfn.REGEXTEST(C341, "Host Clock Offset"), "ホストのクロックオフセット（時刻同期のズレ）", _xlfn.REGEXTEST(C341, "Memory Overcommit Validation"), "メモリオーバーコミット設定の検証", _xlfn.REGEXTEST(C341, "Gateway Logging"), "ゲートウェイのログ出力設定", _xlfn.REGEXTEST(C341, "CPU Balance"), "CPU使用率の分散バランス状態", _xlfn.REGEXTEST(C341, "Disk Balance"), "ディスク使用量の分散バランス状態", _xlfn.REGEXTEST(C341, "Network Inbound Balance"), "ネットワークインバウンド（受信）の分散バランス状態", _xlfn.REGEXTEST(C341, "Network Outbound Balance"), "ネットワークアウトバウンド（送信）の分散バランス状態", _xlfn.REGEXTEST(C341, "Replica Count Balance"), "レプリカ数の分散バランス状態", _xlfn.REGEXTEST(C341, "Disk Capacity"), "ディスク総容量の限界・使用容量", _xlfn.REGEXTEST(C341, "CPU Capacity"), "CPU総処理能力の限界・使用量", _xlfn.REGEXTEST(C341, "Network Inbound Capacity"), "ネットワークインバウンド（受信）帯域の限界・使用量", _xlfn.REGEXTEST(C341, "Network Outbound Capacity"), "ネットワークアウトバウンド（送信）帯域の限界・使用量", _xlfn.REGEXTEST(C341, "Leader Replica Count Balance"), "リーダーレプリカ数の分散バランス状態", _xlfn.REGEXTEST(C341, "Host DNS Resolution Duration"), "ホストのDNS名前解決の所要時間", _xlfn.REGEXTEST(C341, "TLS Certificate Expiry"), "TLS証明書の有効期限切れ", _xlfn.REGEXTEST(C341, "Host Entropy"), "ホストのエントロピー（乱数生成能力）の不足", _xlfn.REGEXTEST(C341, "File Descriptor"), "プロセスのファイルディスクリプタ使用率", _xlfn.REGEXTEST(C341, "Unexpected Exits"), "プロセスの異常終了（予期せぬ停止）", _xlfn.REGEXTEST(C341, "Swap Memory Thresholds"), "プロセスのスワップメモリ使用量", _xlfn.REGEXTEST(C341, "Swap Memory Usage Rate"), "スワップメモリ使用量の変化率（増加速度）", _xlfn.REGEXTEST(C341, "Log Directory Free Space.*Absolute"), "ログディレクトリの空き容量（絶対値）", _xlfn.REGEXTEST(C341, "Log Directory Free Space.*Percentage"), "ログディレクトリの空き容量割合（%）", _xlfn.REGEXTEST(C341, "Heap Dump Directory Free Space.*Absolute"), "ヒープダンプディレクトリの空き容量（絶対値）", _xlfn.REGEXTEST(C341, "Heap Dump Directory Free Space.*Percentage"), "ヒープダンプディレクトリの空き容量割合（%）", _xlfn.REGEXTEST(C341, "Data Directory Free Space.*Absolute"), "データディレクトリの空き容量（絶対値）", _xlfn.REGEXTEST(C341, "Data Directory Free Space.*Percentage"), "データディレクトリの空き容量割合（%）", _xlfn.REGEXTEST(C341, "Transaction Log Directory Free Space.*Absolute"), "トランザクションログディレクトリの空き容量（絶対値）", _xlfn.REGEXTEST(C341, "Logging Threshold|Logger Threshold"), "ログ出力レベルの閾値設定", _xlfn.REGEXTEST(C341, "Enable.*Alerts"), "ヘルスアラートの有効化状態", _xlfn.REGEXTEST(C341, "Triggers"), "カスタムアラート条件（トリガー設定）", _xlfn.REGEXTEST(C341, "Healthy Kafka Broker"), "Kafka Brokerの健全ノード割合（稼働率）", _xlfn.REGEXTEST(C341, "Healthy Kafka Connect"), "Kafka Connectの健全ノード割合（稼働率）", _xlfn.REGEXTEST(C341, "Healthy KRaft Controller"), "KRaft Controllerの健全ノード割合（稼働率）", _xlfn.REGEXTEST(C341, "Healthy Knox IDBroker"), "Knox IDBrokerの健全ノード割合（稼働率）", _xlfn.REGEXTEST(C341, "Healthy Knox Gateway"), "Knox Gatewayの健全ノード割合（稼働率）", _xlfn.REGEXTEST(C341, "Healthy ZooKeeper Server"), "ZooKeeper Serverの健全ノード割合（稼働率）", _xlfn.REGEXTEST(C341, "Healthy NodeManager"), "NodeManagerの健全ノード割合（稼働率）", _xlfn.REGEXTEST(C341, "Maximum Latency"), "リクエストの最大レイテンシ（処理遅延）", _xlfn.REGEXTEST(C341, "Garbage Collection Duration"), "Javaのガベージコレクション（GC）の所要時間", _xlfn.REGEXTEST(C341, "Spool Directory Usage"), "Rangerプラグインのスプールディレクトリ使用量", _xlfn.REGEXTEST(C341, "Process Directory Free Space Monitoring Absolute"), "プロセスディレクトリの空き容量（絶対値)", _xlfn.REGEXTEST(C341, "Process Directory Free Space.*Percentage"), "プロセスディレクトリの空き容量割合（%）", _xlfn.REGEXTEST(C341, "Parcel Directory Free Space.*Absolute"), "パーセルディレクトリの空き容量（絶対値）", _xlfn.REGEXTEST(C341, "Parcel Directory Free Space.*Percentage"), "パーセルディレクトリの空き容量割合（%）", _xlfn.REGEXTEST(C341, "Host Network Frame Error Percentage"), "ホストのネットワークフレームエラー割合（%）", _xlfn.REGEXTEST(C341, "Network Interfaces Slow Link Modes"), "ホストのネットワークインターフェースの低速リンクモード検出", _xlfn.REGEXTEST(C341, "Host Memory Swapping"), "ホストのメモリのスワップ発生状態", TRUE, "要手動確認")</f>
        <v>カスタムアラート条件（トリガー設定）</v>
      </c>
      <c r="H341" s="479" t="s">
        <v>714</v>
      </c>
    </row>
    <row r="342" spans="1:8" ht="16.899999999999999">
      <c r="A342" s="514"/>
      <c r="B342" s="473"/>
      <c r="C342" s="471" t="s">
        <v>1156</v>
      </c>
      <c r="D342" s="471" t="s">
        <v>1157</v>
      </c>
      <c r="E342" s="471" t="s">
        <v>1155</v>
      </c>
      <c r="F342" s="471"/>
      <c r="G342" s="471" t="str" cm="1">
        <f t="array" ref="G342">_xlfn.IFS(C342 = "", "", _xlfn.REGEXTEST(C342, "Service Metric Migrator Minimum Consecutive Successful Checks"), "サービスメトリック移行ツールの連続正常チェック最小回数", _xlfn.REGEXTEST(C342, "Rebalancing"), "リバランシング（データ再配置）状態", _xlfn.REGEXTEST(C342, "Temporary Dump Directory"), "一時ダンプディレクトリの監視", _xlfn.REGEXTEST(C342, "Safemode Extension"), "セーフモード延長状態", _xlfn.REGEXTEST(C342, "Client Idle"), "クライアントのアイドル（待機）状態", _xlfn.REGEXTEST(C342, "Available Space Policy Balanced"), "空き容量ポリシーの分散バランス状態", _xlfn.REGEXTEST(C342, "Filesystem Checkpoint Transaction"), "ファイルシステムのチェックポイントトランザクション", _xlfn.REGEXTEST(C342, "Blocks With Corrupt Replicas Monitoring"), "破損レプリカを持つブロックの監視", _xlfn.REGEXTEST(C342, "Missing Block Monitoring"), "消失（ミッシング）ブロックの監視", _xlfn.REGEXTEST(C342, "Under-replicated Block Monitoring"), "レプリカ数不足ブロックの監視", _xlfn.REGEXTEST(C342, "HDFS Free Space Monitoring"), "HDFSの空き容量監視", _xlfn.REGEXTEST(C342, "DataNode Monitoring"), "DataNodeの稼働状態監視", _xlfn.REGEXTEST(C342, "Rules to Extract Events from Log Files"), "ログファイルからのイベント抽出ルール設定", _xlfn.REGEXTEST(C342, "Free Space Monitoring$"), "空き容量監視（一般設定）", _xlfn.REGEXTEST(C342, "Transceivers Usage"), "トランシーバー使用量（データ転送スレッド数）", _xlfn.REGEXTEST(C342, "Volume Failures"), "ボリューム障害（ディスクエラー）数", _xlfn.REGEXTEST(C342, "Block Count"), "ブロック総数", _xlfn.REGEXTEST(C342, "Audit Failure"), "監査（オーディット）ログの失敗イベント", _xlfn.REGEXTEST(C342, "Web Metric Collection Duration"), "Webメトリック収集の所要時間", _xlfn.REGEXTEST(C342, "Pause Duration"), "一時停止（ポーズ）の所要時間", _xlfn.REGEXTEST(C342, "Fsync Latency"), "Fsync（ディスク同期）のレイテンシ", _xlfn.REGEXTEST(C342, "Free Space Monitoring Absolute"), "空き容量（絶対値）", _xlfn.REGEXTEST(C342, "Free Space Monitoring Percentage"), "空き容量割合（%）", _xlfn.REGEXTEST(C342, "Age Monitoring"), "経過時間の監視", _xlfn.REGEXTEST(C342, "Transactions Monitoring"), "トランザクション数の監視", _xlfn.REGEXTEST(C342, "RPC Latency"), "RPC（遠隔手続き呼出し）のレイテンシ", _xlfn.REGEXTEST(C342, "Directory Failures"), "ディレクトリ障害数", _xlfn.REGEXTEST(C342, "Out-Of-Sync JournalNodes"), "同期ズレが発生しているJournalNode数", _xlfn.REGEXTEST(C342, "Safemode Threshold Percentage"), "セーフモード解除閾値の割合（%）", _xlfn.REGEXTEST(C342, "Kerberos Ticket Renewer Monitoring"), "Kerberosチケット更新プロセスの稼働状態監視", _xlfn.REGEXTEST(C342, "Load Balancer Monitoring"), "ロードバランサーの稼働状態監視", _xlfn.REGEXTEST(C342, "Navigator Audit Failure"), "Cloudera Navigator監査ログの失敗イベント", _xlfn.REGEXTEST(C342, "Schema Registry Server Monitoring"), "Schema Registry Serverの稼働状態監視", _xlfn.REGEXTEST(C342, "SRM Service Monitoring"), "SRMサービスの稼働状態監視", _xlfn.REGEXTEST(C342, "SRM Driver Monitoring"), "SRMドライバーの稼働状態監視", _xlfn.REGEXTEST(C342, "Loggin"), "ログ出力状態・設定監視", _xlfn.REGEXTEST(C342, "Server Monitoring"), "サーバーの稼働状態監視", _xlfn.REGEXTEST(C342, "Server Connection Count"), "サーバーの接続数（コネクション数）", _xlfn.REGEXTEST(C342, "Server Outstanding Requests"), "サーバーの未処理リクエスト数（滞留要求数）", _xlfn.REGEXTEST(C342, "Repository Status"), "リポジトリのステータス状態", _xlfn.REGEXTEST(C342, "Monitor Long Running Task"), "長時間実行タスク（ジョブ）の監視", _xlfn.REGEXTEST(C342, "Token requests per second"), "1秒あたりのトークンリクエスト数（要求レート）", _xlfn.REGEXTEST(C342, "Connection Model Score"), "接続モデルスコア（コネクション品質）", _xlfn.REGEXTEST(C342, "Queue swap"), "キューのスワップ発生状態", _xlfn.REGEXTEST(C342, "NiFi Node Monitoring"), "NiFiノードの稼働状態監視", _xlfn.REGEXTEST(C342, "Host Clock Offset"), "ホストのクロックオフセット（時刻同期のズレ）", _xlfn.REGEXTEST(C342, "Memory Overcommit Validation"), "メモリオーバーコミット設定の検証", _xlfn.REGEXTEST(C342, "Gateway Logging"), "ゲートウェイのログ出力設定", _xlfn.REGEXTEST(C342, "CPU Balance"), "CPU使用率の分散バランス状態", _xlfn.REGEXTEST(C342, "Disk Balance"), "ディスク使用量の分散バランス状態", _xlfn.REGEXTEST(C342, "Network Inbound Balance"), "ネットワークインバウンド（受信）の分散バランス状態", _xlfn.REGEXTEST(C342, "Network Outbound Balance"), "ネットワークアウトバウンド（送信）の分散バランス状態", _xlfn.REGEXTEST(C342, "Replica Count Balance"), "レプリカ数の分散バランス状態", _xlfn.REGEXTEST(C342, "Disk Capacity"), "ディスク総容量の限界・使用容量", _xlfn.REGEXTEST(C342, "CPU Capacity"), "CPU総処理能力の限界・使用量", _xlfn.REGEXTEST(C342, "Network Inbound Capacity"), "ネットワークインバウンド（受信）帯域の限界・使用量", _xlfn.REGEXTEST(C342, "Network Outbound Capacity"), "ネットワークアウトバウンド（送信）帯域の限界・使用量", _xlfn.REGEXTEST(C342, "Leader Replica Count Balance"), "リーダーレプリカ数の分散バランス状態", _xlfn.REGEXTEST(C342, "Host DNS Resolution Duration"), "ホストのDNS名前解決の所要時間", _xlfn.REGEXTEST(C342, "TLS Certificate Expiry"), "TLS証明書の有効期限切れ", _xlfn.REGEXTEST(C342, "Host Entropy"), "ホストのエントロピー（乱数生成能力）の不足", _xlfn.REGEXTEST(C342, "File Descriptor"), "プロセスのファイルディスクリプタ使用率", _xlfn.REGEXTEST(C342, "Unexpected Exits"), "プロセスの異常終了（予期せぬ停止）", _xlfn.REGEXTEST(C342, "Swap Memory Thresholds"), "プロセスのスワップメモリ使用量", _xlfn.REGEXTEST(C342, "Swap Memory Usage Rate"), "スワップメモリ使用量の変化率（増加速度）", _xlfn.REGEXTEST(C342, "Log Directory Free Space.*Absolute"), "ログディレクトリの空き容量（絶対値）", _xlfn.REGEXTEST(C342, "Log Directory Free Space.*Percentage"), "ログディレクトリの空き容量割合（%）", _xlfn.REGEXTEST(C342, "Heap Dump Directory Free Space.*Absolute"), "ヒープダンプディレクトリの空き容量（絶対値）", _xlfn.REGEXTEST(C342, "Heap Dump Directory Free Space.*Percentage"), "ヒープダンプディレクトリの空き容量割合（%）", _xlfn.REGEXTEST(C342, "Data Directory Free Space.*Absolute"), "データディレクトリの空き容量（絶対値）", _xlfn.REGEXTEST(C342, "Data Directory Free Space.*Percentage"), "データディレクトリの空き容量割合（%）", _xlfn.REGEXTEST(C342, "Transaction Log Directory Free Space.*Absolute"), "トランザクションログディレクトリの空き容量（絶対値）", _xlfn.REGEXTEST(C342, "Logging Threshold|Logger Threshold"), "ログ出力レベルの閾値設定", _xlfn.REGEXTEST(C342, "Enable.*Alerts"), "ヘルスアラートの有効化状態", _xlfn.REGEXTEST(C342, "Triggers"), "カスタムアラート条件（トリガー設定）", _xlfn.REGEXTEST(C342, "Healthy Kafka Broker"), "Kafka Brokerの健全ノード割合（稼働率）", _xlfn.REGEXTEST(C342, "Healthy Kafka Connect"), "Kafka Connectの健全ノード割合（稼働率）", _xlfn.REGEXTEST(C342, "Healthy KRaft Controller"), "KRaft Controllerの健全ノード割合（稼働率）", _xlfn.REGEXTEST(C342, "Healthy Knox IDBroker"), "Knox IDBrokerの健全ノード割合（稼働率）", _xlfn.REGEXTEST(C342, "Healthy Knox Gateway"), "Knox Gatewayの健全ノード割合（稼働率）", _xlfn.REGEXTEST(C342, "Healthy ZooKeeper Server"), "ZooKeeper Serverの健全ノード割合（稼働率）", _xlfn.REGEXTEST(C342, "Healthy NodeManager"), "NodeManagerの健全ノード割合（稼働率）", _xlfn.REGEXTEST(C342, "Maximum Latency"), "リクエストの最大レイテンシ（処理遅延）", _xlfn.REGEXTEST(C342, "Garbage Collection Duration"), "Javaのガベージコレクション（GC）の所要時間", _xlfn.REGEXTEST(C342, "Spool Directory Usage"), "Rangerプラグインのスプールディレクトリ使用量", _xlfn.REGEXTEST(C342, "Process Directory Free Space Monitoring Absolute"), "プロセスディレクトリの空き容量（絶対値)", _xlfn.REGEXTEST(C342, "Process Directory Free Space.*Percentage"), "プロセスディレクトリの空き容量割合（%）", _xlfn.REGEXTEST(C342, "Parcel Directory Free Space.*Absolute"), "パーセルディレクトリの空き容量（絶対値）", _xlfn.REGEXTEST(C342, "Parcel Directory Free Space.*Percentage"), "パーセルディレクトリの空き容量割合（%）", _xlfn.REGEXTEST(C342, "Host Network Frame Error Percentage"), "ホストのネットワークフレームエラー割合（%）", _xlfn.REGEXTEST(C342, "Network Interfaces Slow Link Modes"), "ホストのネットワークインターフェースの低速リンクモード検出", _xlfn.REGEXTEST(C342, "Host Memory Swapping"), "ホストのメモリのスワップ発生状態", TRUE, "要手動確認")</f>
        <v>サーバーの稼働状態監視</v>
      </c>
      <c r="H342" s="479" t="s">
        <v>1158</v>
      </c>
    </row>
    <row r="343" spans="1:8" ht="16.899999999999999">
      <c r="A343" s="514"/>
      <c r="B343" s="473"/>
      <c r="C343" s="471" t="s">
        <v>1159</v>
      </c>
      <c r="D343" s="471" t="s">
        <v>1160</v>
      </c>
      <c r="E343" s="471" t="s">
        <v>1155</v>
      </c>
      <c r="F343" s="471"/>
      <c r="G343" s="471" t="str" cm="1">
        <f t="array" ref="G343">_xlfn.IFS(C343 = "", "", _xlfn.REGEXTEST(C343, "Service Metric Migrator Minimum Consecutive Successful Checks"), "サービスメトリック移行ツールの連続正常チェック最小回数", _xlfn.REGEXTEST(C343, "Rebalancing"), "リバランシング（データ再配置）状態", _xlfn.REGEXTEST(C343, "Temporary Dump Directory"), "一時ダンプディレクトリの監視", _xlfn.REGEXTEST(C343, "Safemode Extension"), "セーフモード延長状態", _xlfn.REGEXTEST(C343, "Client Idle"), "クライアントのアイドル（待機）状態", _xlfn.REGEXTEST(C343, "Available Space Policy Balanced"), "空き容量ポリシーの分散バランス状態", _xlfn.REGEXTEST(C343, "Filesystem Checkpoint Transaction"), "ファイルシステムのチェックポイントトランザクション", _xlfn.REGEXTEST(C343, "Blocks With Corrupt Replicas Monitoring"), "破損レプリカを持つブロックの監視", _xlfn.REGEXTEST(C343, "Missing Block Monitoring"), "消失（ミッシング）ブロックの監視", _xlfn.REGEXTEST(C343, "Under-replicated Block Monitoring"), "レプリカ数不足ブロックの監視", _xlfn.REGEXTEST(C343, "HDFS Free Space Monitoring"), "HDFSの空き容量監視", _xlfn.REGEXTEST(C343, "DataNode Monitoring"), "DataNodeの稼働状態監視", _xlfn.REGEXTEST(C343, "Rules to Extract Events from Log Files"), "ログファイルからのイベント抽出ルール設定", _xlfn.REGEXTEST(C343, "Free Space Monitoring$"), "空き容量監視（一般設定）", _xlfn.REGEXTEST(C343, "Transceivers Usage"), "トランシーバー使用量（データ転送スレッド数）", _xlfn.REGEXTEST(C343, "Volume Failures"), "ボリューム障害（ディスクエラー）数", _xlfn.REGEXTEST(C343, "Block Count"), "ブロック総数", _xlfn.REGEXTEST(C343, "Audit Failure"), "監査（オーディット）ログの失敗イベント", _xlfn.REGEXTEST(C343, "Web Metric Collection Duration"), "Webメトリック収集の所要時間", _xlfn.REGEXTEST(C343, "Pause Duration"), "一時停止（ポーズ）の所要時間", _xlfn.REGEXTEST(C343, "Fsync Latency"), "Fsync（ディスク同期）のレイテンシ", _xlfn.REGEXTEST(C343, "Free Space Monitoring Absolute"), "空き容量（絶対値）", _xlfn.REGEXTEST(C343, "Free Space Monitoring Percentage"), "空き容量割合（%）", _xlfn.REGEXTEST(C343, "Age Monitoring"), "経過時間の監視", _xlfn.REGEXTEST(C343, "Transactions Monitoring"), "トランザクション数の監視", _xlfn.REGEXTEST(C343, "RPC Latency"), "RPC（遠隔手続き呼出し）のレイテンシ", _xlfn.REGEXTEST(C343, "Directory Failures"), "ディレクトリ障害数", _xlfn.REGEXTEST(C343, "Out-Of-Sync JournalNodes"), "同期ズレが発生しているJournalNode数", _xlfn.REGEXTEST(C343, "Safemode Threshold Percentage"), "セーフモード解除閾値の割合（%）", _xlfn.REGEXTEST(C343, "Kerberos Ticket Renewer Monitoring"), "Kerberosチケット更新プロセスの稼働状態監視", _xlfn.REGEXTEST(C343, "Load Balancer Monitoring"), "ロードバランサーの稼働状態監視", _xlfn.REGEXTEST(C343, "Navigator Audit Failure"), "Cloudera Navigator監査ログの失敗イベント", _xlfn.REGEXTEST(C343, "Schema Registry Server Monitoring"), "Schema Registry Serverの稼働状態監視", _xlfn.REGEXTEST(C343, "SRM Service Monitoring"), "SRMサービスの稼働状態監視", _xlfn.REGEXTEST(C343, "SRM Driver Monitoring"), "SRMドライバーの稼働状態監視", _xlfn.REGEXTEST(C343, "Loggin"), "ログ出力状態・設定監視", _xlfn.REGEXTEST(C343, "Server Monitoring"), "サーバーの稼働状態監視", _xlfn.REGEXTEST(C343, "Server Connection Count"), "サーバーの接続数（コネクション数）", _xlfn.REGEXTEST(C343, "Server Outstanding Requests"), "サーバーの未処理リクエスト数（滞留要求数）", _xlfn.REGEXTEST(C343, "Repository Status"), "リポジトリのステータス状態", _xlfn.REGEXTEST(C343, "Monitor Long Running Task"), "長時間実行タスク（ジョブ）の監視", _xlfn.REGEXTEST(C343, "Token requests per second"), "1秒あたりのトークンリクエスト数（要求レート）", _xlfn.REGEXTEST(C343, "Connection Model Score"), "接続モデルスコア（コネクション品質）", _xlfn.REGEXTEST(C343, "Queue swap"), "キューのスワップ発生状態", _xlfn.REGEXTEST(C343, "NiFi Node Monitoring"), "NiFiノードの稼働状態監視", _xlfn.REGEXTEST(C343, "Host Clock Offset"), "ホストのクロックオフセット（時刻同期のズレ）", _xlfn.REGEXTEST(C343, "Memory Overcommit Validation"), "メモリオーバーコミット設定の検証", _xlfn.REGEXTEST(C343, "Gateway Logging"), "ゲートウェイのログ出力設定", _xlfn.REGEXTEST(C343, "CPU Balance"), "CPU使用率の分散バランス状態", _xlfn.REGEXTEST(C343, "Disk Balance"), "ディスク使用量の分散バランス状態", _xlfn.REGEXTEST(C343, "Network Inbound Balance"), "ネットワークインバウンド（受信）の分散バランス状態", _xlfn.REGEXTEST(C343, "Network Outbound Balance"), "ネットワークアウトバウンド（送信）の分散バランス状態", _xlfn.REGEXTEST(C343, "Replica Count Balance"), "レプリカ数の分散バランス状態", _xlfn.REGEXTEST(C343, "Disk Capacity"), "ディスク総容量の限界・使用容量", _xlfn.REGEXTEST(C343, "CPU Capacity"), "CPU総処理能力の限界・使用量", _xlfn.REGEXTEST(C343, "Network Inbound Capacity"), "ネットワークインバウンド（受信）帯域の限界・使用量", _xlfn.REGEXTEST(C343, "Network Outbound Capacity"), "ネットワークアウトバウンド（送信）帯域の限界・使用量", _xlfn.REGEXTEST(C343, "Leader Replica Count Balance"), "リーダーレプリカ数の分散バランス状態", _xlfn.REGEXTEST(C343, "Host DNS Resolution Duration"), "ホストのDNS名前解決の所要時間", _xlfn.REGEXTEST(C343, "TLS Certificate Expiry"), "TLS証明書の有効期限切れ", _xlfn.REGEXTEST(C343, "Host Entropy"), "ホストのエントロピー（乱数生成能力）の不足", _xlfn.REGEXTEST(C343, "File Descriptor"), "プロセスのファイルディスクリプタ使用率", _xlfn.REGEXTEST(C343, "Unexpected Exits"), "プロセスの異常終了（予期せぬ停止）", _xlfn.REGEXTEST(C343, "Swap Memory Thresholds"), "プロセスのスワップメモリ使用量", _xlfn.REGEXTEST(C343, "Swap Memory Usage Rate"), "スワップメモリ使用量の変化率（増加速度）", _xlfn.REGEXTEST(C343, "Log Directory Free Space.*Absolute"), "ログディレクトリの空き容量（絶対値）", _xlfn.REGEXTEST(C343, "Log Directory Free Space.*Percentage"), "ログディレクトリの空き容量割合（%）", _xlfn.REGEXTEST(C343, "Heap Dump Directory Free Space.*Absolute"), "ヒープダンプディレクトリの空き容量（絶対値）", _xlfn.REGEXTEST(C343, "Heap Dump Directory Free Space.*Percentage"), "ヒープダンプディレクトリの空き容量割合（%）", _xlfn.REGEXTEST(C343, "Data Directory Free Space.*Absolute"), "データディレクトリの空き容量（絶対値）", _xlfn.REGEXTEST(C343, "Data Directory Free Space.*Percentage"), "データディレクトリの空き容量割合（%）", _xlfn.REGEXTEST(C343, "Transaction Log Directory Free Space.*Absolute"), "トランザクションログディレクトリの空き容量（絶対値）", _xlfn.REGEXTEST(C343, "Logging Threshold|Logger Threshold"), "ログ出力レベルの閾値設定", _xlfn.REGEXTEST(C343, "Enable.*Alerts"), "ヘルスアラートの有効化状態", _xlfn.REGEXTEST(C343, "Triggers"), "カスタムアラート条件（トリガー設定）", _xlfn.REGEXTEST(C343, "Healthy Kafka Broker"), "Kafka Brokerの健全ノード割合（稼働率）", _xlfn.REGEXTEST(C343, "Healthy Kafka Connect"), "Kafka Connectの健全ノード割合（稼働率）", _xlfn.REGEXTEST(C343, "Healthy KRaft Controller"), "KRaft Controllerの健全ノード割合（稼働率）", _xlfn.REGEXTEST(C343, "Healthy Knox IDBroker"), "Knox IDBrokerの健全ノード割合（稼働率）", _xlfn.REGEXTEST(C343, "Healthy Knox Gateway"), "Knox Gatewayの健全ノード割合（稼働率）", _xlfn.REGEXTEST(C343, "Healthy ZooKeeper Server"), "ZooKeeper Serverの健全ノード割合（稼働率）", _xlfn.REGEXTEST(C343, "Healthy NodeManager"), "NodeManagerの健全ノード割合（稼働率）", _xlfn.REGEXTEST(C343, "Maximum Latency"), "リクエストの最大レイテンシ（処理遅延）", _xlfn.REGEXTEST(C343, "Garbage Collection Duration"), "Javaのガベージコレクション（GC）の所要時間", _xlfn.REGEXTEST(C343, "Spool Directory Usage"), "Rangerプラグインのスプールディレクトリ使用量", _xlfn.REGEXTEST(C343, "Process Directory Free Space Monitoring Absolute"), "プロセスディレクトリの空き容量（絶対値)", _xlfn.REGEXTEST(C343, "Process Directory Free Space.*Percentage"), "プロセスディレクトリの空き容量割合（%）", _xlfn.REGEXTEST(C343, "Parcel Directory Free Space.*Absolute"), "パーセルディレクトリの空き容量（絶対値）", _xlfn.REGEXTEST(C343, "Parcel Directory Free Space.*Percentage"), "パーセルディレクトリの空き容量割合（%）", _xlfn.REGEXTEST(C343, "Host Network Frame Error Percentage"), "ホストのネットワークフレームエラー割合（%）", _xlfn.REGEXTEST(C343, "Network Interfaces Slow Link Modes"), "ホストのネットワークインターフェースの低速リンクモード検出", _xlfn.REGEXTEST(C343, "Host Memory Swapping"), "ホストのメモリのスワップ発生状態", TRUE, "要手動確認")</f>
        <v>Kerberosチケット更新プロセスの稼働状態監視</v>
      </c>
      <c r="H343" s="479" t="s">
        <v>1158</v>
      </c>
    </row>
    <row r="344" spans="1:8" ht="16.899999999999999">
      <c r="A344" s="514"/>
      <c r="B344" s="473"/>
      <c r="C344" s="471" t="s">
        <v>1161</v>
      </c>
      <c r="D344" s="471" t="s">
        <v>1162</v>
      </c>
      <c r="E344" s="471" t="s">
        <v>1155</v>
      </c>
      <c r="F344" s="471"/>
      <c r="G344" s="471" t="str" cm="1">
        <f t="array" ref="G344">_xlfn.IFS(C344 = "", "", _xlfn.REGEXTEST(C344, "Service Metric Migrator Minimum Consecutive Successful Checks"), "サービスメトリック移行ツールの連続正常チェック最小回数", _xlfn.REGEXTEST(C344, "Rebalancing"), "リバランシング（データ再配置）状態", _xlfn.REGEXTEST(C344, "Temporary Dump Directory"), "一時ダンプディレクトリの監視", _xlfn.REGEXTEST(C344, "Safemode Extension"), "セーフモード延長状態", _xlfn.REGEXTEST(C344, "Client Idle"), "クライアントのアイドル（待機）状態", _xlfn.REGEXTEST(C344, "Available Space Policy Balanced"), "空き容量ポリシーの分散バランス状態", _xlfn.REGEXTEST(C344, "Filesystem Checkpoint Transaction"), "ファイルシステムのチェックポイントトランザクション", _xlfn.REGEXTEST(C344, "Blocks With Corrupt Replicas Monitoring"), "破損レプリカを持つブロックの監視", _xlfn.REGEXTEST(C344, "Missing Block Monitoring"), "消失（ミッシング）ブロックの監視", _xlfn.REGEXTEST(C344, "Under-replicated Block Monitoring"), "レプリカ数不足ブロックの監視", _xlfn.REGEXTEST(C344, "HDFS Free Space Monitoring"), "HDFSの空き容量監視", _xlfn.REGEXTEST(C344, "DataNode Monitoring"), "DataNodeの稼働状態監視", _xlfn.REGEXTEST(C344, "Rules to Extract Events from Log Files"), "ログファイルからのイベント抽出ルール設定", _xlfn.REGEXTEST(C344, "Free Space Monitoring$"), "空き容量監視（一般設定）", _xlfn.REGEXTEST(C344, "Transceivers Usage"), "トランシーバー使用量（データ転送スレッド数）", _xlfn.REGEXTEST(C344, "Volume Failures"), "ボリューム障害（ディスクエラー）数", _xlfn.REGEXTEST(C344, "Block Count"), "ブロック総数", _xlfn.REGEXTEST(C344, "Audit Failure"), "監査（オーディット）ログの失敗イベント", _xlfn.REGEXTEST(C344, "Web Metric Collection Duration"), "Webメトリック収集の所要時間", _xlfn.REGEXTEST(C344, "Pause Duration"), "一時停止（ポーズ）の所要時間", _xlfn.REGEXTEST(C344, "Fsync Latency"), "Fsync（ディスク同期）のレイテンシ", _xlfn.REGEXTEST(C344, "Free Space Monitoring Absolute"), "空き容量（絶対値）", _xlfn.REGEXTEST(C344, "Free Space Monitoring Percentage"), "空き容量割合（%）", _xlfn.REGEXTEST(C344, "Age Monitoring"), "経過時間の監視", _xlfn.REGEXTEST(C344, "Transactions Monitoring"), "トランザクション数の監視", _xlfn.REGEXTEST(C344, "RPC Latency"), "RPC（遠隔手続き呼出し）のレイテンシ", _xlfn.REGEXTEST(C344, "Directory Failures"), "ディレクトリ障害数", _xlfn.REGEXTEST(C344, "Out-Of-Sync JournalNodes"), "同期ズレが発生しているJournalNode数", _xlfn.REGEXTEST(C344, "Safemode Threshold Percentage"), "セーフモード解除閾値の割合（%）", _xlfn.REGEXTEST(C344, "Kerberos Ticket Renewer Monitoring"), "Kerberosチケット更新プロセスの稼働状態監視", _xlfn.REGEXTEST(C344, "Load Balancer Monitoring"), "ロードバランサーの稼働状態監視", _xlfn.REGEXTEST(C344, "Navigator Audit Failure"), "Cloudera Navigator監査ログの失敗イベント", _xlfn.REGEXTEST(C344, "Schema Registry Server Monitoring"), "Schema Registry Serverの稼働状態監視", _xlfn.REGEXTEST(C344, "SRM Service Monitoring"), "SRMサービスの稼働状態監視", _xlfn.REGEXTEST(C344, "SRM Driver Monitoring"), "SRMドライバーの稼働状態監視", _xlfn.REGEXTEST(C344, "Loggin"), "ログ出力状態・設定監視", _xlfn.REGEXTEST(C344, "Server Monitoring"), "サーバーの稼働状態監視", _xlfn.REGEXTEST(C344, "Server Connection Count"), "サーバーの接続数（コネクション数）", _xlfn.REGEXTEST(C344, "Server Outstanding Requests"), "サーバーの未処理リクエスト数（滞留要求数）", _xlfn.REGEXTEST(C344, "Repository Status"), "リポジトリのステータス状態", _xlfn.REGEXTEST(C344, "Monitor Long Running Task"), "長時間実行タスク（ジョブ）の監視", _xlfn.REGEXTEST(C344, "Token requests per second"), "1秒あたりのトークンリクエスト数（要求レート）", _xlfn.REGEXTEST(C344, "Connection Model Score"), "接続モデルスコア（コネクション品質）", _xlfn.REGEXTEST(C344, "Queue swap"), "キューのスワップ発生状態", _xlfn.REGEXTEST(C344, "NiFi Node Monitoring"), "NiFiノードの稼働状態監視", _xlfn.REGEXTEST(C344, "Host Clock Offset"), "ホストのクロックオフセット（時刻同期のズレ）", _xlfn.REGEXTEST(C344, "Memory Overcommit Validation"), "メモリオーバーコミット設定の検証", _xlfn.REGEXTEST(C344, "Gateway Logging"), "ゲートウェイのログ出力設定", _xlfn.REGEXTEST(C344, "CPU Balance"), "CPU使用率の分散バランス状態", _xlfn.REGEXTEST(C344, "Disk Balance"), "ディスク使用量の分散バランス状態", _xlfn.REGEXTEST(C344, "Network Inbound Balance"), "ネットワークインバウンド（受信）の分散バランス状態", _xlfn.REGEXTEST(C344, "Network Outbound Balance"), "ネットワークアウトバウンド（送信）の分散バランス状態", _xlfn.REGEXTEST(C344, "Replica Count Balance"), "レプリカ数の分散バランス状態", _xlfn.REGEXTEST(C344, "Disk Capacity"), "ディスク総容量の限界・使用容量", _xlfn.REGEXTEST(C344, "CPU Capacity"), "CPU総処理能力の限界・使用量", _xlfn.REGEXTEST(C344, "Network Inbound Capacity"), "ネットワークインバウンド（受信）帯域の限界・使用量", _xlfn.REGEXTEST(C344, "Network Outbound Capacity"), "ネットワークアウトバウンド（送信）帯域の限界・使用量", _xlfn.REGEXTEST(C344, "Leader Replica Count Balance"), "リーダーレプリカ数の分散バランス状態", _xlfn.REGEXTEST(C344, "Host DNS Resolution Duration"), "ホストのDNS名前解決の所要時間", _xlfn.REGEXTEST(C344, "TLS Certificate Expiry"), "TLS証明書の有効期限切れ", _xlfn.REGEXTEST(C344, "Host Entropy"), "ホストのエントロピー（乱数生成能力）の不足", _xlfn.REGEXTEST(C344, "File Descriptor"), "プロセスのファイルディスクリプタ使用率", _xlfn.REGEXTEST(C344, "Unexpected Exits"), "プロセスの異常終了（予期せぬ停止）", _xlfn.REGEXTEST(C344, "Swap Memory Thresholds"), "プロセスのスワップメモリ使用量", _xlfn.REGEXTEST(C344, "Swap Memory Usage Rate"), "スワップメモリ使用量の変化率（増加速度）", _xlfn.REGEXTEST(C344, "Log Directory Free Space.*Absolute"), "ログディレクトリの空き容量（絶対値）", _xlfn.REGEXTEST(C344, "Log Directory Free Space.*Percentage"), "ログディレクトリの空き容量割合（%）", _xlfn.REGEXTEST(C344, "Heap Dump Directory Free Space.*Absolute"), "ヒープダンプディレクトリの空き容量（絶対値）", _xlfn.REGEXTEST(C344, "Heap Dump Directory Free Space.*Percentage"), "ヒープダンプディレクトリの空き容量割合（%）", _xlfn.REGEXTEST(C344, "Data Directory Free Space.*Absolute"), "データディレクトリの空き容量（絶対値）", _xlfn.REGEXTEST(C344, "Data Directory Free Space.*Percentage"), "データディレクトリの空き容量割合（%）", _xlfn.REGEXTEST(C344, "Transaction Log Directory Free Space.*Absolute"), "トランザクションログディレクトリの空き容量（絶対値）", _xlfn.REGEXTEST(C344, "Logging Threshold|Logger Threshold"), "ログ出力レベルの閾値設定", _xlfn.REGEXTEST(C344, "Enable.*Alerts"), "ヘルスアラートの有効化状態", _xlfn.REGEXTEST(C344, "Triggers"), "カスタムアラート条件（トリガー設定）", _xlfn.REGEXTEST(C344, "Healthy Kafka Broker"), "Kafka Brokerの健全ノード割合（稼働率）", _xlfn.REGEXTEST(C344, "Healthy Kafka Connect"), "Kafka Connectの健全ノード割合（稼働率）", _xlfn.REGEXTEST(C344, "Healthy KRaft Controller"), "KRaft Controllerの健全ノード割合（稼働率）", _xlfn.REGEXTEST(C344, "Healthy Knox IDBroker"), "Knox IDBrokerの健全ノード割合（稼働率）", _xlfn.REGEXTEST(C344, "Healthy Knox Gateway"), "Knox Gatewayの健全ノード割合（稼働率）", _xlfn.REGEXTEST(C344, "Healthy ZooKeeper Server"), "ZooKeeper Serverの健全ノード割合（稼働率）", _xlfn.REGEXTEST(C344, "Healthy NodeManager"), "NodeManagerの健全ノード割合（稼働率）", _xlfn.REGEXTEST(C344, "Maximum Latency"), "リクエストの最大レイテンシ（処理遅延）", _xlfn.REGEXTEST(C344, "Garbage Collection Duration"), "Javaのガベージコレクション（GC）の所要時間", _xlfn.REGEXTEST(C344, "Spool Directory Usage"), "Rangerプラグインのスプールディレクトリ使用量", _xlfn.REGEXTEST(C344, "Process Directory Free Space Monitoring Absolute"), "プロセスディレクトリの空き容量（絶対値)", _xlfn.REGEXTEST(C344, "Process Directory Free Space.*Percentage"), "プロセスディレクトリの空き容量割合（%）", _xlfn.REGEXTEST(C344, "Parcel Directory Free Space.*Absolute"), "パーセルディレクトリの空き容量（絶対値）", _xlfn.REGEXTEST(C344, "Parcel Directory Free Space.*Percentage"), "パーセルディレクトリの空き容量割合（%）", _xlfn.REGEXTEST(C344, "Host Network Frame Error Percentage"), "ホストのネットワークフレームエラー割合（%）", _xlfn.REGEXTEST(C344, "Network Interfaces Slow Link Modes"), "ホストのネットワークインターフェースの低速リンクモード検出", _xlfn.REGEXTEST(C344, "Host Memory Swapping"), "ホストのメモリのスワップ発生状態", TRUE, "要手動確認")</f>
        <v>ロードバランサーの稼働状態監視</v>
      </c>
      <c r="H344" s="479" t="s">
        <v>1158</v>
      </c>
    </row>
    <row r="345" spans="1:8" ht="16.899999999999999">
      <c r="A345" s="514"/>
      <c r="B345" s="473"/>
      <c r="C345" s="471" t="s">
        <v>1096</v>
      </c>
      <c r="D345" s="471" t="s">
        <v>1097</v>
      </c>
      <c r="E345" s="471" t="s">
        <v>1163</v>
      </c>
      <c r="F345" s="471"/>
      <c r="G345" s="471" t="str" cm="1">
        <f t="array" ref="G345">_xlfn.IFS(C345 = "", "", _xlfn.REGEXTEST(C345, "Service Metric Migrator Minimum Consecutive Successful Checks"), "サービスメトリック移行ツールの連続正常チェック最小回数", _xlfn.REGEXTEST(C345, "Rebalancing"), "リバランシング（データ再配置）状態", _xlfn.REGEXTEST(C345, "Temporary Dump Directory"), "一時ダンプディレクトリの監視", _xlfn.REGEXTEST(C345, "Safemode Extension"), "セーフモード延長状態", _xlfn.REGEXTEST(C345, "Client Idle"), "クライアントのアイドル（待機）状態", _xlfn.REGEXTEST(C345, "Available Space Policy Balanced"), "空き容量ポリシーの分散バランス状態", _xlfn.REGEXTEST(C345, "Filesystem Checkpoint Transaction"), "ファイルシステムのチェックポイントトランザクション", _xlfn.REGEXTEST(C345, "Blocks With Corrupt Replicas Monitoring"), "破損レプリカを持つブロックの監視", _xlfn.REGEXTEST(C345, "Missing Block Monitoring"), "消失（ミッシング）ブロックの監視", _xlfn.REGEXTEST(C345, "Under-replicated Block Monitoring"), "レプリカ数不足ブロックの監視", _xlfn.REGEXTEST(C345, "HDFS Free Space Monitoring"), "HDFSの空き容量監視", _xlfn.REGEXTEST(C345, "DataNode Monitoring"), "DataNodeの稼働状態監視", _xlfn.REGEXTEST(C345, "Rules to Extract Events from Log Files"), "ログファイルからのイベント抽出ルール設定", _xlfn.REGEXTEST(C345, "Free Space Monitoring$"), "空き容量監視（一般設定）", _xlfn.REGEXTEST(C345, "Transceivers Usage"), "トランシーバー使用量（データ転送スレッド数）", _xlfn.REGEXTEST(C345, "Volume Failures"), "ボリューム障害（ディスクエラー）数", _xlfn.REGEXTEST(C345, "Block Count"), "ブロック総数", _xlfn.REGEXTEST(C345, "Audit Failure"), "監査（オーディット）ログの失敗イベント", _xlfn.REGEXTEST(C345, "Web Metric Collection Duration"), "Webメトリック収集の所要時間", _xlfn.REGEXTEST(C345, "Pause Duration"), "一時停止（ポーズ）の所要時間", _xlfn.REGEXTEST(C345, "Fsync Latency"), "Fsync（ディスク同期）のレイテンシ", _xlfn.REGEXTEST(C345, "Free Space Monitoring Absolute"), "空き容量（絶対値）", _xlfn.REGEXTEST(C345, "Free Space Monitoring Percentage"), "空き容量割合（%）", _xlfn.REGEXTEST(C345, "Age Monitoring"), "経過時間の監視", _xlfn.REGEXTEST(C345, "Transactions Monitoring"), "トランザクション数の監視", _xlfn.REGEXTEST(C345, "RPC Latency"), "RPC（遠隔手続き呼出し）のレイテンシ", _xlfn.REGEXTEST(C345, "Directory Failures"), "ディレクトリ障害数", _xlfn.REGEXTEST(C345, "Out-Of-Sync JournalNodes"), "同期ズレが発生しているJournalNode数", _xlfn.REGEXTEST(C345, "Safemode Threshold Percentage"), "セーフモード解除閾値の割合（%）", _xlfn.REGEXTEST(C345, "Kerberos Ticket Renewer Monitoring"), "Kerberosチケット更新プロセスの稼働状態監視", _xlfn.REGEXTEST(C345, "Load Balancer Monitoring"), "ロードバランサーの稼働状態監視", _xlfn.REGEXTEST(C345, "Navigator Audit Failure"), "Cloudera Navigator監査ログの失敗イベント", _xlfn.REGEXTEST(C345, "Schema Registry Server Monitoring"), "Schema Registry Serverの稼働状態監視", _xlfn.REGEXTEST(C345, "SRM Service Monitoring"), "SRMサービスの稼働状態監視", _xlfn.REGEXTEST(C345, "SRM Driver Monitoring"), "SRMドライバーの稼働状態監視", _xlfn.REGEXTEST(C345, "Loggin"), "ログ出力状態・設定監視", _xlfn.REGEXTEST(C345, "Server Monitoring"), "サーバーの稼働状態監視", _xlfn.REGEXTEST(C345, "Server Connection Count"), "サーバーの接続数（コネクション数）", _xlfn.REGEXTEST(C345, "Server Outstanding Requests"), "サーバーの未処理リクエスト数（滞留要求数）", _xlfn.REGEXTEST(C345, "Repository Status"), "リポジトリのステータス状態", _xlfn.REGEXTEST(C345, "Monitor Long Running Task"), "長時間実行タスク（ジョブ）の監視", _xlfn.REGEXTEST(C345, "Token requests per second"), "1秒あたりのトークンリクエスト数（要求レート）", _xlfn.REGEXTEST(C345, "Connection Model Score"), "接続モデルスコア（コネクション品質）", _xlfn.REGEXTEST(C345, "Queue swap"), "キューのスワップ発生状態", _xlfn.REGEXTEST(C345, "NiFi Node Monitoring"), "NiFiノードの稼働状態監視", _xlfn.REGEXTEST(C345, "Host Clock Offset"), "ホストのクロックオフセット（時刻同期のズレ）", _xlfn.REGEXTEST(C345, "Memory Overcommit Validation"), "メモリオーバーコミット設定の検証", _xlfn.REGEXTEST(C345, "Gateway Logging"), "ゲートウェイのログ出力設定", _xlfn.REGEXTEST(C345, "CPU Balance"), "CPU使用率の分散バランス状態", _xlfn.REGEXTEST(C345, "Disk Balance"), "ディスク使用量の分散バランス状態", _xlfn.REGEXTEST(C345, "Network Inbound Balance"), "ネットワークインバウンド（受信）の分散バランス状態", _xlfn.REGEXTEST(C345, "Network Outbound Balance"), "ネットワークアウトバウンド（送信）の分散バランス状態", _xlfn.REGEXTEST(C345, "Replica Count Balance"), "レプリカ数の分散バランス状態", _xlfn.REGEXTEST(C345, "Disk Capacity"), "ディスク総容量の限界・使用容量", _xlfn.REGEXTEST(C345, "CPU Capacity"), "CPU総処理能力の限界・使用量", _xlfn.REGEXTEST(C345, "Network Inbound Capacity"), "ネットワークインバウンド（受信）帯域の限界・使用量", _xlfn.REGEXTEST(C345, "Network Outbound Capacity"), "ネットワークアウトバウンド（送信）帯域の限界・使用量", _xlfn.REGEXTEST(C345, "Leader Replica Count Balance"), "リーダーレプリカ数の分散バランス状態", _xlfn.REGEXTEST(C345, "Host DNS Resolution Duration"), "ホストのDNS名前解決の所要時間", _xlfn.REGEXTEST(C345, "TLS Certificate Expiry"), "TLS証明書の有効期限切れ", _xlfn.REGEXTEST(C345, "Host Entropy"), "ホストのエントロピー（乱数生成能力）の不足", _xlfn.REGEXTEST(C345, "File Descriptor"), "プロセスのファイルディスクリプタ使用率", _xlfn.REGEXTEST(C345, "Unexpected Exits"), "プロセスの異常終了（予期せぬ停止）", _xlfn.REGEXTEST(C345, "Swap Memory Thresholds"), "プロセスのスワップメモリ使用量", _xlfn.REGEXTEST(C345, "Swap Memory Usage Rate"), "スワップメモリ使用量の変化率（増加速度）", _xlfn.REGEXTEST(C345, "Log Directory Free Space.*Absolute"), "ログディレクトリの空き容量（絶対値）", _xlfn.REGEXTEST(C345, "Log Directory Free Space.*Percentage"), "ログディレクトリの空き容量割合（%）", _xlfn.REGEXTEST(C345, "Heap Dump Directory Free Space.*Absolute"), "ヒープダンプディレクトリの空き容量（絶対値）", _xlfn.REGEXTEST(C345, "Heap Dump Directory Free Space.*Percentage"), "ヒープダンプディレクトリの空き容量割合（%）", _xlfn.REGEXTEST(C345, "Data Directory Free Space.*Absolute"), "データディレクトリの空き容量（絶対値）", _xlfn.REGEXTEST(C345, "Data Directory Free Space.*Percentage"), "データディレクトリの空き容量割合（%）", _xlfn.REGEXTEST(C345, "Transaction Log Directory Free Space.*Absolute"), "トランザクションログディレクトリの空き容量（絶対値）", _xlfn.REGEXTEST(C345, "Logging Threshold|Logger Threshold"), "ログ出力レベルの閾値設定", _xlfn.REGEXTEST(C345, "Enable.*Alerts"), "ヘルスアラートの有効化状態", _xlfn.REGEXTEST(C345, "Triggers"), "カスタムアラート条件（トリガー設定）", _xlfn.REGEXTEST(C345, "Healthy Kafka Broker"), "Kafka Brokerの健全ノード割合（稼働率）", _xlfn.REGEXTEST(C345, "Healthy Kafka Connect"), "Kafka Connectの健全ノード割合（稼働率）", _xlfn.REGEXTEST(C345, "Healthy KRaft Controller"), "KRaft Controllerの健全ノード割合（稼働率）", _xlfn.REGEXTEST(C345, "Healthy Knox IDBroker"), "Knox IDBrokerの健全ノード割合（稼働率）", _xlfn.REGEXTEST(C345, "Healthy Knox Gateway"), "Knox Gatewayの健全ノード割合（稼働率）", _xlfn.REGEXTEST(C345, "Healthy ZooKeeper Server"), "ZooKeeper Serverの健全ノード割合（稼働率）", _xlfn.REGEXTEST(C345, "Healthy NodeManager"), "NodeManagerの健全ノード割合（稼働率）", _xlfn.REGEXTEST(C345, "Maximum Latency"), "リクエストの最大レイテンシ（処理遅延）", _xlfn.REGEXTEST(C345, "Garbage Collection Duration"), "Javaのガベージコレクション（GC）の所要時間", _xlfn.REGEXTEST(C345, "Spool Directory Usage"), "Rangerプラグインのスプールディレクトリ使用量", _xlfn.REGEXTEST(C345, "Process Directory Free Space Monitoring Absolute"), "プロセスディレクトリの空き容量（絶対値)", _xlfn.REGEXTEST(C345, "Process Directory Free Space.*Percentage"), "プロセスディレクトリの空き容量割合（%）", _xlfn.REGEXTEST(C345, "Parcel Directory Free Space.*Absolute"), "パーセルディレクトリの空き容量（絶対値）", _xlfn.REGEXTEST(C345, "Parcel Directory Free Space.*Percentage"), "パーセルディレクトリの空き容量割合（%）", _xlfn.REGEXTEST(C345, "Host Network Frame Error Percentage"), "ホストのネットワークフレームエラー割合（%）", _xlfn.REGEXTEST(C345, "Network Interfaces Slow Link Modes"), "ホストのネットワークインターフェースの低速リンクモード検出", _xlfn.REGEXTEST(C345, "Host Memory Swapping"), "ホストのメモリのスワップ発生状態", TRUE, "要手動確認")</f>
        <v>監査（オーディット）ログの失敗イベント</v>
      </c>
      <c r="H345" s="479" t="s">
        <v>1164</v>
      </c>
    </row>
    <row r="346" spans="1:8" ht="16.899999999999999">
      <c r="A346" s="514"/>
      <c r="B346" s="473"/>
      <c r="C346" s="471" t="s">
        <v>798</v>
      </c>
      <c r="D346" s="471" t="s">
        <v>710</v>
      </c>
      <c r="E346" s="471" t="s">
        <v>1163</v>
      </c>
      <c r="F346" s="471"/>
      <c r="G346" s="471" t="str" cm="1">
        <f t="array" ref="G346">_xlfn.IFS(C346 = "", "", _xlfn.REGEXTEST(C346, "Service Metric Migrator Minimum Consecutive Successful Checks"), "サービスメトリック移行ツールの連続正常チェック最小回数", _xlfn.REGEXTEST(C346, "Rebalancing"), "リバランシング（データ再配置）状態", _xlfn.REGEXTEST(C346, "Temporary Dump Directory"), "一時ダンプディレクトリの監視", _xlfn.REGEXTEST(C346, "Safemode Extension"), "セーフモード延長状態", _xlfn.REGEXTEST(C346, "Client Idle"), "クライアントのアイドル（待機）状態", _xlfn.REGEXTEST(C346, "Available Space Policy Balanced"), "空き容量ポリシーの分散バランス状態", _xlfn.REGEXTEST(C346, "Filesystem Checkpoint Transaction"), "ファイルシステムのチェックポイントトランザクション", _xlfn.REGEXTEST(C346, "Blocks With Corrupt Replicas Monitoring"), "破損レプリカを持つブロックの監視", _xlfn.REGEXTEST(C346, "Missing Block Monitoring"), "消失（ミッシング）ブロックの監視", _xlfn.REGEXTEST(C346, "Under-replicated Block Monitoring"), "レプリカ数不足ブロックの監視", _xlfn.REGEXTEST(C346, "HDFS Free Space Monitoring"), "HDFSの空き容量監視", _xlfn.REGEXTEST(C346, "DataNode Monitoring"), "DataNodeの稼働状態監視", _xlfn.REGEXTEST(C346, "Rules to Extract Events from Log Files"), "ログファイルからのイベント抽出ルール設定", _xlfn.REGEXTEST(C346, "Free Space Monitoring$"), "空き容量監視（一般設定）", _xlfn.REGEXTEST(C346, "Transceivers Usage"), "トランシーバー使用量（データ転送スレッド数）", _xlfn.REGEXTEST(C346, "Volume Failures"), "ボリューム障害（ディスクエラー）数", _xlfn.REGEXTEST(C346, "Block Count"), "ブロック総数", _xlfn.REGEXTEST(C346, "Audit Failure"), "監査（オーディット）ログの失敗イベント", _xlfn.REGEXTEST(C346, "Web Metric Collection Duration"), "Webメトリック収集の所要時間", _xlfn.REGEXTEST(C346, "Pause Duration"), "一時停止（ポーズ）の所要時間", _xlfn.REGEXTEST(C346, "Fsync Latency"), "Fsync（ディスク同期）のレイテンシ", _xlfn.REGEXTEST(C346, "Free Space Monitoring Absolute"), "空き容量（絶対値）", _xlfn.REGEXTEST(C346, "Free Space Monitoring Percentage"), "空き容量割合（%）", _xlfn.REGEXTEST(C346, "Age Monitoring"), "経過時間の監視", _xlfn.REGEXTEST(C346, "Transactions Monitoring"), "トランザクション数の監視", _xlfn.REGEXTEST(C346, "RPC Latency"), "RPC（遠隔手続き呼出し）のレイテンシ", _xlfn.REGEXTEST(C346, "Directory Failures"), "ディレクトリ障害数", _xlfn.REGEXTEST(C346, "Out-Of-Sync JournalNodes"), "同期ズレが発生しているJournalNode数", _xlfn.REGEXTEST(C346, "Safemode Threshold Percentage"), "セーフモード解除閾値の割合（%）", _xlfn.REGEXTEST(C346, "Kerberos Ticket Renewer Monitoring"), "Kerberosチケット更新プロセスの稼働状態監視", _xlfn.REGEXTEST(C346, "Load Balancer Monitoring"), "ロードバランサーの稼働状態監視", _xlfn.REGEXTEST(C346, "Navigator Audit Failure"), "Cloudera Navigator監査ログの失敗イベント", _xlfn.REGEXTEST(C346, "Schema Registry Server Monitoring"), "Schema Registry Serverの稼働状態監視", _xlfn.REGEXTEST(C346, "SRM Service Monitoring"), "SRMサービスの稼働状態監視", _xlfn.REGEXTEST(C346, "SRM Driver Monitoring"), "SRMドライバーの稼働状態監視", _xlfn.REGEXTEST(C346, "Loggin"), "ログ出力状態・設定監視", _xlfn.REGEXTEST(C346, "Server Monitoring"), "サーバーの稼働状態監視", _xlfn.REGEXTEST(C346, "Server Connection Count"), "サーバーの接続数（コネクション数）", _xlfn.REGEXTEST(C346, "Server Outstanding Requests"), "サーバーの未処理リクエスト数（滞留要求数）", _xlfn.REGEXTEST(C346, "Repository Status"), "リポジトリのステータス状態", _xlfn.REGEXTEST(C346, "Monitor Long Running Task"), "長時間実行タスク（ジョブ）の監視", _xlfn.REGEXTEST(C346, "Token requests per second"), "1秒あたりのトークンリクエスト数（要求レート）", _xlfn.REGEXTEST(C346, "Connection Model Score"), "接続モデルスコア（コネクション品質）", _xlfn.REGEXTEST(C346, "Queue swap"), "キューのスワップ発生状態", _xlfn.REGEXTEST(C346, "NiFi Node Monitoring"), "NiFiノードの稼働状態監視", _xlfn.REGEXTEST(C346, "Host Clock Offset"), "ホストのクロックオフセット（時刻同期のズレ）", _xlfn.REGEXTEST(C346, "Memory Overcommit Validation"), "メモリオーバーコミット設定の検証", _xlfn.REGEXTEST(C346, "Gateway Logging"), "ゲートウェイのログ出力設定", _xlfn.REGEXTEST(C346, "CPU Balance"), "CPU使用率の分散バランス状態", _xlfn.REGEXTEST(C346, "Disk Balance"), "ディスク使用量の分散バランス状態", _xlfn.REGEXTEST(C346, "Network Inbound Balance"), "ネットワークインバウンド（受信）の分散バランス状態", _xlfn.REGEXTEST(C346, "Network Outbound Balance"), "ネットワークアウトバウンド（送信）の分散バランス状態", _xlfn.REGEXTEST(C346, "Replica Count Balance"), "レプリカ数の分散バランス状態", _xlfn.REGEXTEST(C346, "Disk Capacity"), "ディスク総容量の限界・使用容量", _xlfn.REGEXTEST(C346, "CPU Capacity"), "CPU総処理能力の限界・使用量", _xlfn.REGEXTEST(C346, "Network Inbound Capacity"), "ネットワークインバウンド（受信）帯域の限界・使用量", _xlfn.REGEXTEST(C346, "Network Outbound Capacity"), "ネットワークアウトバウンド（送信）帯域の限界・使用量", _xlfn.REGEXTEST(C346, "Leader Replica Count Balance"), "リーダーレプリカ数の分散バランス状態", _xlfn.REGEXTEST(C346, "Host DNS Resolution Duration"), "ホストのDNS名前解決の所要時間", _xlfn.REGEXTEST(C346, "TLS Certificate Expiry"), "TLS証明書の有効期限切れ", _xlfn.REGEXTEST(C346, "Host Entropy"), "ホストのエントロピー（乱数生成能力）の不足", _xlfn.REGEXTEST(C346, "File Descriptor"), "プロセスのファイルディスクリプタ使用率", _xlfn.REGEXTEST(C346, "Unexpected Exits"), "プロセスの異常終了（予期せぬ停止）", _xlfn.REGEXTEST(C346, "Swap Memory Thresholds"), "プロセスのスワップメモリ使用量", _xlfn.REGEXTEST(C346, "Swap Memory Usage Rate"), "スワップメモリ使用量の変化率（増加速度）", _xlfn.REGEXTEST(C346, "Log Directory Free Space.*Absolute"), "ログディレクトリの空き容量（絶対値）", _xlfn.REGEXTEST(C346, "Log Directory Free Space.*Percentage"), "ログディレクトリの空き容量割合（%）", _xlfn.REGEXTEST(C346, "Heap Dump Directory Free Space.*Absolute"), "ヒープダンプディレクトリの空き容量（絶対値）", _xlfn.REGEXTEST(C346, "Heap Dump Directory Free Space.*Percentage"), "ヒープダンプディレクトリの空き容量割合（%）", _xlfn.REGEXTEST(C346, "Data Directory Free Space.*Absolute"), "データディレクトリの空き容量（絶対値）", _xlfn.REGEXTEST(C346, "Data Directory Free Space.*Percentage"), "データディレクトリの空き容量割合（%）", _xlfn.REGEXTEST(C346, "Transaction Log Directory Free Space.*Absolute"), "トランザクションログディレクトリの空き容量（絶対値）", _xlfn.REGEXTEST(C346, "Logging Threshold|Logger Threshold"), "ログ出力レベルの閾値設定", _xlfn.REGEXTEST(C346, "Enable.*Alerts"), "ヘルスアラートの有効化状態", _xlfn.REGEXTEST(C346, "Triggers"), "カスタムアラート条件（トリガー設定）", _xlfn.REGEXTEST(C346, "Healthy Kafka Broker"), "Kafka Brokerの健全ノード割合（稼働率）", _xlfn.REGEXTEST(C346, "Healthy Kafka Connect"), "Kafka Connectの健全ノード割合（稼働率）", _xlfn.REGEXTEST(C346, "Healthy KRaft Controller"), "KRaft Controllerの健全ノード割合（稼働率）", _xlfn.REGEXTEST(C346, "Healthy Knox IDBroker"), "Knox IDBrokerの健全ノード割合（稼働率）", _xlfn.REGEXTEST(C346, "Healthy Knox Gateway"), "Knox Gatewayの健全ノード割合（稼働率）", _xlfn.REGEXTEST(C346, "Healthy ZooKeeper Server"), "ZooKeeper Serverの健全ノード割合（稼働率）", _xlfn.REGEXTEST(C346, "Healthy NodeManager"), "NodeManagerの健全ノード割合（稼働率）", _xlfn.REGEXTEST(C346, "Maximum Latency"), "リクエストの最大レイテンシ（処理遅延）", _xlfn.REGEXTEST(C346, "Garbage Collection Duration"), "Javaのガベージコレクション（GC）の所要時間", _xlfn.REGEXTEST(C346, "Spool Directory Usage"), "Rangerプラグインのスプールディレクトリ使用量", _xlfn.REGEXTEST(C346, "Process Directory Free Space Monitoring Absolute"), "プロセスディレクトリの空き容量（絶対値)", _xlfn.REGEXTEST(C346, "Process Directory Free Space.*Percentage"), "プロセスディレクトリの空き容量割合（%）", _xlfn.REGEXTEST(C346, "Parcel Directory Free Space.*Absolute"), "パーセルディレクトリの空き容量（絶対値）", _xlfn.REGEXTEST(C346, "Parcel Directory Free Space.*Percentage"), "パーセルディレクトリの空き容量割合（%）", _xlfn.REGEXTEST(C346, "Host Network Frame Error Percentage"), "ホストのネットワークフレームエラー割合（%）", _xlfn.REGEXTEST(C346, "Network Interfaces Slow Link Modes"), "ホストのネットワークインターフェースの低速リンクモード検出", _xlfn.REGEXTEST(C346, "Host Memory Swapping"), "ホストのメモリのスワップ発生状態", TRUE, "要手動確認")</f>
        <v>ヘルスアラートの有効化状態</v>
      </c>
      <c r="H346" s="479" t="s">
        <v>1079</v>
      </c>
    </row>
    <row r="347" spans="1:8" ht="16.899999999999999">
      <c r="A347" s="514"/>
      <c r="B347" s="473"/>
      <c r="C347" s="471" t="s">
        <v>736</v>
      </c>
      <c r="D347" s="471" t="s">
        <v>1165</v>
      </c>
      <c r="E347" s="471" t="s">
        <v>1163</v>
      </c>
      <c r="F347" s="471"/>
      <c r="G347" s="471" t="str" cm="1">
        <f t="array" ref="G347">_xlfn.IFS(C347 = "", "", _xlfn.REGEXTEST(C347, "Service Metric Migrator Minimum Consecutive Successful Checks"), "サービスメトリック移行ツールの連続正常チェック最小回数", _xlfn.REGEXTEST(C347, "Rebalancing"), "リバランシング（データ再配置）状態", _xlfn.REGEXTEST(C347, "Temporary Dump Directory"), "一時ダンプディレクトリの監視", _xlfn.REGEXTEST(C347, "Safemode Extension"), "セーフモード延長状態", _xlfn.REGEXTEST(C347, "Client Idle"), "クライアントのアイドル（待機）状態", _xlfn.REGEXTEST(C347, "Available Space Policy Balanced"), "空き容量ポリシーの分散バランス状態", _xlfn.REGEXTEST(C347, "Filesystem Checkpoint Transaction"), "ファイルシステムのチェックポイントトランザクション", _xlfn.REGEXTEST(C347, "Blocks With Corrupt Replicas Monitoring"), "破損レプリカを持つブロックの監視", _xlfn.REGEXTEST(C347, "Missing Block Monitoring"), "消失（ミッシング）ブロックの監視", _xlfn.REGEXTEST(C347, "Under-replicated Block Monitoring"), "レプリカ数不足ブロックの監視", _xlfn.REGEXTEST(C347, "HDFS Free Space Monitoring"), "HDFSの空き容量監視", _xlfn.REGEXTEST(C347, "DataNode Monitoring"), "DataNodeの稼働状態監視", _xlfn.REGEXTEST(C347, "Rules to Extract Events from Log Files"), "ログファイルからのイベント抽出ルール設定", _xlfn.REGEXTEST(C347, "Free Space Monitoring$"), "空き容量監視（一般設定）", _xlfn.REGEXTEST(C347, "Transceivers Usage"), "トランシーバー使用量（データ転送スレッド数）", _xlfn.REGEXTEST(C347, "Volume Failures"), "ボリューム障害（ディスクエラー）数", _xlfn.REGEXTEST(C347, "Block Count"), "ブロック総数", _xlfn.REGEXTEST(C347, "Audit Failure"), "監査（オーディット）ログの失敗イベント", _xlfn.REGEXTEST(C347, "Web Metric Collection Duration"), "Webメトリック収集の所要時間", _xlfn.REGEXTEST(C347, "Pause Duration"), "一時停止（ポーズ）の所要時間", _xlfn.REGEXTEST(C347, "Fsync Latency"), "Fsync（ディスク同期）のレイテンシ", _xlfn.REGEXTEST(C347, "Free Space Monitoring Absolute"), "空き容量（絶対値）", _xlfn.REGEXTEST(C347, "Free Space Monitoring Percentage"), "空き容量割合（%）", _xlfn.REGEXTEST(C347, "Age Monitoring"), "経過時間の監視", _xlfn.REGEXTEST(C347, "Transactions Monitoring"), "トランザクション数の監視", _xlfn.REGEXTEST(C347, "RPC Latency"), "RPC（遠隔手続き呼出し）のレイテンシ", _xlfn.REGEXTEST(C347, "Directory Failures"), "ディレクトリ障害数", _xlfn.REGEXTEST(C347, "Out-Of-Sync JournalNodes"), "同期ズレが発生しているJournalNode数", _xlfn.REGEXTEST(C347, "Safemode Threshold Percentage"), "セーフモード解除閾値の割合（%）", _xlfn.REGEXTEST(C347, "Kerberos Ticket Renewer Monitoring"), "Kerberosチケット更新プロセスの稼働状態監視", _xlfn.REGEXTEST(C347, "Load Balancer Monitoring"), "ロードバランサーの稼働状態監視", _xlfn.REGEXTEST(C347, "Navigator Audit Failure"), "Cloudera Navigator監査ログの失敗イベント", _xlfn.REGEXTEST(C347, "Schema Registry Server Monitoring"), "Schema Registry Serverの稼働状態監視", _xlfn.REGEXTEST(C347, "SRM Service Monitoring"), "SRMサービスの稼働状態監視", _xlfn.REGEXTEST(C347, "SRM Driver Monitoring"), "SRMドライバーの稼働状態監視", _xlfn.REGEXTEST(C347, "Loggin"), "ログ出力状態・設定監視", _xlfn.REGEXTEST(C347, "Server Monitoring"), "サーバーの稼働状態監視", _xlfn.REGEXTEST(C347, "Server Connection Count"), "サーバーの接続数（コネクション数）", _xlfn.REGEXTEST(C347, "Server Outstanding Requests"), "サーバーの未処理リクエスト数（滞留要求数）", _xlfn.REGEXTEST(C347, "Repository Status"), "リポジトリのステータス状態", _xlfn.REGEXTEST(C347, "Monitor Long Running Task"), "長時間実行タスク（ジョブ）の監視", _xlfn.REGEXTEST(C347, "Token requests per second"), "1秒あたりのトークンリクエスト数（要求レート）", _xlfn.REGEXTEST(C347, "Connection Model Score"), "接続モデルスコア（コネクション品質）", _xlfn.REGEXTEST(C347, "Queue swap"), "キューのスワップ発生状態", _xlfn.REGEXTEST(C347, "NiFi Node Monitoring"), "NiFiノードの稼働状態監視", _xlfn.REGEXTEST(C347, "Host Clock Offset"), "ホストのクロックオフセット（時刻同期のズレ）", _xlfn.REGEXTEST(C347, "Memory Overcommit Validation"), "メモリオーバーコミット設定の検証", _xlfn.REGEXTEST(C347, "Gateway Logging"), "ゲートウェイのログ出力設定", _xlfn.REGEXTEST(C347, "CPU Balance"), "CPU使用率の分散バランス状態", _xlfn.REGEXTEST(C347, "Disk Balance"), "ディスク使用量の分散バランス状態", _xlfn.REGEXTEST(C347, "Network Inbound Balance"), "ネットワークインバウンド（受信）の分散バランス状態", _xlfn.REGEXTEST(C347, "Network Outbound Balance"), "ネットワークアウトバウンド（送信）の分散バランス状態", _xlfn.REGEXTEST(C347, "Replica Count Balance"), "レプリカ数の分散バランス状態", _xlfn.REGEXTEST(C347, "Disk Capacity"), "ディスク総容量の限界・使用容量", _xlfn.REGEXTEST(C347, "CPU Capacity"), "CPU総処理能力の限界・使用量", _xlfn.REGEXTEST(C347, "Network Inbound Capacity"), "ネットワークインバウンド（受信）帯域の限界・使用量", _xlfn.REGEXTEST(C347, "Network Outbound Capacity"), "ネットワークアウトバウンド（送信）帯域の限界・使用量", _xlfn.REGEXTEST(C347, "Leader Replica Count Balance"), "リーダーレプリカ数の分散バランス状態", _xlfn.REGEXTEST(C347, "Host DNS Resolution Duration"), "ホストのDNS名前解決の所要時間", _xlfn.REGEXTEST(C347, "TLS Certificate Expiry"), "TLS証明書の有効期限切れ", _xlfn.REGEXTEST(C347, "Host Entropy"), "ホストのエントロピー（乱数生成能力）の不足", _xlfn.REGEXTEST(C347, "File Descriptor"), "プロセスのファイルディスクリプタ使用率", _xlfn.REGEXTEST(C347, "Unexpected Exits"), "プロセスの異常終了（予期せぬ停止）", _xlfn.REGEXTEST(C347, "Swap Memory Thresholds"), "プロセスのスワップメモリ使用量", _xlfn.REGEXTEST(C347, "Swap Memory Usage Rate"), "スワップメモリ使用量の変化率（増加速度）", _xlfn.REGEXTEST(C347, "Log Directory Free Space.*Absolute"), "ログディレクトリの空き容量（絶対値）", _xlfn.REGEXTEST(C347, "Log Directory Free Space.*Percentage"), "ログディレクトリの空き容量割合（%）", _xlfn.REGEXTEST(C347, "Heap Dump Directory Free Space.*Absolute"), "ヒープダンプディレクトリの空き容量（絶対値）", _xlfn.REGEXTEST(C347, "Heap Dump Directory Free Space.*Percentage"), "ヒープダンプディレクトリの空き容量割合（%）", _xlfn.REGEXTEST(C347, "Data Directory Free Space.*Absolute"), "データディレクトリの空き容量（絶対値）", _xlfn.REGEXTEST(C347, "Data Directory Free Space.*Percentage"), "データディレクトリの空き容量割合（%）", _xlfn.REGEXTEST(C347, "Transaction Log Directory Free Space.*Absolute"), "トランザクションログディレクトリの空き容量（絶対値）", _xlfn.REGEXTEST(C347, "Logging Threshold|Logger Threshold"), "ログ出力レベルの閾値設定", _xlfn.REGEXTEST(C347, "Enable.*Alerts"), "ヘルスアラートの有効化状態", _xlfn.REGEXTEST(C347, "Triggers"), "カスタムアラート条件（トリガー設定）", _xlfn.REGEXTEST(C347, "Healthy Kafka Broker"), "Kafka Brokerの健全ノード割合（稼働率）", _xlfn.REGEXTEST(C347, "Healthy Kafka Connect"), "Kafka Connectの健全ノード割合（稼働率）", _xlfn.REGEXTEST(C347, "Healthy KRaft Controller"), "KRaft Controllerの健全ノード割合（稼働率）", _xlfn.REGEXTEST(C347, "Healthy Knox IDBroker"), "Knox IDBrokerの健全ノード割合（稼働率）", _xlfn.REGEXTEST(C347, "Healthy Knox Gateway"), "Knox Gatewayの健全ノード割合（稼働率）", _xlfn.REGEXTEST(C347, "Healthy ZooKeeper Server"), "ZooKeeper Serverの健全ノード割合（稼働率）", _xlfn.REGEXTEST(C347, "Healthy NodeManager"), "NodeManagerの健全ノード割合（稼働率）", _xlfn.REGEXTEST(C347, "Maximum Latency"), "リクエストの最大レイテンシ（処理遅延）", _xlfn.REGEXTEST(C347, "Garbage Collection Duration"), "Javaのガベージコレクション（GC）の所要時間", _xlfn.REGEXTEST(C347, "Spool Directory Usage"), "Rangerプラグインのスプールディレクトリ使用量", _xlfn.REGEXTEST(C347, "Process Directory Free Space Monitoring Absolute"), "プロセスディレクトリの空き容量（絶対値)", _xlfn.REGEXTEST(C347, "Process Directory Free Space.*Percentage"), "プロセスディレクトリの空き容量割合（%）", _xlfn.REGEXTEST(C347, "Parcel Directory Free Space.*Absolute"), "パーセルディレクトリの空き容量（絶対値）", _xlfn.REGEXTEST(C347, "Parcel Directory Free Space.*Percentage"), "パーセルディレクトリの空き容量割合（%）", _xlfn.REGEXTEST(C347, "Host Network Frame Error Percentage"), "ホストのネットワークフレームエラー割合（%）", _xlfn.REGEXTEST(C347, "Network Interfaces Slow Link Modes"), "ホストのネットワークインターフェースの低速リンクモード検出", _xlfn.REGEXTEST(C347, "Host Memory Swapping"), "ホストのメモリのスワップ発生状態", TRUE, "要手動確認")</f>
        <v>プロセスのファイルディスクリプタ使用率</v>
      </c>
      <c r="H347" s="479" t="s">
        <v>1166</v>
      </c>
    </row>
    <row r="348" spans="1:8" ht="33.6">
      <c r="A348" s="514"/>
      <c r="B348" s="473"/>
      <c r="C348" s="471" t="s">
        <v>741</v>
      </c>
      <c r="D348" s="471" t="s">
        <v>742</v>
      </c>
      <c r="E348" s="471" t="s">
        <v>1163</v>
      </c>
      <c r="F348" s="471"/>
      <c r="G348" s="471" t="str" cm="1">
        <f t="array" ref="G348">_xlfn.IFS(C348 = "", "", _xlfn.REGEXTEST(C348, "Service Metric Migrator Minimum Consecutive Successful Checks"), "サービスメトリック移行ツールの連続正常チェック最小回数", _xlfn.REGEXTEST(C348, "Rebalancing"), "リバランシング（データ再配置）状態", _xlfn.REGEXTEST(C348, "Temporary Dump Directory"), "一時ダンプディレクトリの監視", _xlfn.REGEXTEST(C348, "Safemode Extension"), "セーフモード延長状態", _xlfn.REGEXTEST(C348, "Client Idle"), "クライアントのアイドル（待機）状態", _xlfn.REGEXTEST(C348, "Available Space Policy Balanced"), "空き容量ポリシーの分散バランス状態", _xlfn.REGEXTEST(C348, "Filesystem Checkpoint Transaction"), "ファイルシステムのチェックポイントトランザクション", _xlfn.REGEXTEST(C348, "Blocks With Corrupt Replicas Monitoring"), "破損レプリカを持つブロックの監視", _xlfn.REGEXTEST(C348, "Missing Block Monitoring"), "消失（ミッシング）ブロックの監視", _xlfn.REGEXTEST(C348, "Under-replicated Block Monitoring"), "レプリカ数不足ブロックの監視", _xlfn.REGEXTEST(C348, "HDFS Free Space Monitoring"), "HDFSの空き容量監視", _xlfn.REGEXTEST(C348, "DataNode Monitoring"), "DataNodeの稼働状態監視", _xlfn.REGEXTEST(C348, "Rules to Extract Events from Log Files"), "ログファイルからのイベント抽出ルール設定", _xlfn.REGEXTEST(C348, "Free Space Monitoring$"), "空き容量監視（一般設定）", _xlfn.REGEXTEST(C348, "Transceivers Usage"), "トランシーバー使用量（データ転送スレッド数）", _xlfn.REGEXTEST(C348, "Volume Failures"), "ボリューム障害（ディスクエラー）数", _xlfn.REGEXTEST(C348, "Block Count"), "ブロック総数", _xlfn.REGEXTEST(C348, "Audit Failure"), "監査（オーディット）ログの失敗イベント", _xlfn.REGEXTEST(C348, "Web Metric Collection Duration"), "Webメトリック収集の所要時間", _xlfn.REGEXTEST(C348, "Pause Duration"), "一時停止（ポーズ）の所要時間", _xlfn.REGEXTEST(C348, "Fsync Latency"), "Fsync（ディスク同期）のレイテンシ", _xlfn.REGEXTEST(C348, "Free Space Monitoring Absolute"), "空き容量（絶対値）", _xlfn.REGEXTEST(C348, "Free Space Monitoring Percentage"), "空き容量割合（%）", _xlfn.REGEXTEST(C348, "Age Monitoring"), "経過時間の監視", _xlfn.REGEXTEST(C348, "Transactions Monitoring"), "トランザクション数の監視", _xlfn.REGEXTEST(C348, "RPC Latency"), "RPC（遠隔手続き呼出し）のレイテンシ", _xlfn.REGEXTEST(C348, "Directory Failures"), "ディレクトリ障害数", _xlfn.REGEXTEST(C348, "Out-Of-Sync JournalNodes"), "同期ズレが発生しているJournalNode数", _xlfn.REGEXTEST(C348, "Safemode Threshold Percentage"), "セーフモード解除閾値の割合（%）", _xlfn.REGEXTEST(C348, "Kerberos Ticket Renewer Monitoring"), "Kerberosチケット更新プロセスの稼働状態監視", _xlfn.REGEXTEST(C348, "Load Balancer Monitoring"), "ロードバランサーの稼働状態監視", _xlfn.REGEXTEST(C348, "Navigator Audit Failure"), "Cloudera Navigator監査ログの失敗イベント", _xlfn.REGEXTEST(C348, "Schema Registry Server Monitoring"), "Schema Registry Serverの稼働状態監視", _xlfn.REGEXTEST(C348, "SRM Service Monitoring"), "SRMサービスの稼働状態監視", _xlfn.REGEXTEST(C348, "SRM Driver Monitoring"), "SRMドライバーの稼働状態監視", _xlfn.REGEXTEST(C348, "Loggin"), "ログ出力状態・設定監視", _xlfn.REGEXTEST(C348, "Server Monitoring"), "サーバーの稼働状態監視", _xlfn.REGEXTEST(C348, "Server Connection Count"), "サーバーの接続数（コネクション数）", _xlfn.REGEXTEST(C348, "Server Outstanding Requests"), "サーバーの未処理リクエスト数（滞留要求数）", _xlfn.REGEXTEST(C348, "Repository Status"), "リポジトリのステータス状態", _xlfn.REGEXTEST(C348, "Monitor Long Running Task"), "長時間実行タスク（ジョブ）の監視", _xlfn.REGEXTEST(C348, "Token requests per second"), "1秒あたりのトークンリクエスト数（要求レート）", _xlfn.REGEXTEST(C348, "Connection Model Score"), "接続モデルスコア（コネクション品質）", _xlfn.REGEXTEST(C348, "Queue swap"), "キューのスワップ発生状態", _xlfn.REGEXTEST(C348, "NiFi Node Monitoring"), "NiFiノードの稼働状態監視", _xlfn.REGEXTEST(C348, "Host Clock Offset"), "ホストのクロックオフセット（時刻同期のズレ）", _xlfn.REGEXTEST(C348, "Memory Overcommit Validation"), "メモリオーバーコミット設定の検証", _xlfn.REGEXTEST(C348, "Gateway Logging"), "ゲートウェイのログ出力設定", _xlfn.REGEXTEST(C348, "CPU Balance"), "CPU使用率の分散バランス状態", _xlfn.REGEXTEST(C348, "Disk Balance"), "ディスク使用量の分散バランス状態", _xlfn.REGEXTEST(C348, "Network Inbound Balance"), "ネットワークインバウンド（受信）の分散バランス状態", _xlfn.REGEXTEST(C348, "Network Outbound Balance"), "ネットワークアウトバウンド（送信）の分散バランス状態", _xlfn.REGEXTEST(C348, "Replica Count Balance"), "レプリカ数の分散バランス状態", _xlfn.REGEXTEST(C348, "Disk Capacity"), "ディスク総容量の限界・使用容量", _xlfn.REGEXTEST(C348, "CPU Capacity"), "CPU総処理能力の限界・使用量", _xlfn.REGEXTEST(C348, "Network Inbound Capacity"), "ネットワークインバウンド（受信）帯域の限界・使用量", _xlfn.REGEXTEST(C348, "Network Outbound Capacity"), "ネットワークアウトバウンド（送信）帯域の限界・使用量", _xlfn.REGEXTEST(C348, "Leader Replica Count Balance"), "リーダーレプリカ数の分散バランス状態", _xlfn.REGEXTEST(C348, "Host DNS Resolution Duration"), "ホストのDNS名前解決の所要時間", _xlfn.REGEXTEST(C348, "TLS Certificate Expiry"), "TLS証明書の有効期限切れ", _xlfn.REGEXTEST(C348, "Host Entropy"), "ホストのエントロピー（乱数生成能力）の不足", _xlfn.REGEXTEST(C348, "File Descriptor"), "プロセスのファイルディスクリプタ使用率", _xlfn.REGEXTEST(C348, "Unexpected Exits"), "プロセスの異常終了（予期せぬ停止）", _xlfn.REGEXTEST(C348, "Swap Memory Thresholds"), "プロセスのスワップメモリ使用量", _xlfn.REGEXTEST(C348, "Swap Memory Usage Rate"), "スワップメモリ使用量の変化率（増加速度）", _xlfn.REGEXTEST(C348, "Log Directory Free Space.*Absolute"), "ログディレクトリの空き容量（絶対値）", _xlfn.REGEXTEST(C348, "Log Directory Free Space.*Percentage"), "ログディレクトリの空き容量割合（%）", _xlfn.REGEXTEST(C348, "Heap Dump Directory Free Space.*Absolute"), "ヒープダンプディレクトリの空き容量（絶対値）", _xlfn.REGEXTEST(C348, "Heap Dump Directory Free Space.*Percentage"), "ヒープダンプディレクトリの空き容量割合（%）", _xlfn.REGEXTEST(C348, "Data Directory Free Space.*Absolute"), "データディレクトリの空き容量（絶対値）", _xlfn.REGEXTEST(C348, "Data Directory Free Space.*Percentage"), "データディレクトリの空き容量割合（%）", _xlfn.REGEXTEST(C348, "Transaction Log Directory Free Space.*Absolute"), "トランザクションログディレクトリの空き容量（絶対値）", _xlfn.REGEXTEST(C348, "Logging Threshold|Logger Threshold"), "ログ出力レベルの閾値設定", _xlfn.REGEXTEST(C348, "Enable.*Alerts"), "ヘルスアラートの有効化状態", _xlfn.REGEXTEST(C348, "Triggers"), "カスタムアラート条件（トリガー設定）", _xlfn.REGEXTEST(C348, "Healthy Kafka Broker"), "Kafka Brokerの健全ノード割合（稼働率）", _xlfn.REGEXTEST(C348, "Healthy Kafka Connect"), "Kafka Connectの健全ノード割合（稼働率）", _xlfn.REGEXTEST(C348, "Healthy KRaft Controller"), "KRaft Controllerの健全ノード割合（稼働率）", _xlfn.REGEXTEST(C348, "Healthy Knox IDBroker"), "Knox IDBrokerの健全ノード割合（稼働率）", _xlfn.REGEXTEST(C348, "Healthy Knox Gateway"), "Knox Gatewayの健全ノード割合（稼働率）", _xlfn.REGEXTEST(C348, "Healthy ZooKeeper Server"), "ZooKeeper Serverの健全ノード割合（稼働率）", _xlfn.REGEXTEST(C348, "Healthy NodeManager"), "NodeManagerの健全ノード割合（稼働率）", _xlfn.REGEXTEST(C348, "Maximum Latency"), "リクエストの最大レイテンシ（処理遅延）", _xlfn.REGEXTEST(C348, "Garbage Collection Duration"), "Javaのガベージコレクション（GC）の所要時間", _xlfn.REGEXTEST(C348, "Spool Directory Usage"), "Rangerプラグインのスプールディレクトリ使用量", _xlfn.REGEXTEST(C348, "Process Directory Free Space Monitoring Absolute"), "プロセスディレクトリの空き容量（絶対値)", _xlfn.REGEXTEST(C348, "Process Directory Free Space.*Percentage"), "プロセスディレクトリの空き容量割合（%）", _xlfn.REGEXTEST(C348, "Parcel Directory Free Space.*Absolute"), "パーセルディレクトリの空き容量（絶対値）", _xlfn.REGEXTEST(C348, "Parcel Directory Free Space.*Percentage"), "パーセルディレクトリの空き容量割合（%）", _xlfn.REGEXTEST(C348, "Host Network Frame Error Percentage"), "ホストのネットワークフレームエラー割合（%）", _xlfn.REGEXTEST(C348, "Network Interfaces Slow Link Modes"), "ホストのネットワークインターフェースの低速リンクモード検出", _xlfn.REGEXTEST(C348, "Host Memory Swapping"), "ホストのメモリのスワップ発生状態", TRUE, "要手動確認")</f>
        <v>空き容量（絶対値）</v>
      </c>
      <c r="H348" s="479" t="s">
        <v>1167</v>
      </c>
    </row>
    <row r="349" spans="1:8" ht="33.6">
      <c r="A349" s="514"/>
      <c r="B349" s="473"/>
      <c r="C349" s="471" t="s">
        <v>746</v>
      </c>
      <c r="D349" s="471" t="s">
        <v>747</v>
      </c>
      <c r="E349" s="471" t="s">
        <v>1163</v>
      </c>
      <c r="F349" s="471"/>
      <c r="G349" s="471" t="str" cm="1">
        <f t="array" ref="G349">_xlfn.IFS(C349 = "", "", _xlfn.REGEXTEST(C349, "Service Metric Migrator Minimum Consecutive Successful Checks"), "サービスメトリック移行ツールの連続正常チェック最小回数", _xlfn.REGEXTEST(C349, "Rebalancing"), "リバランシング（データ再配置）状態", _xlfn.REGEXTEST(C349, "Temporary Dump Directory"), "一時ダンプディレクトリの監視", _xlfn.REGEXTEST(C349, "Safemode Extension"), "セーフモード延長状態", _xlfn.REGEXTEST(C349, "Client Idle"), "クライアントのアイドル（待機）状態", _xlfn.REGEXTEST(C349, "Available Space Policy Balanced"), "空き容量ポリシーの分散バランス状態", _xlfn.REGEXTEST(C349, "Filesystem Checkpoint Transaction"), "ファイルシステムのチェックポイントトランザクション", _xlfn.REGEXTEST(C349, "Blocks With Corrupt Replicas Monitoring"), "破損レプリカを持つブロックの監視", _xlfn.REGEXTEST(C349, "Missing Block Monitoring"), "消失（ミッシング）ブロックの監視", _xlfn.REGEXTEST(C349, "Under-replicated Block Monitoring"), "レプリカ数不足ブロックの監視", _xlfn.REGEXTEST(C349, "HDFS Free Space Monitoring"), "HDFSの空き容量監視", _xlfn.REGEXTEST(C349, "DataNode Monitoring"), "DataNodeの稼働状態監視", _xlfn.REGEXTEST(C349, "Rules to Extract Events from Log Files"), "ログファイルからのイベント抽出ルール設定", _xlfn.REGEXTEST(C349, "Free Space Monitoring$"), "空き容量監視（一般設定）", _xlfn.REGEXTEST(C349, "Transceivers Usage"), "トランシーバー使用量（データ転送スレッド数）", _xlfn.REGEXTEST(C349, "Volume Failures"), "ボリューム障害（ディスクエラー）数", _xlfn.REGEXTEST(C349, "Block Count"), "ブロック総数", _xlfn.REGEXTEST(C349, "Audit Failure"), "監査（オーディット）ログの失敗イベント", _xlfn.REGEXTEST(C349, "Web Metric Collection Duration"), "Webメトリック収集の所要時間", _xlfn.REGEXTEST(C349, "Pause Duration"), "一時停止（ポーズ）の所要時間", _xlfn.REGEXTEST(C349, "Fsync Latency"), "Fsync（ディスク同期）のレイテンシ", _xlfn.REGEXTEST(C349, "Free Space Monitoring Absolute"), "空き容量（絶対値）", _xlfn.REGEXTEST(C349, "Free Space Monitoring Percentage"), "空き容量割合（%）", _xlfn.REGEXTEST(C349, "Age Monitoring"), "経過時間の監視", _xlfn.REGEXTEST(C349, "Transactions Monitoring"), "トランザクション数の監視", _xlfn.REGEXTEST(C349, "RPC Latency"), "RPC（遠隔手続き呼出し）のレイテンシ", _xlfn.REGEXTEST(C349, "Directory Failures"), "ディレクトリ障害数", _xlfn.REGEXTEST(C349, "Out-Of-Sync JournalNodes"), "同期ズレが発生しているJournalNode数", _xlfn.REGEXTEST(C349, "Safemode Threshold Percentage"), "セーフモード解除閾値の割合（%）", _xlfn.REGEXTEST(C349, "Kerberos Ticket Renewer Monitoring"), "Kerberosチケット更新プロセスの稼働状態監視", _xlfn.REGEXTEST(C349, "Load Balancer Monitoring"), "ロードバランサーの稼働状態監視", _xlfn.REGEXTEST(C349, "Navigator Audit Failure"), "Cloudera Navigator監査ログの失敗イベント", _xlfn.REGEXTEST(C349, "Schema Registry Server Monitoring"), "Schema Registry Serverの稼働状態監視", _xlfn.REGEXTEST(C349, "SRM Service Monitoring"), "SRMサービスの稼働状態監視", _xlfn.REGEXTEST(C349, "SRM Driver Monitoring"), "SRMドライバーの稼働状態監視", _xlfn.REGEXTEST(C349, "Loggin"), "ログ出力状態・設定監視", _xlfn.REGEXTEST(C349, "Server Monitoring"), "サーバーの稼働状態監視", _xlfn.REGEXTEST(C349, "Server Connection Count"), "サーバーの接続数（コネクション数）", _xlfn.REGEXTEST(C349, "Server Outstanding Requests"), "サーバーの未処理リクエスト数（滞留要求数）", _xlfn.REGEXTEST(C349, "Repository Status"), "リポジトリのステータス状態", _xlfn.REGEXTEST(C349, "Monitor Long Running Task"), "長時間実行タスク（ジョブ）の監視", _xlfn.REGEXTEST(C349, "Token requests per second"), "1秒あたりのトークンリクエスト数（要求レート）", _xlfn.REGEXTEST(C349, "Connection Model Score"), "接続モデルスコア（コネクション品質）", _xlfn.REGEXTEST(C349, "Queue swap"), "キューのスワップ発生状態", _xlfn.REGEXTEST(C349, "NiFi Node Monitoring"), "NiFiノードの稼働状態監視", _xlfn.REGEXTEST(C349, "Host Clock Offset"), "ホストのクロックオフセット（時刻同期のズレ）", _xlfn.REGEXTEST(C349, "Memory Overcommit Validation"), "メモリオーバーコミット設定の検証", _xlfn.REGEXTEST(C349, "Gateway Logging"), "ゲートウェイのログ出力設定", _xlfn.REGEXTEST(C349, "CPU Balance"), "CPU使用率の分散バランス状態", _xlfn.REGEXTEST(C349, "Disk Balance"), "ディスク使用量の分散バランス状態", _xlfn.REGEXTEST(C349, "Network Inbound Balance"), "ネットワークインバウンド（受信）の分散バランス状態", _xlfn.REGEXTEST(C349, "Network Outbound Balance"), "ネットワークアウトバウンド（送信）の分散バランス状態", _xlfn.REGEXTEST(C349, "Replica Count Balance"), "レプリカ数の分散バランス状態", _xlfn.REGEXTEST(C349, "Disk Capacity"), "ディスク総容量の限界・使用容量", _xlfn.REGEXTEST(C349, "CPU Capacity"), "CPU総処理能力の限界・使用量", _xlfn.REGEXTEST(C349, "Network Inbound Capacity"), "ネットワークインバウンド（受信）帯域の限界・使用量", _xlfn.REGEXTEST(C349, "Network Outbound Capacity"), "ネットワークアウトバウンド（送信）帯域の限界・使用量", _xlfn.REGEXTEST(C349, "Leader Replica Count Balance"), "リーダーレプリカ数の分散バランス状態", _xlfn.REGEXTEST(C349, "Host DNS Resolution Duration"), "ホストのDNS名前解決の所要時間", _xlfn.REGEXTEST(C349, "TLS Certificate Expiry"), "TLS証明書の有効期限切れ", _xlfn.REGEXTEST(C349, "Host Entropy"), "ホストのエントロピー（乱数生成能力）の不足", _xlfn.REGEXTEST(C349, "File Descriptor"), "プロセスのファイルディスクリプタ使用率", _xlfn.REGEXTEST(C349, "Unexpected Exits"), "プロセスの異常終了（予期せぬ停止）", _xlfn.REGEXTEST(C349, "Swap Memory Thresholds"), "プロセスのスワップメモリ使用量", _xlfn.REGEXTEST(C349, "Swap Memory Usage Rate"), "スワップメモリ使用量の変化率（増加速度）", _xlfn.REGEXTEST(C349, "Log Directory Free Space.*Absolute"), "ログディレクトリの空き容量（絶対値）", _xlfn.REGEXTEST(C349, "Log Directory Free Space.*Percentage"), "ログディレクトリの空き容量割合（%）", _xlfn.REGEXTEST(C349, "Heap Dump Directory Free Space.*Absolute"), "ヒープダンプディレクトリの空き容量（絶対値）", _xlfn.REGEXTEST(C349, "Heap Dump Directory Free Space.*Percentage"), "ヒープダンプディレクトリの空き容量割合（%）", _xlfn.REGEXTEST(C349, "Data Directory Free Space.*Absolute"), "データディレクトリの空き容量（絶対値）", _xlfn.REGEXTEST(C349, "Data Directory Free Space.*Percentage"), "データディレクトリの空き容量割合（%）", _xlfn.REGEXTEST(C349, "Transaction Log Directory Free Space.*Absolute"), "トランザクションログディレクトリの空き容量（絶対値）", _xlfn.REGEXTEST(C349, "Logging Threshold|Logger Threshold"), "ログ出力レベルの閾値設定", _xlfn.REGEXTEST(C349, "Enable.*Alerts"), "ヘルスアラートの有効化状態", _xlfn.REGEXTEST(C349, "Triggers"), "カスタムアラート条件（トリガー設定）", _xlfn.REGEXTEST(C349, "Healthy Kafka Broker"), "Kafka Brokerの健全ノード割合（稼働率）", _xlfn.REGEXTEST(C349, "Healthy Kafka Connect"), "Kafka Connectの健全ノード割合（稼働率）", _xlfn.REGEXTEST(C349, "Healthy KRaft Controller"), "KRaft Controllerの健全ノード割合（稼働率）", _xlfn.REGEXTEST(C349, "Healthy Knox IDBroker"), "Knox IDBrokerの健全ノード割合（稼働率）", _xlfn.REGEXTEST(C349, "Healthy Knox Gateway"), "Knox Gatewayの健全ノード割合（稼働率）", _xlfn.REGEXTEST(C349, "Healthy ZooKeeper Server"), "ZooKeeper Serverの健全ノード割合（稼働率）", _xlfn.REGEXTEST(C349, "Healthy NodeManager"), "NodeManagerの健全ノード割合（稼働率）", _xlfn.REGEXTEST(C349, "Maximum Latency"), "リクエストの最大レイテンシ（処理遅延）", _xlfn.REGEXTEST(C349, "Garbage Collection Duration"), "Javaのガベージコレクション（GC）の所要時間", _xlfn.REGEXTEST(C349, "Spool Directory Usage"), "Rangerプラグインのスプールディレクトリ使用量", _xlfn.REGEXTEST(C349, "Process Directory Free Space Monitoring Absolute"), "プロセスディレクトリの空き容量（絶対値)", _xlfn.REGEXTEST(C349, "Process Directory Free Space.*Percentage"), "プロセスディレクトリの空き容量割合（%）", _xlfn.REGEXTEST(C349, "Parcel Directory Free Space.*Absolute"), "パーセルディレクトリの空き容量（絶対値）", _xlfn.REGEXTEST(C349, "Parcel Directory Free Space.*Percentage"), "パーセルディレクトリの空き容量割合（%）", _xlfn.REGEXTEST(C349, "Host Network Frame Error Percentage"), "ホストのネットワークフレームエラー割合（%）", _xlfn.REGEXTEST(C349, "Network Interfaces Slow Link Modes"), "ホストのネットワークインターフェースの低速リンクモード検出", _xlfn.REGEXTEST(C349, "Host Memory Swapping"), "ホストのメモリのスワップ発生状態", TRUE, "要手動確認")</f>
        <v>空き容量割合（%）</v>
      </c>
      <c r="H349" s="479" t="s">
        <v>1168</v>
      </c>
    </row>
    <row r="350" spans="1:8" ht="33.6">
      <c r="A350" s="514"/>
      <c r="B350" s="473"/>
      <c r="C350" s="471" t="s">
        <v>814</v>
      </c>
      <c r="D350" s="471" t="s">
        <v>815</v>
      </c>
      <c r="E350" s="471" t="s">
        <v>1163</v>
      </c>
      <c r="F350" s="471"/>
      <c r="G350" s="471" t="str" cm="1">
        <f t="array" ref="G350">_xlfn.IFS(C350 = "", "", _xlfn.REGEXTEST(C350, "Service Metric Migrator Minimum Consecutive Successful Checks"), "サービスメトリック移行ツールの連続正常チェック最小回数", _xlfn.REGEXTEST(C350, "Rebalancing"), "リバランシング（データ再配置）状態", _xlfn.REGEXTEST(C350, "Temporary Dump Directory"), "一時ダンプディレクトリの監視", _xlfn.REGEXTEST(C350, "Safemode Extension"), "セーフモード延長状態", _xlfn.REGEXTEST(C350, "Client Idle"), "クライアントのアイドル（待機）状態", _xlfn.REGEXTEST(C350, "Available Space Policy Balanced"), "空き容量ポリシーの分散バランス状態", _xlfn.REGEXTEST(C350, "Filesystem Checkpoint Transaction"), "ファイルシステムのチェックポイントトランザクション", _xlfn.REGEXTEST(C350, "Blocks With Corrupt Replicas Monitoring"), "破損レプリカを持つブロックの監視", _xlfn.REGEXTEST(C350, "Missing Block Monitoring"), "消失（ミッシング）ブロックの監視", _xlfn.REGEXTEST(C350, "Under-replicated Block Monitoring"), "レプリカ数不足ブロックの監視", _xlfn.REGEXTEST(C350, "HDFS Free Space Monitoring"), "HDFSの空き容量監視", _xlfn.REGEXTEST(C350, "DataNode Monitoring"), "DataNodeの稼働状態監視", _xlfn.REGEXTEST(C350, "Rules to Extract Events from Log Files"), "ログファイルからのイベント抽出ルール設定", _xlfn.REGEXTEST(C350, "Free Space Monitoring$"), "空き容量監視（一般設定）", _xlfn.REGEXTEST(C350, "Transceivers Usage"), "トランシーバー使用量（データ転送スレッド数）", _xlfn.REGEXTEST(C350, "Volume Failures"), "ボリューム障害（ディスクエラー）数", _xlfn.REGEXTEST(C350, "Block Count"), "ブロック総数", _xlfn.REGEXTEST(C350, "Audit Failure"), "監査（オーディット）ログの失敗イベント", _xlfn.REGEXTEST(C350, "Web Metric Collection Duration"), "Webメトリック収集の所要時間", _xlfn.REGEXTEST(C350, "Pause Duration"), "一時停止（ポーズ）の所要時間", _xlfn.REGEXTEST(C350, "Fsync Latency"), "Fsync（ディスク同期）のレイテンシ", _xlfn.REGEXTEST(C350, "Free Space Monitoring Absolute"), "空き容量（絶対値）", _xlfn.REGEXTEST(C350, "Free Space Monitoring Percentage"), "空き容量割合（%）", _xlfn.REGEXTEST(C350, "Age Monitoring"), "経過時間の監視", _xlfn.REGEXTEST(C350, "Transactions Monitoring"), "トランザクション数の監視", _xlfn.REGEXTEST(C350, "RPC Latency"), "RPC（遠隔手続き呼出し）のレイテンシ", _xlfn.REGEXTEST(C350, "Directory Failures"), "ディレクトリ障害数", _xlfn.REGEXTEST(C350, "Out-Of-Sync JournalNodes"), "同期ズレが発生しているJournalNode数", _xlfn.REGEXTEST(C350, "Safemode Threshold Percentage"), "セーフモード解除閾値の割合（%）", _xlfn.REGEXTEST(C350, "Kerberos Ticket Renewer Monitoring"), "Kerberosチケット更新プロセスの稼働状態監視", _xlfn.REGEXTEST(C350, "Load Balancer Monitoring"), "ロードバランサーの稼働状態監視", _xlfn.REGEXTEST(C350, "Navigator Audit Failure"), "Cloudera Navigator監査ログの失敗イベント", _xlfn.REGEXTEST(C350, "Schema Registry Server Monitoring"), "Schema Registry Serverの稼働状態監視", _xlfn.REGEXTEST(C350, "SRM Service Monitoring"), "SRMサービスの稼働状態監視", _xlfn.REGEXTEST(C350, "SRM Driver Monitoring"), "SRMドライバーの稼働状態監視", _xlfn.REGEXTEST(C350, "Loggin"), "ログ出力状態・設定監視", _xlfn.REGEXTEST(C350, "Server Monitoring"), "サーバーの稼働状態監視", _xlfn.REGEXTEST(C350, "Server Connection Count"), "サーバーの接続数（コネクション数）", _xlfn.REGEXTEST(C350, "Server Outstanding Requests"), "サーバーの未処理リクエスト数（滞留要求数）", _xlfn.REGEXTEST(C350, "Repository Status"), "リポジトリのステータス状態", _xlfn.REGEXTEST(C350, "Monitor Long Running Task"), "長時間実行タスク（ジョブ）の監視", _xlfn.REGEXTEST(C350, "Token requests per second"), "1秒あたりのトークンリクエスト数（要求レート）", _xlfn.REGEXTEST(C350, "Connection Model Score"), "接続モデルスコア（コネクション品質）", _xlfn.REGEXTEST(C350, "Queue swap"), "キューのスワップ発生状態", _xlfn.REGEXTEST(C350, "NiFi Node Monitoring"), "NiFiノードの稼働状態監視", _xlfn.REGEXTEST(C350, "Host Clock Offset"), "ホストのクロックオフセット（時刻同期のズレ）", _xlfn.REGEXTEST(C350, "Memory Overcommit Validation"), "メモリオーバーコミット設定の検証", _xlfn.REGEXTEST(C350, "Gateway Logging"), "ゲートウェイのログ出力設定", _xlfn.REGEXTEST(C350, "CPU Balance"), "CPU使用率の分散バランス状態", _xlfn.REGEXTEST(C350, "Disk Balance"), "ディスク使用量の分散バランス状態", _xlfn.REGEXTEST(C350, "Network Inbound Balance"), "ネットワークインバウンド（受信）の分散バランス状態", _xlfn.REGEXTEST(C350, "Network Outbound Balance"), "ネットワークアウトバウンド（送信）の分散バランス状態", _xlfn.REGEXTEST(C350, "Replica Count Balance"), "レプリカ数の分散バランス状態", _xlfn.REGEXTEST(C350, "Disk Capacity"), "ディスク総容量の限界・使用容量", _xlfn.REGEXTEST(C350, "CPU Capacity"), "CPU総処理能力の限界・使用量", _xlfn.REGEXTEST(C350, "Network Inbound Capacity"), "ネットワークインバウンド（受信）帯域の限界・使用量", _xlfn.REGEXTEST(C350, "Network Outbound Capacity"), "ネットワークアウトバウンド（送信）帯域の限界・使用量", _xlfn.REGEXTEST(C350, "Leader Replica Count Balance"), "リーダーレプリカ数の分散バランス状態", _xlfn.REGEXTEST(C350, "Host DNS Resolution Duration"), "ホストのDNS名前解決の所要時間", _xlfn.REGEXTEST(C350, "TLS Certificate Expiry"), "TLS証明書の有効期限切れ", _xlfn.REGEXTEST(C350, "Host Entropy"), "ホストのエントロピー（乱数生成能力）の不足", _xlfn.REGEXTEST(C350, "File Descriptor"), "プロセスのファイルディスクリプタ使用率", _xlfn.REGEXTEST(C350, "Unexpected Exits"), "プロセスの異常終了（予期せぬ停止）", _xlfn.REGEXTEST(C350, "Swap Memory Thresholds"), "プロセスのスワップメモリ使用量", _xlfn.REGEXTEST(C350, "Swap Memory Usage Rate"), "スワップメモリ使用量の変化率（増加速度）", _xlfn.REGEXTEST(C350, "Log Directory Free Space.*Absolute"), "ログディレクトリの空き容量（絶対値）", _xlfn.REGEXTEST(C350, "Log Directory Free Space.*Percentage"), "ログディレクトリの空き容量割合（%）", _xlfn.REGEXTEST(C350, "Heap Dump Directory Free Space.*Absolute"), "ヒープダンプディレクトリの空き容量（絶対値）", _xlfn.REGEXTEST(C350, "Heap Dump Directory Free Space.*Percentage"), "ヒープダンプディレクトリの空き容量割合（%）", _xlfn.REGEXTEST(C350, "Data Directory Free Space.*Absolute"), "データディレクトリの空き容量（絶対値）", _xlfn.REGEXTEST(C350, "Data Directory Free Space.*Percentage"), "データディレクトリの空き容量割合（%）", _xlfn.REGEXTEST(C350, "Transaction Log Directory Free Space.*Absolute"), "トランザクションログディレクトリの空き容量（絶対値）", _xlfn.REGEXTEST(C350, "Logging Threshold|Logger Threshold"), "ログ出力レベルの閾値設定", _xlfn.REGEXTEST(C350, "Enable.*Alerts"), "ヘルスアラートの有効化状態", _xlfn.REGEXTEST(C350, "Triggers"), "カスタムアラート条件（トリガー設定）", _xlfn.REGEXTEST(C350, "Healthy Kafka Broker"), "Kafka Brokerの健全ノード割合（稼働率）", _xlfn.REGEXTEST(C350, "Healthy Kafka Connect"), "Kafka Connectの健全ノード割合（稼働率）", _xlfn.REGEXTEST(C350, "Healthy KRaft Controller"), "KRaft Controllerの健全ノード割合（稼働率）", _xlfn.REGEXTEST(C350, "Healthy Knox IDBroker"), "Knox IDBrokerの健全ノード割合（稼働率）", _xlfn.REGEXTEST(C350, "Healthy Knox Gateway"), "Knox Gatewayの健全ノード割合（稼働率）", _xlfn.REGEXTEST(C350, "Healthy ZooKeeper Server"), "ZooKeeper Serverの健全ノード割合（稼働率）", _xlfn.REGEXTEST(C350, "Healthy NodeManager"), "NodeManagerの健全ノード割合（稼働率）", _xlfn.REGEXTEST(C350, "Maximum Latency"), "リクエストの最大レイテンシ（処理遅延）", _xlfn.REGEXTEST(C350, "Garbage Collection Duration"), "Javaのガベージコレクション（GC）の所要時間", _xlfn.REGEXTEST(C350, "Spool Directory Usage"), "Rangerプラグインのスプールディレクトリ使用量", _xlfn.REGEXTEST(C350, "Process Directory Free Space Monitoring Absolute"), "プロセスディレクトリの空き容量（絶対値)", _xlfn.REGEXTEST(C350, "Process Directory Free Space.*Percentage"), "プロセスディレクトリの空き容量割合（%）", _xlfn.REGEXTEST(C350, "Parcel Directory Free Space.*Absolute"), "パーセルディレクトリの空き容量（絶対値）", _xlfn.REGEXTEST(C350, "Parcel Directory Free Space.*Percentage"), "パーセルディレクトリの空き容量割合（%）", _xlfn.REGEXTEST(C350, "Host Network Frame Error Percentage"), "ホストのネットワークフレームエラー割合（%）", _xlfn.REGEXTEST(C350, "Network Interfaces Slow Link Modes"), "ホストのネットワークインターフェースの低速リンクモード検出", _xlfn.REGEXTEST(C350, "Host Memory Swapping"), "ホストのメモリのスワップ発生状態", TRUE, "要手動確認")</f>
        <v>空き容量（絶対値）</v>
      </c>
      <c r="H350" s="479" t="s">
        <v>1167</v>
      </c>
    </row>
    <row r="351" spans="1:8" ht="33.6">
      <c r="A351" s="514"/>
      <c r="B351" s="473"/>
      <c r="C351" s="471" t="s">
        <v>816</v>
      </c>
      <c r="D351" s="471" t="s">
        <v>817</v>
      </c>
      <c r="E351" s="471" t="s">
        <v>1163</v>
      </c>
      <c r="F351" s="471"/>
      <c r="G351" s="471" t="str" cm="1">
        <f t="array" ref="G351">_xlfn.IFS(C351 = "", "", _xlfn.REGEXTEST(C351, "Service Metric Migrator Minimum Consecutive Successful Checks"), "サービスメトリック移行ツールの連続正常チェック最小回数", _xlfn.REGEXTEST(C351, "Rebalancing"), "リバランシング（データ再配置）状態", _xlfn.REGEXTEST(C351, "Temporary Dump Directory"), "一時ダンプディレクトリの監視", _xlfn.REGEXTEST(C351, "Safemode Extension"), "セーフモード延長状態", _xlfn.REGEXTEST(C351, "Client Idle"), "クライアントのアイドル（待機）状態", _xlfn.REGEXTEST(C351, "Available Space Policy Balanced"), "空き容量ポリシーの分散バランス状態", _xlfn.REGEXTEST(C351, "Filesystem Checkpoint Transaction"), "ファイルシステムのチェックポイントトランザクション", _xlfn.REGEXTEST(C351, "Blocks With Corrupt Replicas Monitoring"), "破損レプリカを持つブロックの監視", _xlfn.REGEXTEST(C351, "Missing Block Monitoring"), "消失（ミッシング）ブロックの監視", _xlfn.REGEXTEST(C351, "Under-replicated Block Monitoring"), "レプリカ数不足ブロックの監視", _xlfn.REGEXTEST(C351, "HDFS Free Space Monitoring"), "HDFSの空き容量監視", _xlfn.REGEXTEST(C351, "DataNode Monitoring"), "DataNodeの稼働状態監視", _xlfn.REGEXTEST(C351, "Rules to Extract Events from Log Files"), "ログファイルからのイベント抽出ルール設定", _xlfn.REGEXTEST(C351, "Free Space Monitoring$"), "空き容量監視（一般設定）", _xlfn.REGEXTEST(C351, "Transceivers Usage"), "トランシーバー使用量（データ転送スレッド数）", _xlfn.REGEXTEST(C351, "Volume Failures"), "ボリューム障害（ディスクエラー）数", _xlfn.REGEXTEST(C351, "Block Count"), "ブロック総数", _xlfn.REGEXTEST(C351, "Audit Failure"), "監査（オーディット）ログの失敗イベント", _xlfn.REGEXTEST(C351, "Web Metric Collection Duration"), "Webメトリック収集の所要時間", _xlfn.REGEXTEST(C351, "Pause Duration"), "一時停止（ポーズ）の所要時間", _xlfn.REGEXTEST(C351, "Fsync Latency"), "Fsync（ディスク同期）のレイテンシ", _xlfn.REGEXTEST(C351, "Free Space Monitoring Absolute"), "空き容量（絶対値）", _xlfn.REGEXTEST(C351, "Free Space Monitoring Percentage"), "空き容量割合（%）", _xlfn.REGEXTEST(C351, "Age Monitoring"), "経過時間の監視", _xlfn.REGEXTEST(C351, "Transactions Monitoring"), "トランザクション数の監視", _xlfn.REGEXTEST(C351, "RPC Latency"), "RPC（遠隔手続き呼出し）のレイテンシ", _xlfn.REGEXTEST(C351, "Directory Failures"), "ディレクトリ障害数", _xlfn.REGEXTEST(C351, "Out-Of-Sync JournalNodes"), "同期ズレが発生しているJournalNode数", _xlfn.REGEXTEST(C351, "Safemode Threshold Percentage"), "セーフモード解除閾値の割合（%）", _xlfn.REGEXTEST(C351, "Kerberos Ticket Renewer Monitoring"), "Kerberosチケット更新プロセスの稼働状態監視", _xlfn.REGEXTEST(C351, "Load Balancer Monitoring"), "ロードバランサーの稼働状態監視", _xlfn.REGEXTEST(C351, "Navigator Audit Failure"), "Cloudera Navigator監査ログの失敗イベント", _xlfn.REGEXTEST(C351, "Schema Registry Server Monitoring"), "Schema Registry Serverの稼働状態監視", _xlfn.REGEXTEST(C351, "SRM Service Monitoring"), "SRMサービスの稼働状態監視", _xlfn.REGEXTEST(C351, "SRM Driver Monitoring"), "SRMドライバーの稼働状態監視", _xlfn.REGEXTEST(C351, "Loggin"), "ログ出力状態・設定監視", _xlfn.REGEXTEST(C351, "Server Monitoring"), "サーバーの稼働状態監視", _xlfn.REGEXTEST(C351, "Server Connection Count"), "サーバーの接続数（コネクション数）", _xlfn.REGEXTEST(C351, "Server Outstanding Requests"), "サーバーの未処理リクエスト数（滞留要求数）", _xlfn.REGEXTEST(C351, "Repository Status"), "リポジトリのステータス状態", _xlfn.REGEXTEST(C351, "Monitor Long Running Task"), "長時間実行タスク（ジョブ）の監視", _xlfn.REGEXTEST(C351, "Token requests per second"), "1秒あたりのトークンリクエスト数（要求レート）", _xlfn.REGEXTEST(C351, "Connection Model Score"), "接続モデルスコア（コネクション品質）", _xlfn.REGEXTEST(C351, "Queue swap"), "キューのスワップ発生状態", _xlfn.REGEXTEST(C351, "NiFi Node Monitoring"), "NiFiノードの稼働状態監視", _xlfn.REGEXTEST(C351, "Host Clock Offset"), "ホストのクロックオフセット（時刻同期のズレ）", _xlfn.REGEXTEST(C351, "Memory Overcommit Validation"), "メモリオーバーコミット設定の検証", _xlfn.REGEXTEST(C351, "Gateway Logging"), "ゲートウェイのログ出力設定", _xlfn.REGEXTEST(C351, "CPU Balance"), "CPU使用率の分散バランス状態", _xlfn.REGEXTEST(C351, "Disk Balance"), "ディスク使用量の分散バランス状態", _xlfn.REGEXTEST(C351, "Network Inbound Balance"), "ネットワークインバウンド（受信）の分散バランス状態", _xlfn.REGEXTEST(C351, "Network Outbound Balance"), "ネットワークアウトバウンド（送信）の分散バランス状態", _xlfn.REGEXTEST(C351, "Replica Count Balance"), "レプリカ数の分散バランス状態", _xlfn.REGEXTEST(C351, "Disk Capacity"), "ディスク総容量の限界・使用容量", _xlfn.REGEXTEST(C351, "CPU Capacity"), "CPU総処理能力の限界・使用量", _xlfn.REGEXTEST(C351, "Network Inbound Capacity"), "ネットワークインバウンド（受信）帯域の限界・使用量", _xlfn.REGEXTEST(C351, "Network Outbound Capacity"), "ネットワークアウトバウンド（送信）帯域の限界・使用量", _xlfn.REGEXTEST(C351, "Leader Replica Count Balance"), "リーダーレプリカ数の分散バランス状態", _xlfn.REGEXTEST(C351, "Host DNS Resolution Duration"), "ホストのDNS名前解決の所要時間", _xlfn.REGEXTEST(C351, "TLS Certificate Expiry"), "TLS証明書の有効期限切れ", _xlfn.REGEXTEST(C351, "Host Entropy"), "ホストのエントロピー（乱数生成能力）の不足", _xlfn.REGEXTEST(C351, "File Descriptor"), "プロセスのファイルディスクリプタ使用率", _xlfn.REGEXTEST(C351, "Unexpected Exits"), "プロセスの異常終了（予期せぬ停止）", _xlfn.REGEXTEST(C351, "Swap Memory Thresholds"), "プロセスのスワップメモリ使用量", _xlfn.REGEXTEST(C351, "Swap Memory Usage Rate"), "スワップメモリ使用量の変化率（増加速度）", _xlfn.REGEXTEST(C351, "Log Directory Free Space.*Absolute"), "ログディレクトリの空き容量（絶対値）", _xlfn.REGEXTEST(C351, "Log Directory Free Space.*Percentage"), "ログディレクトリの空き容量割合（%）", _xlfn.REGEXTEST(C351, "Heap Dump Directory Free Space.*Absolute"), "ヒープダンプディレクトリの空き容量（絶対値）", _xlfn.REGEXTEST(C351, "Heap Dump Directory Free Space.*Percentage"), "ヒープダンプディレクトリの空き容量割合（%）", _xlfn.REGEXTEST(C351, "Data Directory Free Space.*Absolute"), "データディレクトリの空き容量（絶対値）", _xlfn.REGEXTEST(C351, "Data Directory Free Space.*Percentage"), "データディレクトリの空き容量割合（%）", _xlfn.REGEXTEST(C351, "Transaction Log Directory Free Space.*Absolute"), "トランザクションログディレクトリの空き容量（絶対値）", _xlfn.REGEXTEST(C351, "Logging Threshold|Logger Threshold"), "ログ出力レベルの閾値設定", _xlfn.REGEXTEST(C351, "Enable.*Alerts"), "ヘルスアラートの有効化状態", _xlfn.REGEXTEST(C351, "Triggers"), "カスタムアラート条件（トリガー設定）", _xlfn.REGEXTEST(C351, "Healthy Kafka Broker"), "Kafka Brokerの健全ノード割合（稼働率）", _xlfn.REGEXTEST(C351, "Healthy Kafka Connect"), "Kafka Connectの健全ノード割合（稼働率）", _xlfn.REGEXTEST(C351, "Healthy KRaft Controller"), "KRaft Controllerの健全ノード割合（稼働率）", _xlfn.REGEXTEST(C351, "Healthy Knox IDBroker"), "Knox IDBrokerの健全ノード割合（稼働率）", _xlfn.REGEXTEST(C351, "Healthy Knox Gateway"), "Knox Gatewayの健全ノード割合（稼働率）", _xlfn.REGEXTEST(C351, "Healthy ZooKeeper Server"), "ZooKeeper Serverの健全ノード割合（稼働率）", _xlfn.REGEXTEST(C351, "Healthy NodeManager"), "NodeManagerの健全ノード割合（稼働率）", _xlfn.REGEXTEST(C351, "Maximum Latency"), "リクエストの最大レイテンシ（処理遅延）", _xlfn.REGEXTEST(C351, "Garbage Collection Duration"), "Javaのガベージコレクション（GC）の所要時間", _xlfn.REGEXTEST(C351, "Spool Directory Usage"), "Rangerプラグインのスプールディレクトリ使用量", _xlfn.REGEXTEST(C351, "Process Directory Free Space Monitoring Absolute"), "プロセスディレクトリの空き容量（絶対値)", _xlfn.REGEXTEST(C351, "Process Directory Free Space.*Percentage"), "プロセスディレクトリの空き容量割合（%）", _xlfn.REGEXTEST(C351, "Parcel Directory Free Space.*Absolute"), "パーセルディレクトリの空き容量（絶対値）", _xlfn.REGEXTEST(C351, "Parcel Directory Free Space.*Percentage"), "パーセルディレクトリの空き容量割合（%）", _xlfn.REGEXTEST(C351, "Host Network Frame Error Percentage"), "ホストのネットワークフレームエラー割合（%）", _xlfn.REGEXTEST(C351, "Network Interfaces Slow Link Modes"), "ホストのネットワークインターフェースの低速リンクモード検出", _xlfn.REGEXTEST(C351, "Host Memory Swapping"), "ホストのメモリのスワップ発生状態", TRUE, "要手動確認")</f>
        <v>空き容量割合（%）</v>
      </c>
      <c r="H351" s="479" t="s">
        <v>1168</v>
      </c>
    </row>
    <row r="352" spans="1:8" ht="16.899999999999999">
      <c r="A352" s="514"/>
      <c r="B352" s="473"/>
      <c r="C352" s="471" t="s">
        <v>749</v>
      </c>
      <c r="D352" s="471" t="s">
        <v>750</v>
      </c>
      <c r="E352" s="471" t="s">
        <v>1163</v>
      </c>
      <c r="F352" s="471"/>
      <c r="G352" s="471" t="str" cm="1">
        <f t="array" ref="G352">_xlfn.IFS(C352 = "", "", _xlfn.REGEXTEST(C352, "Service Metric Migrator Minimum Consecutive Successful Checks"), "サービスメトリック移行ツールの連続正常チェック最小回数", _xlfn.REGEXTEST(C352, "Rebalancing"), "リバランシング（データ再配置）状態", _xlfn.REGEXTEST(C352, "Temporary Dump Directory"), "一時ダンプディレクトリの監視", _xlfn.REGEXTEST(C352, "Safemode Extension"), "セーフモード延長状態", _xlfn.REGEXTEST(C352, "Client Idle"), "クライアントのアイドル（待機）状態", _xlfn.REGEXTEST(C352, "Available Space Policy Balanced"), "空き容量ポリシーの分散バランス状態", _xlfn.REGEXTEST(C352, "Filesystem Checkpoint Transaction"), "ファイルシステムのチェックポイントトランザクション", _xlfn.REGEXTEST(C352, "Blocks With Corrupt Replicas Monitoring"), "破損レプリカを持つブロックの監視", _xlfn.REGEXTEST(C352, "Missing Block Monitoring"), "消失（ミッシング）ブロックの監視", _xlfn.REGEXTEST(C352, "Under-replicated Block Monitoring"), "レプリカ数不足ブロックの監視", _xlfn.REGEXTEST(C352, "HDFS Free Space Monitoring"), "HDFSの空き容量監視", _xlfn.REGEXTEST(C352, "DataNode Monitoring"), "DataNodeの稼働状態監視", _xlfn.REGEXTEST(C352, "Rules to Extract Events from Log Files"), "ログファイルからのイベント抽出ルール設定", _xlfn.REGEXTEST(C352, "Free Space Monitoring$"), "空き容量監視（一般設定）", _xlfn.REGEXTEST(C352, "Transceivers Usage"), "トランシーバー使用量（データ転送スレッド数）", _xlfn.REGEXTEST(C352, "Volume Failures"), "ボリューム障害（ディスクエラー）数", _xlfn.REGEXTEST(C352, "Block Count"), "ブロック総数", _xlfn.REGEXTEST(C352, "Audit Failure"), "監査（オーディット）ログの失敗イベント", _xlfn.REGEXTEST(C352, "Web Metric Collection Duration"), "Webメトリック収集の所要時間", _xlfn.REGEXTEST(C352, "Pause Duration"), "一時停止（ポーズ）の所要時間", _xlfn.REGEXTEST(C352, "Fsync Latency"), "Fsync（ディスク同期）のレイテンシ", _xlfn.REGEXTEST(C352, "Free Space Monitoring Absolute"), "空き容量（絶対値）", _xlfn.REGEXTEST(C352, "Free Space Monitoring Percentage"), "空き容量割合（%）", _xlfn.REGEXTEST(C352, "Age Monitoring"), "経過時間の監視", _xlfn.REGEXTEST(C352, "Transactions Monitoring"), "トランザクション数の監視", _xlfn.REGEXTEST(C352, "RPC Latency"), "RPC（遠隔手続き呼出し）のレイテンシ", _xlfn.REGEXTEST(C352, "Directory Failures"), "ディレクトリ障害数", _xlfn.REGEXTEST(C352, "Out-Of-Sync JournalNodes"), "同期ズレが発生しているJournalNode数", _xlfn.REGEXTEST(C352, "Safemode Threshold Percentage"), "セーフモード解除閾値の割合（%）", _xlfn.REGEXTEST(C352, "Kerberos Ticket Renewer Monitoring"), "Kerberosチケット更新プロセスの稼働状態監視", _xlfn.REGEXTEST(C352, "Load Balancer Monitoring"), "ロードバランサーの稼働状態監視", _xlfn.REGEXTEST(C352, "Navigator Audit Failure"), "Cloudera Navigator監査ログの失敗イベント", _xlfn.REGEXTEST(C352, "Schema Registry Server Monitoring"), "Schema Registry Serverの稼働状態監視", _xlfn.REGEXTEST(C352, "SRM Service Monitoring"), "SRMサービスの稼働状態監視", _xlfn.REGEXTEST(C352, "SRM Driver Monitoring"), "SRMドライバーの稼働状態監視", _xlfn.REGEXTEST(C352, "Loggin"), "ログ出力状態・設定監視", _xlfn.REGEXTEST(C352, "Server Monitoring"), "サーバーの稼働状態監視", _xlfn.REGEXTEST(C352, "Server Connection Count"), "サーバーの接続数（コネクション数）", _xlfn.REGEXTEST(C352, "Server Outstanding Requests"), "サーバーの未処理リクエスト数（滞留要求数）", _xlfn.REGEXTEST(C352, "Repository Status"), "リポジトリのステータス状態", _xlfn.REGEXTEST(C352, "Monitor Long Running Task"), "長時間実行タスク（ジョブ）の監視", _xlfn.REGEXTEST(C352, "Token requests per second"), "1秒あたりのトークンリクエスト数（要求レート）", _xlfn.REGEXTEST(C352, "Connection Model Score"), "接続モデルスコア（コネクション品質）", _xlfn.REGEXTEST(C352, "Queue swap"), "キューのスワップ発生状態", _xlfn.REGEXTEST(C352, "NiFi Node Monitoring"), "NiFiノードの稼働状態監視", _xlfn.REGEXTEST(C352, "Host Clock Offset"), "ホストのクロックオフセット（時刻同期のズレ）", _xlfn.REGEXTEST(C352, "Memory Overcommit Validation"), "メモリオーバーコミット設定の検証", _xlfn.REGEXTEST(C352, "Gateway Logging"), "ゲートウェイのログ出力設定", _xlfn.REGEXTEST(C352, "CPU Balance"), "CPU使用率の分散バランス状態", _xlfn.REGEXTEST(C352, "Disk Balance"), "ディスク使用量の分散バランス状態", _xlfn.REGEXTEST(C352, "Network Inbound Balance"), "ネットワークインバウンド（受信）の分散バランス状態", _xlfn.REGEXTEST(C352, "Network Outbound Balance"), "ネットワークアウトバウンド（送信）の分散バランス状態", _xlfn.REGEXTEST(C352, "Replica Count Balance"), "レプリカ数の分散バランス状態", _xlfn.REGEXTEST(C352, "Disk Capacity"), "ディスク総容量の限界・使用容量", _xlfn.REGEXTEST(C352, "CPU Capacity"), "CPU総処理能力の限界・使用量", _xlfn.REGEXTEST(C352, "Network Inbound Capacity"), "ネットワークインバウンド（受信）帯域の限界・使用量", _xlfn.REGEXTEST(C352, "Network Outbound Capacity"), "ネットワークアウトバウンド（送信）帯域の限界・使用量", _xlfn.REGEXTEST(C352, "Leader Replica Count Balance"), "リーダーレプリカ数の分散バランス状態", _xlfn.REGEXTEST(C352, "Host DNS Resolution Duration"), "ホストのDNS名前解決の所要時間", _xlfn.REGEXTEST(C352, "TLS Certificate Expiry"), "TLS証明書の有効期限切れ", _xlfn.REGEXTEST(C352, "Host Entropy"), "ホストのエントロピー（乱数生成能力）の不足", _xlfn.REGEXTEST(C352, "File Descriptor"), "プロセスのファイルディスクリプタ使用率", _xlfn.REGEXTEST(C352, "Unexpected Exits"), "プロセスの異常終了（予期せぬ停止）", _xlfn.REGEXTEST(C352, "Swap Memory Thresholds"), "プロセスのスワップメモリ使用量", _xlfn.REGEXTEST(C352, "Swap Memory Usage Rate"), "スワップメモリ使用量の変化率（増加速度）", _xlfn.REGEXTEST(C352, "Log Directory Free Space.*Absolute"), "ログディレクトリの空き容量（絶対値）", _xlfn.REGEXTEST(C352, "Log Directory Free Space.*Percentage"), "ログディレクトリの空き容量割合（%）", _xlfn.REGEXTEST(C352, "Heap Dump Directory Free Space.*Absolute"), "ヒープダンプディレクトリの空き容量（絶対値）", _xlfn.REGEXTEST(C352, "Heap Dump Directory Free Space.*Percentage"), "ヒープダンプディレクトリの空き容量割合（%）", _xlfn.REGEXTEST(C352, "Data Directory Free Space.*Absolute"), "データディレクトリの空き容量（絶対値）", _xlfn.REGEXTEST(C352, "Data Directory Free Space.*Percentage"), "データディレクトリの空き容量割合（%）", _xlfn.REGEXTEST(C352, "Transaction Log Directory Free Space.*Absolute"), "トランザクションログディレクトリの空き容量（絶対値）", _xlfn.REGEXTEST(C352, "Logging Threshold|Logger Threshold"), "ログ出力レベルの閾値設定", _xlfn.REGEXTEST(C352, "Enable.*Alerts"), "ヘルスアラートの有効化状態", _xlfn.REGEXTEST(C352, "Triggers"), "カスタムアラート条件（トリガー設定）", _xlfn.REGEXTEST(C352, "Healthy Kafka Broker"), "Kafka Brokerの健全ノード割合（稼働率）", _xlfn.REGEXTEST(C352, "Healthy Kafka Connect"), "Kafka Connectの健全ノード割合（稼働率）", _xlfn.REGEXTEST(C352, "Healthy KRaft Controller"), "KRaft Controllerの健全ノード割合（稼働率）", _xlfn.REGEXTEST(C352, "Healthy Knox IDBroker"), "Knox IDBrokerの健全ノード割合（稼働率）", _xlfn.REGEXTEST(C352, "Healthy Knox Gateway"), "Knox Gatewayの健全ノード割合（稼働率）", _xlfn.REGEXTEST(C352, "Healthy ZooKeeper Server"), "ZooKeeper Serverの健全ノード割合（稼働率）", _xlfn.REGEXTEST(C352, "Healthy NodeManager"), "NodeManagerの健全ノード割合（稼働率）", _xlfn.REGEXTEST(C352, "Maximum Latency"), "リクエストの最大レイテンシ（処理遅延）", _xlfn.REGEXTEST(C352, "Garbage Collection Duration"), "Javaのガベージコレクション（GC）の所要時間", _xlfn.REGEXTEST(C352, "Spool Directory Usage"), "Rangerプラグインのスプールディレクトリ使用量", _xlfn.REGEXTEST(C352, "Process Directory Free Space Monitoring Absolute"), "プロセスディレクトリの空き容量（絶対値)", _xlfn.REGEXTEST(C352, "Process Directory Free Space.*Percentage"), "プロセスディレクトリの空き容量割合（%）", _xlfn.REGEXTEST(C352, "Parcel Directory Free Space.*Absolute"), "パーセルディレクトリの空き容量（絶対値）", _xlfn.REGEXTEST(C352, "Parcel Directory Free Space.*Percentage"), "パーセルディレクトリの空き容量割合（%）", _xlfn.REGEXTEST(C352, "Host Network Frame Error Percentage"), "ホストのネットワークフレームエラー割合（%）", _xlfn.REGEXTEST(C352, "Network Interfaces Slow Link Modes"), "ホストのネットワークインターフェースの低速リンクモード検出", _xlfn.REGEXTEST(C352, "Host Memory Swapping"), "ホストのメモリのスワップ発生状態", TRUE, "要手動確認")</f>
        <v>プロセスの異常終了（予期せぬ停止）</v>
      </c>
      <c r="H352" s="479" t="s">
        <v>1164</v>
      </c>
    </row>
    <row r="353" spans="1:8" ht="16.899999999999999">
      <c r="A353" s="514"/>
      <c r="B353" s="473"/>
      <c r="C353" s="471" t="s">
        <v>752</v>
      </c>
      <c r="D353" s="471" t="s">
        <v>753</v>
      </c>
      <c r="E353" s="471" t="s">
        <v>1163</v>
      </c>
      <c r="F353" s="471"/>
      <c r="G353" s="471" t="str" cm="1">
        <f t="array" ref="G353">_xlfn.IFS(C353 = "", "", _xlfn.REGEXTEST(C353, "Service Metric Migrator Minimum Consecutive Successful Checks"), "サービスメトリック移行ツールの連続正常チェック最小回数", _xlfn.REGEXTEST(C353, "Rebalancing"), "リバランシング（データ再配置）状態", _xlfn.REGEXTEST(C353, "Temporary Dump Directory"), "一時ダンプディレクトリの監視", _xlfn.REGEXTEST(C353, "Safemode Extension"), "セーフモード延長状態", _xlfn.REGEXTEST(C353, "Client Idle"), "クライアントのアイドル（待機）状態", _xlfn.REGEXTEST(C353, "Available Space Policy Balanced"), "空き容量ポリシーの分散バランス状態", _xlfn.REGEXTEST(C353, "Filesystem Checkpoint Transaction"), "ファイルシステムのチェックポイントトランザクション", _xlfn.REGEXTEST(C353, "Blocks With Corrupt Replicas Monitoring"), "破損レプリカを持つブロックの監視", _xlfn.REGEXTEST(C353, "Missing Block Monitoring"), "消失（ミッシング）ブロックの監視", _xlfn.REGEXTEST(C353, "Under-replicated Block Monitoring"), "レプリカ数不足ブロックの監視", _xlfn.REGEXTEST(C353, "HDFS Free Space Monitoring"), "HDFSの空き容量監視", _xlfn.REGEXTEST(C353, "DataNode Monitoring"), "DataNodeの稼働状態監視", _xlfn.REGEXTEST(C353, "Rules to Extract Events from Log Files"), "ログファイルからのイベント抽出ルール設定", _xlfn.REGEXTEST(C353, "Free Space Monitoring$"), "空き容量監視（一般設定）", _xlfn.REGEXTEST(C353, "Transceivers Usage"), "トランシーバー使用量（データ転送スレッド数）", _xlfn.REGEXTEST(C353, "Volume Failures"), "ボリューム障害（ディスクエラー）数", _xlfn.REGEXTEST(C353, "Block Count"), "ブロック総数", _xlfn.REGEXTEST(C353, "Audit Failure"), "監査（オーディット）ログの失敗イベント", _xlfn.REGEXTEST(C353, "Web Metric Collection Duration"), "Webメトリック収集の所要時間", _xlfn.REGEXTEST(C353, "Pause Duration"), "一時停止（ポーズ）の所要時間", _xlfn.REGEXTEST(C353, "Fsync Latency"), "Fsync（ディスク同期）のレイテンシ", _xlfn.REGEXTEST(C353, "Free Space Monitoring Absolute"), "空き容量（絶対値）", _xlfn.REGEXTEST(C353, "Free Space Monitoring Percentage"), "空き容量割合（%）", _xlfn.REGEXTEST(C353, "Age Monitoring"), "経過時間の監視", _xlfn.REGEXTEST(C353, "Transactions Monitoring"), "トランザクション数の監視", _xlfn.REGEXTEST(C353, "RPC Latency"), "RPC（遠隔手続き呼出し）のレイテンシ", _xlfn.REGEXTEST(C353, "Directory Failures"), "ディレクトリ障害数", _xlfn.REGEXTEST(C353, "Out-Of-Sync JournalNodes"), "同期ズレが発生しているJournalNode数", _xlfn.REGEXTEST(C353, "Safemode Threshold Percentage"), "セーフモード解除閾値の割合（%）", _xlfn.REGEXTEST(C353, "Kerberos Ticket Renewer Monitoring"), "Kerberosチケット更新プロセスの稼働状態監視", _xlfn.REGEXTEST(C353, "Load Balancer Monitoring"), "ロードバランサーの稼働状態監視", _xlfn.REGEXTEST(C353, "Navigator Audit Failure"), "Cloudera Navigator監査ログの失敗イベント", _xlfn.REGEXTEST(C353, "Schema Registry Server Monitoring"), "Schema Registry Serverの稼働状態監視", _xlfn.REGEXTEST(C353, "SRM Service Monitoring"), "SRMサービスの稼働状態監視", _xlfn.REGEXTEST(C353, "SRM Driver Monitoring"), "SRMドライバーの稼働状態監視", _xlfn.REGEXTEST(C353, "Loggin"), "ログ出力状態・設定監視", _xlfn.REGEXTEST(C353, "Server Monitoring"), "サーバーの稼働状態監視", _xlfn.REGEXTEST(C353, "Server Connection Count"), "サーバーの接続数（コネクション数）", _xlfn.REGEXTEST(C353, "Server Outstanding Requests"), "サーバーの未処理リクエスト数（滞留要求数）", _xlfn.REGEXTEST(C353, "Repository Status"), "リポジトリのステータス状態", _xlfn.REGEXTEST(C353, "Monitor Long Running Task"), "長時間実行タスク（ジョブ）の監視", _xlfn.REGEXTEST(C353, "Token requests per second"), "1秒あたりのトークンリクエスト数（要求レート）", _xlfn.REGEXTEST(C353, "Connection Model Score"), "接続モデルスコア（コネクション品質）", _xlfn.REGEXTEST(C353, "Queue swap"), "キューのスワップ発生状態", _xlfn.REGEXTEST(C353, "NiFi Node Monitoring"), "NiFiノードの稼働状態監視", _xlfn.REGEXTEST(C353, "Host Clock Offset"), "ホストのクロックオフセット（時刻同期のズレ）", _xlfn.REGEXTEST(C353, "Memory Overcommit Validation"), "メモリオーバーコミット設定の検証", _xlfn.REGEXTEST(C353, "Gateway Logging"), "ゲートウェイのログ出力設定", _xlfn.REGEXTEST(C353, "CPU Balance"), "CPU使用率の分散バランス状態", _xlfn.REGEXTEST(C353, "Disk Balance"), "ディスク使用量の分散バランス状態", _xlfn.REGEXTEST(C353, "Network Inbound Balance"), "ネットワークインバウンド（受信）の分散バランス状態", _xlfn.REGEXTEST(C353, "Network Outbound Balance"), "ネットワークアウトバウンド（送信）の分散バランス状態", _xlfn.REGEXTEST(C353, "Replica Count Balance"), "レプリカ数の分散バランス状態", _xlfn.REGEXTEST(C353, "Disk Capacity"), "ディスク総容量の限界・使用容量", _xlfn.REGEXTEST(C353, "CPU Capacity"), "CPU総処理能力の限界・使用量", _xlfn.REGEXTEST(C353, "Network Inbound Capacity"), "ネットワークインバウンド（受信）帯域の限界・使用量", _xlfn.REGEXTEST(C353, "Network Outbound Capacity"), "ネットワークアウトバウンド（送信）帯域の限界・使用量", _xlfn.REGEXTEST(C353, "Leader Replica Count Balance"), "リーダーレプリカ数の分散バランス状態", _xlfn.REGEXTEST(C353, "Host DNS Resolution Duration"), "ホストのDNS名前解決の所要時間", _xlfn.REGEXTEST(C353, "TLS Certificate Expiry"), "TLS証明書の有効期限切れ", _xlfn.REGEXTEST(C353, "Host Entropy"), "ホストのエントロピー（乱数生成能力）の不足", _xlfn.REGEXTEST(C353, "File Descriptor"), "プロセスのファイルディスクリプタ使用率", _xlfn.REGEXTEST(C353, "Unexpected Exits"), "プロセスの異常終了（予期せぬ停止）", _xlfn.REGEXTEST(C353, "Swap Memory Thresholds"), "プロセスのスワップメモリ使用量", _xlfn.REGEXTEST(C353, "Swap Memory Usage Rate"), "スワップメモリ使用量の変化率（増加速度）", _xlfn.REGEXTEST(C353, "Log Directory Free Space.*Absolute"), "ログディレクトリの空き容量（絶対値）", _xlfn.REGEXTEST(C353, "Log Directory Free Space.*Percentage"), "ログディレクトリの空き容量割合（%）", _xlfn.REGEXTEST(C353, "Heap Dump Directory Free Space.*Absolute"), "ヒープダンプディレクトリの空き容量（絶対値）", _xlfn.REGEXTEST(C353, "Heap Dump Directory Free Space.*Percentage"), "ヒープダンプディレクトリの空き容量割合（%）", _xlfn.REGEXTEST(C353, "Data Directory Free Space.*Absolute"), "データディレクトリの空き容量（絶対値）", _xlfn.REGEXTEST(C353, "Data Directory Free Space.*Percentage"), "データディレクトリの空き容量割合（%）", _xlfn.REGEXTEST(C353, "Transaction Log Directory Free Space.*Absolute"), "トランザクションログディレクトリの空き容量（絶対値）", _xlfn.REGEXTEST(C353, "Logging Threshold|Logger Threshold"), "ログ出力レベルの閾値設定", _xlfn.REGEXTEST(C353, "Enable.*Alerts"), "ヘルスアラートの有効化状態", _xlfn.REGEXTEST(C353, "Triggers"), "カスタムアラート条件（トリガー設定）", _xlfn.REGEXTEST(C353, "Healthy Kafka Broker"), "Kafka Brokerの健全ノード割合（稼働率）", _xlfn.REGEXTEST(C353, "Healthy Kafka Connect"), "Kafka Connectの健全ノード割合（稼働率）", _xlfn.REGEXTEST(C353, "Healthy KRaft Controller"), "KRaft Controllerの健全ノード割合（稼働率）", _xlfn.REGEXTEST(C353, "Healthy Knox IDBroker"), "Knox IDBrokerの健全ノード割合（稼働率）", _xlfn.REGEXTEST(C353, "Healthy Knox Gateway"), "Knox Gatewayの健全ノード割合（稼働率）", _xlfn.REGEXTEST(C353, "Healthy ZooKeeper Server"), "ZooKeeper Serverの健全ノード割合（稼働率）", _xlfn.REGEXTEST(C353, "Healthy NodeManager"), "NodeManagerの健全ノード割合（稼働率）", _xlfn.REGEXTEST(C353, "Maximum Latency"), "リクエストの最大レイテンシ（処理遅延）", _xlfn.REGEXTEST(C353, "Garbage Collection Duration"), "Javaのガベージコレクション（GC）の所要時間", _xlfn.REGEXTEST(C353, "Spool Directory Usage"), "Rangerプラグインのスプールディレクトリ使用量", _xlfn.REGEXTEST(C353, "Process Directory Free Space Monitoring Absolute"), "プロセスディレクトリの空き容量（絶対値)", _xlfn.REGEXTEST(C353, "Process Directory Free Space.*Percentage"), "プロセスディレクトリの空き容量割合（%）", _xlfn.REGEXTEST(C353, "Parcel Directory Free Space.*Absolute"), "パーセルディレクトリの空き容量（絶対値）", _xlfn.REGEXTEST(C353, "Parcel Directory Free Space.*Percentage"), "パーセルディレクトリの空き容量割合（%）", _xlfn.REGEXTEST(C353, "Host Network Frame Error Percentage"), "ホストのネットワークフレームエラー割合（%）", _xlfn.REGEXTEST(C353, "Network Interfaces Slow Link Modes"), "ホストのネットワークインターフェースの低速リンクモード検出", _xlfn.REGEXTEST(C353, "Host Memory Swapping"), "ホストのメモリのスワップ発生状態", TRUE, "要手動確認")</f>
        <v>カスタムアラート条件（トリガー設定）</v>
      </c>
      <c r="H353" s="479" t="s">
        <v>714</v>
      </c>
    </row>
    <row r="354" spans="1:8" ht="16.899999999999999">
      <c r="A354" s="514"/>
      <c r="B354" s="473"/>
      <c r="C354" s="471" t="s">
        <v>755</v>
      </c>
      <c r="D354" s="471" t="s">
        <v>756</v>
      </c>
      <c r="E354" s="471" t="s">
        <v>1163</v>
      </c>
      <c r="F354" s="471"/>
      <c r="G354" s="471" t="str" cm="1">
        <f t="array" ref="G354">_xlfn.IFS(C354 = "", "", _xlfn.REGEXTEST(C354, "Service Metric Migrator Minimum Consecutive Successful Checks"), "サービスメトリック移行ツールの連続正常チェック最小回数", _xlfn.REGEXTEST(C354, "Rebalancing"), "リバランシング（データ再配置）状態", _xlfn.REGEXTEST(C354, "Temporary Dump Directory"), "一時ダンプディレクトリの監視", _xlfn.REGEXTEST(C354, "Safemode Extension"), "セーフモード延長状態", _xlfn.REGEXTEST(C354, "Client Idle"), "クライアントのアイドル（待機）状態", _xlfn.REGEXTEST(C354, "Available Space Policy Balanced"), "空き容量ポリシーの分散バランス状態", _xlfn.REGEXTEST(C354, "Filesystem Checkpoint Transaction"), "ファイルシステムのチェックポイントトランザクション", _xlfn.REGEXTEST(C354, "Blocks With Corrupt Replicas Monitoring"), "破損レプリカを持つブロックの監視", _xlfn.REGEXTEST(C354, "Missing Block Monitoring"), "消失（ミッシング）ブロックの監視", _xlfn.REGEXTEST(C354, "Under-replicated Block Monitoring"), "レプリカ数不足ブロックの監視", _xlfn.REGEXTEST(C354, "HDFS Free Space Monitoring"), "HDFSの空き容量監視", _xlfn.REGEXTEST(C354, "DataNode Monitoring"), "DataNodeの稼働状態監視", _xlfn.REGEXTEST(C354, "Rules to Extract Events from Log Files"), "ログファイルからのイベント抽出ルール設定", _xlfn.REGEXTEST(C354, "Free Space Monitoring$"), "空き容量監視（一般設定）", _xlfn.REGEXTEST(C354, "Transceivers Usage"), "トランシーバー使用量（データ転送スレッド数）", _xlfn.REGEXTEST(C354, "Volume Failures"), "ボリューム障害（ディスクエラー）数", _xlfn.REGEXTEST(C354, "Block Count"), "ブロック総数", _xlfn.REGEXTEST(C354, "Audit Failure"), "監査（オーディット）ログの失敗イベント", _xlfn.REGEXTEST(C354, "Web Metric Collection Duration"), "Webメトリック収集の所要時間", _xlfn.REGEXTEST(C354, "Pause Duration"), "一時停止（ポーズ）の所要時間", _xlfn.REGEXTEST(C354, "Fsync Latency"), "Fsync（ディスク同期）のレイテンシ", _xlfn.REGEXTEST(C354, "Free Space Monitoring Absolute"), "空き容量（絶対値）", _xlfn.REGEXTEST(C354, "Free Space Monitoring Percentage"), "空き容量割合（%）", _xlfn.REGEXTEST(C354, "Age Monitoring"), "経過時間の監視", _xlfn.REGEXTEST(C354, "Transactions Monitoring"), "トランザクション数の監視", _xlfn.REGEXTEST(C354, "RPC Latency"), "RPC（遠隔手続き呼出し）のレイテンシ", _xlfn.REGEXTEST(C354, "Directory Failures"), "ディレクトリ障害数", _xlfn.REGEXTEST(C354, "Out-Of-Sync JournalNodes"), "同期ズレが発生しているJournalNode数", _xlfn.REGEXTEST(C354, "Safemode Threshold Percentage"), "セーフモード解除閾値の割合（%）", _xlfn.REGEXTEST(C354, "Kerberos Ticket Renewer Monitoring"), "Kerberosチケット更新プロセスの稼働状態監視", _xlfn.REGEXTEST(C354, "Load Balancer Monitoring"), "ロードバランサーの稼働状態監視", _xlfn.REGEXTEST(C354, "Navigator Audit Failure"), "Cloudera Navigator監査ログの失敗イベント", _xlfn.REGEXTEST(C354, "Schema Registry Server Monitoring"), "Schema Registry Serverの稼働状態監視", _xlfn.REGEXTEST(C354, "SRM Service Monitoring"), "SRMサービスの稼働状態監視", _xlfn.REGEXTEST(C354, "SRM Driver Monitoring"), "SRMドライバーの稼働状態監視", _xlfn.REGEXTEST(C354, "Loggin"), "ログ出力状態・設定監視", _xlfn.REGEXTEST(C354, "Server Monitoring"), "サーバーの稼働状態監視", _xlfn.REGEXTEST(C354, "Server Connection Count"), "サーバーの接続数（コネクション数）", _xlfn.REGEXTEST(C354, "Server Outstanding Requests"), "サーバーの未処理リクエスト数（滞留要求数）", _xlfn.REGEXTEST(C354, "Repository Status"), "リポジトリのステータス状態", _xlfn.REGEXTEST(C354, "Monitor Long Running Task"), "長時間実行タスク（ジョブ）の監視", _xlfn.REGEXTEST(C354, "Token requests per second"), "1秒あたりのトークンリクエスト数（要求レート）", _xlfn.REGEXTEST(C354, "Connection Model Score"), "接続モデルスコア（コネクション品質）", _xlfn.REGEXTEST(C354, "Queue swap"), "キューのスワップ発生状態", _xlfn.REGEXTEST(C354, "NiFi Node Monitoring"), "NiFiノードの稼働状態監視", _xlfn.REGEXTEST(C354, "Host Clock Offset"), "ホストのクロックオフセット（時刻同期のズレ）", _xlfn.REGEXTEST(C354, "Memory Overcommit Validation"), "メモリオーバーコミット設定の検証", _xlfn.REGEXTEST(C354, "Gateway Logging"), "ゲートウェイのログ出力設定", _xlfn.REGEXTEST(C354, "CPU Balance"), "CPU使用率の分散バランス状態", _xlfn.REGEXTEST(C354, "Disk Balance"), "ディスク使用量の分散バランス状態", _xlfn.REGEXTEST(C354, "Network Inbound Balance"), "ネットワークインバウンド（受信）の分散バランス状態", _xlfn.REGEXTEST(C354, "Network Outbound Balance"), "ネットワークアウトバウンド（送信）の分散バランス状態", _xlfn.REGEXTEST(C354, "Replica Count Balance"), "レプリカ数の分散バランス状態", _xlfn.REGEXTEST(C354, "Disk Capacity"), "ディスク総容量の限界・使用容量", _xlfn.REGEXTEST(C354, "CPU Capacity"), "CPU総処理能力の限界・使用量", _xlfn.REGEXTEST(C354, "Network Inbound Capacity"), "ネットワークインバウンド（受信）帯域の限界・使用量", _xlfn.REGEXTEST(C354, "Network Outbound Capacity"), "ネットワークアウトバウンド（送信）帯域の限界・使用量", _xlfn.REGEXTEST(C354, "Leader Replica Count Balance"), "リーダーレプリカ数の分散バランス状態", _xlfn.REGEXTEST(C354, "Host DNS Resolution Duration"), "ホストのDNS名前解決の所要時間", _xlfn.REGEXTEST(C354, "TLS Certificate Expiry"), "TLS証明書の有効期限切れ", _xlfn.REGEXTEST(C354, "Host Entropy"), "ホストのエントロピー（乱数生成能力）の不足", _xlfn.REGEXTEST(C354, "File Descriptor"), "プロセスのファイルディスクリプタ使用率", _xlfn.REGEXTEST(C354, "Unexpected Exits"), "プロセスの異常終了（予期せぬ停止）", _xlfn.REGEXTEST(C354, "Swap Memory Thresholds"), "プロセスのスワップメモリ使用量", _xlfn.REGEXTEST(C354, "Swap Memory Usage Rate"), "スワップメモリ使用量の変化率（増加速度）", _xlfn.REGEXTEST(C354, "Log Directory Free Space.*Absolute"), "ログディレクトリの空き容量（絶対値）", _xlfn.REGEXTEST(C354, "Log Directory Free Space.*Percentage"), "ログディレクトリの空き容量割合（%）", _xlfn.REGEXTEST(C354, "Heap Dump Directory Free Space.*Absolute"), "ヒープダンプディレクトリの空き容量（絶対値）", _xlfn.REGEXTEST(C354, "Heap Dump Directory Free Space.*Percentage"), "ヒープダンプディレクトリの空き容量割合（%）", _xlfn.REGEXTEST(C354, "Data Directory Free Space.*Absolute"), "データディレクトリの空き容量（絶対値）", _xlfn.REGEXTEST(C354, "Data Directory Free Space.*Percentage"), "データディレクトリの空き容量割合（%）", _xlfn.REGEXTEST(C354, "Transaction Log Directory Free Space.*Absolute"), "トランザクションログディレクトリの空き容量（絶対値）", _xlfn.REGEXTEST(C354, "Logging Threshold|Logger Threshold"), "ログ出力レベルの閾値設定", _xlfn.REGEXTEST(C354, "Enable.*Alerts"), "ヘルスアラートの有効化状態", _xlfn.REGEXTEST(C354, "Triggers"), "カスタムアラート条件（トリガー設定）", _xlfn.REGEXTEST(C354, "Healthy Kafka Broker"), "Kafka Brokerの健全ノード割合（稼働率）", _xlfn.REGEXTEST(C354, "Healthy Kafka Connect"), "Kafka Connectの健全ノード割合（稼働率）", _xlfn.REGEXTEST(C354, "Healthy KRaft Controller"), "KRaft Controllerの健全ノード割合（稼働率）", _xlfn.REGEXTEST(C354, "Healthy Knox IDBroker"), "Knox IDBrokerの健全ノード割合（稼働率）", _xlfn.REGEXTEST(C354, "Healthy Knox Gateway"), "Knox Gatewayの健全ノード割合（稼働率）", _xlfn.REGEXTEST(C354, "Healthy ZooKeeper Server"), "ZooKeeper Serverの健全ノード割合（稼働率）", _xlfn.REGEXTEST(C354, "Healthy NodeManager"), "NodeManagerの健全ノード割合（稼働率）", _xlfn.REGEXTEST(C354, "Maximum Latency"), "リクエストの最大レイテンシ（処理遅延）", _xlfn.REGEXTEST(C354, "Garbage Collection Duration"), "Javaのガベージコレクション（GC）の所要時間", _xlfn.REGEXTEST(C354, "Spool Directory Usage"), "Rangerプラグインのスプールディレクトリ使用量", _xlfn.REGEXTEST(C354, "Process Directory Free Space Monitoring Absolute"), "プロセスディレクトリの空き容量（絶対値)", _xlfn.REGEXTEST(C354, "Process Directory Free Space.*Percentage"), "プロセスディレクトリの空き容量割合（%）", _xlfn.REGEXTEST(C354, "Parcel Directory Free Space.*Absolute"), "パーセルディレクトリの空き容量（絶対値）", _xlfn.REGEXTEST(C354, "Parcel Directory Free Space.*Percentage"), "パーセルディレクトリの空き容量割合（%）", _xlfn.REGEXTEST(C354, "Host Network Frame Error Percentage"), "ホストのネットワークフレームエラー割合（%）", _xlfn.REGEXTEST(C354, "Network Interfaces Slow Link Modes"), "ホストのネットワークインターフェースの低速リンクモード検出", _xlfn.REGEXTEST(C354, "Host Memory Swapping"), "ホストのメモリのスワップ発生状態", TRUE, "要手動確認")</f>
        <v>プロセスのスワップメモリ使用量</v>
      </c>
      <c r="H354" s="479" t="s">
        <v>1169</v>
      </c>
    </row>
    <row r="355" spans="1:8" ht="16.899999999999999">
      <c r="A355" s="514"/>
      <c r="B355" s="473"/>
      <c r="C355" s="471" t="s">
        <v>758</v>
      </c>
      <c r="D355" s="471" t="s">
        <v>759</v>
      </c>
      <c r="E355" s="471" t="s">
        <v>1163</v>
      </c>
      <c r="F355" s="471"/>
      <c r="G355" s="471" t="str" cm="1">
        <f t="array" ref="G355">_xlfn.IFS(C355 = "", "", _xlfn.REGEXTEST(C355, "Service Metric Migrator Minimum Consecutive Successful Checks"), "サービスメトリック移行ツールの連続正常チェック最小回数", _xlfn.REGEXTEST(C355, "Rebalancing"), "リバランシング（データ再配置）状態", _xlfn.REGEXTEST(C355, "Temporary Dump Directory"), "一時ダンプディレクトリの監視", _xlfn.REGEXTEST(C355, "Safemode Extension"), "セーフモード延長状態", _xlfn.REGEXTEST(C355, "Client Idle"), "クライアントのアイドル（待機）状態", _xlfn.REGEXTEST(C355, "Available Space Policy Balanced"), "空き容量ポリシーの分散バランス状態", _xlfn.REGEXTEST(C355, "Filesystem Checkpoint Transaction"), "ファイルシステムのチェックポイントトランザクション", _xlfn.REGEXTEST(C355, "Blocks With Corrupt Replicas Monitoring"), "破損レプリカを持つブロックの監視", _xlfn.REGEXTEST(C355, "Missing Block Monitoring"), "消失（ミッシング）ブロックの監視", _xlfn.REGEXTEST(C355, "Under-replicated Block Monitoring"), "レプリカ数不足ブロックの監視", _xlfn.REGEXTEST(C355, "HDFS Free Space Monitoring"), "HDFSの空き容量監視", _xlfn.REGEXTEST(C355, "DataNode Monitoring"), "DataNodeの稼働状態監視", _xlfn.REGEXTEST(C355, "Rules to Extract Events from Log Files"), "ログファイルからのイベント抽出ルール設定", _xlfn.REGEXTEST(C355, "Free Space Monitoring$"), "空き容量監視（一般設定）", _xlfn.REGEXTEST(C355, "Transceivers Usage"), "トランシーバー使用量（データ転送スレッド数）", _xlfn.REGEXTEST(C355, "Volume Failures"), "ボリューム障害（ディスクエラー）数", _xlfn.REGEXTEST(C355, "Block Count"), "ブロック総数", _xlfn.REGEXTEST(C355, "Audit Failure"), "監査（オーディット）ログの失敗イベント", _xlfn.REGEXTEST(C355, "Web Metric Collection Duration"), "Webメトリック収集の所要時間", _xlfn.REGEXTEST(C355, "Pause Duration"), "一時停止（ポーズ）の所要時間", _xlfn.REGEXTEST(C355, "Fsync Latency"), "Fsync（ディスク同期）のレイテンシ", _xlfn.REGEXTEST(C355, "Free Space Monitoring Absolute"), "空き容量（絶対値）", _xlfn.REGEXTEST(C355, "Free Space Monitoring Percentage"), "空き容量割合（%）", _xlfn.REGEXTEST(C355, "Age Monitoring"), "経過時間の監視", _xlfn.REGEXTEST(C355, "Transactions Monitoring"), "トランザクション数の監視", _xlfn.REGEXTEST(C355, "RPC Latency"), "RPC（遠隔手続き呼出し）のレイテンシ", _xlfn.REGEXTEST(C355, "Directory Failures"), "ディレクトリ障害数", _xlfn.REGEXTEST(C355, "Out-Of-Sync JournalNodes"), "同期ズレが発生しているJournalNode数", _xlfn.REGEXTEST(C355, "Safemode Threshold Percentage"), "セーフモード解除閾値の割合（%）", _xlfn.REGEXTEST(C355, "Kerberos Ticket Renewer Monitoring"), "Kerberosチケット更新プロセスの稼働状態監視", _xlfn.REGEXTEST(C355, "Load Balancer Monitoring"), "ロードバランサーの稼働状態監視", _xlfn.REGEXTEST(C355, "Navigator Audit Failure"), "Cloudera Navigator監査ログの失敗イベント", _xlfn.REGEXTEST(C355, "Schema Registry Server Monitoring"), "Schema Registry Serverの稼働状態監視", _xlfn.REGEXTEST(C355, "SRM Service Monitoring"), "SRMサービスの稼働状態監視", _xlfn.REGEXTEST(C355, "SRM Driver Monitoring"), "SRMドライバーの稼働状態監視", _xlfn.REGEXTEST(C355, "Loggin"), "ログ出力状態・設定監視", _xlfn.REGEXTEST(C355, "Server Monitoring"), "サーバーの稼働状態監視", _xlfn.REGEXTEST(C355, "Server Connection Count"), "サーバーの接続数（コネクション数）", _xlfn.REGEXTEST(C355, "Server Outstanding Requests"), "サーバーの未処理リクエスト数（滞留要求数）", _xlfn.REGEXTEST(C355, "Repository Status"), "リポジトリのステータス状態", _xlfn.REGEXTEST(C355, "Monitor Long Running Task"), "長時間実行タスク（ジョブ）の監視", _xlfn.REGEXTEST(C355, "Token requests per second"), "1秒あたりのトークンリクエスト数（要求レート）", _xlfn.REGEXTEST(C355, "Connection Model Score"), "接続モデルスコア（コネクション品質）", _xlfn.REGEXTEST(C355, "Queue swap"), "キューのスワップ発生状態", _xlfn.REGEXTEST(C355, "NiFi Node Monitoring"), "NiFiノードの稼働状態監視", _xlfn.REGEXTEST(C355, "Host Clock Offset"), "ホストのクロックオフセット（時刻同期のズレ）", _xlfn.REGEXTEST(C355, "Memory Overcommit Validation"), "メモリオーバーコミット設定の検証", _xlfn.REGEXTEST(C355, "Gateway Logging"), "ゲートウェイのログ出力設定", _xlfn.REGEXTEST(C355, "CPU Balance"), "CPU使用率の分散バランス状態", _xlfn.REGEXTEST(C355, "Disk Balance"), "ディスク使用量の分散バランス状態", _xlfn.REGEXTEST(C355, "Network Inbound Balance"), "ネットワークインバウンド（受信）の分散バランス状態", _xlfn.REGEXTEST(C355, "Network Outbound Balance"), "ネットワークアウトバウンド（送信）の分散バランス状態", _xlfn.REGEXTEST(C355, "Replica Count Balance"), "レプリカ数の分散バランス状態", _xlfn.REGEXTEST(C355, "Disk Capacity"), "ディスク総容量の限界・使用容量", _xlfn.REGEXTEST(C355, "CPU Capacity"), "CPU総処理能力の限界・使用量", _xlfn.REGEXTEST(C355, "Network Inbound Capacity"), "ネットワークインバウンド（受信）帯域の限界・使用量", _xlfn.REGEXTEST(C355, "Network Outbound Capacity"), "ネットワークアウトバウンド（送信）帯域の限界・使用量", _xlfn.REGEXTEST(C355, "Leader Replica Count Balance"), "リーダーレプリカ数の分散バランス状態", _xlfn.REGEXTEST(C355, "Host DNS Resolution Duration"), "ホストのDNS名前解決の所要時間", _xlfn.REGEXTEST(C355, "TLS Certificate Expiry"), "TLS証明書の有効期限切れ", _xlfn.REGEXTEST(C355, "Host Entropy"), "ホストのエントロピー（乱数生成能力）の不足", _xlfn.REGEXTEST(C355, "File Descriptor"), "プロセスのファイルディスクリプタ使用率", _xlfn.REGEXTEST(C355, "Unexpected Exits"), "プロセスの異常終了（予期せぬ停止）", _xlfn.REGEXTEST(C355, "Swap Memory Thresholds"), "プロセスのスワップメモリ使用量", _xlfn.REGEXTEST(C355, "Swap Memory Usage Rate"), "スワップメモリ使用量の変化率（増加速度）", _xlfn.REGEXTEST(C355, "Log Directory Free Space.*Absolute"), "ログディレクトリの空き容量（絶対値）", _xlfn.REGEXTEST(C355, "Log Directory Free Space.*Percentage"), "ログディレクトリの空き容量割合（%）", _xlfn.REGEXTEST(C355, "Heap Dump Directory Free Space.*Absolute"), "ヒープダンプディレクトリの空き容量（絶対値）", _xlfn.REGEXTEST(C355, "Heap Dump Directory Free Space.*Percentage"), "ヒープダンプディレクトリの空き容量割合（%）", _xlfn.REGEXTEST(C355, "Data Directory Free Space.*Absolute"), "データディレクトリの空き容量（絶対値）", _xlfn.REGEXTEST(C355, "Data Directory Free Space.*Percentage"), "データディレクトリの空き容量割合（%）", _xlfn.REGEXTEST(C355, "Transaction Log Directory Free Space.*Absolute"), "トランザクションログディレクトリの空き容量（絶対値）", _xlfn.REGEXTEST(C355, "Logging Threshold|Logger Threshold"), "ログ出力レベルの閾値設定", _xlfn.REGEXTEST(C355, "Enable.*Alerts"), "ヘルスアラートの有効化状態", _xlfn.REGEXTEST(C355, "Triggers"), "カスタムアラート条件（トリガー設定）", _xlfn.REGEXTEST(C355, "Healthy Kafka Broker"), "Kafka Brokerの健全ノード割合（稼働率）", _xlfn.REGEXTEST(C355, "Healthy Kafka Connect"), "Kafka Connectの健全ノード割合（稼働率）", _xlfn.REGEXTEST(C355, "Healthy KRaft Controller"), "KRaft Controllerの健全ノード割合（稼働率）", _xlfn.REGEXTEST(C355, "Healthy Knox IDBroker"), "Knox IDBrokerの健全ノード割合（稼働率）", _xlfn.REGEXTEST(C355, "Healthy Knox Gateway"), "Knox Gatewayの健全ノード割合（稼働率）", _xlfn.REGEXTEST(C355, "Healthy ZooKeeper Server"), "ZooKeeper Serverの健全ノード割合（稼働率）", _xlfn.REGEXTEST(C355, "Healthy NodeManager"), "NodeManagerの健全ノード割合（稼働率）", _xlfn.REGEXTEST(C355, "Maximum Latency"), "リクエストの最大レイテンシ（処理遅延）", _xlfn.REGEXTEST(C355, "Garbage Collection Duration"), "Javaのガベージコレクション（GC）の所要時間", _xlfn.REGEXTEST(C355, "Spool Directory Usage"), "Rangerプラグインのスプールディレクトリ使用量", _xlfn.REGEXTEST(C355, "Process Directory Free Space Monitoring Absolute"), "プロセスディレクトリの空き容量（絶対値)", _xlfn.REGEXTEST(C355, "Process Directory Free Space.*Percentage"), "プロセスディレクトリの空き容量割合（%）", _xlfn.REGEXTEST(C355, "Parcel Directory Free Space.*Absolute"), "パーセルディレクトリの空き容量（絶対値）", _xlfn.REGEXTEST(C355, "Parcel Directory Free Space.*Percentage"), "パーセルディレクトリの空き容量割合（%）", _xlfn.REGEXTEST(C355, "Host Network Frame Error Percentage"), "ホストのネットワークフレームエラー割合（%）", _xlfn.REGEXTEST(C355, "Network Interfaces Slow Link Modes"), "ホストのネットワークインターフェースの低速リンクモード検出", _xlfn.REGEXTEST(C355, "Host Memory Swapping"), "ホストのメモリのスワップ発生状態", TRUE, "要手動確認")</f>
        <v>スワップメモリ使用量の変化率（増加速度）</v>
      </c>
      <c r="H355" s="479" t="s">
        <v>1168</v>
      </c>
    </row>
    <row r="356" spans="1:8" ht="16.899999999999999">
      <c r="A356" s="514"/>
      <c r="B356" s="473"/>
      <c r="C356" s="471" t="s">
        <v>1170</v>
      </c>
      <c r="D356" s="471" t="s">
        <v>1171</v>
      </c>
      <c r="E356" s="471" t="s">
        <v>1163</v>
      </c>
      <c r="F356" s="471"/>
      <c r="G356" s="471" t="str" cm="1">
        <f t="array" ref="G356">_xlfn.IFS(C356 = "", "", _xlfn.REGEXTEST(C356, "Service Metric Migrator Minimum Consecutive Successful Checks"), "サービスメトリック移行ツールの連続正常チェック最小回数", _xlfn.REGEXTEST(C356, "Rebalancing"), "リバランシング（データ再配置）状態", _xlfn.REGEXTEST(C356, "Temporary Dump Directory"), "一時ダンプディレクトリの監視", _xlfn.REGEXTEST(C356, "Safemode Extension"), "セーフモード延長状態", _xlfn.REGEXTEST(C356, "Client Idle"), "クライアントのアイドル（待機）状態", _xlfn.REGEXTEST(C356, "Available Space Policy Balanced"), "空き容量ポリシーの分散バランス状態", _xlfn.REGEXTEST(C356, "Filesystem Checkpoint Transaction"), "ファイルシステムのチェックポイントトランザクション", _xlfn.REGEXTEST(C356, "Blocks With Corrupt Replicas Monitoring"), "破損レプリカを持つブロックの監視", _xlfn.REGEXTEST(C356, "Missing Block Monitoring"), "消失（ミッシング）ブロックの監視", _xlfn.REGEXTEST(C356, "Under-replicated Block Monitoring"), "レプリカ数不足ブロックの監視", _xlfn.REGEXTEST(C356, "HDFS Free Space Monitoring"), "HDFSの空き容量監視", _xlfn.REGEXTEST(C356, "DataNode Monitoring"), "DataNodeの稼働状態監視", _xlfn.REGEXTEST(C356, "Rules to Extract Events from Log Files"), "ログファイルからのイベント抽出ルール設定", _xlfn.REGEXTEST(C356, "Free Space Monitoring$"), "空き容量監視（一般設定）", _xlfn.REGEXTEST(C356, "Transceivers Usage"), "トランシーバー使用量（データ転送スレッド数）", _xlfn.REGEXTEST(C356, "Volume Failures"), "ボリューム障害（ディスクエラー）数", _xlfn.REGEXTEST(C356, "Block Count"), "ブロック総数", _xlfn.REGEXTEST(C356, "Audit Failure"), "監査（オーディット）ログの失敗イベント", _xlfn.REGEXTEST(C356, "Web Metric Collection Duration"), "Webメトリック収集の所要時間", _xlfn.REGEXTEST(C356, "Pause Duration"), "一時停止（ポーズ）の所要時間", _xlfn.REGEXTEST(C356, "Fsync Latency"), "Fsync（ディスク同期）のレイテンシ", _xlfn.REGEXTEST(C356, "Free Space Monitoring Absolute"), "空き容量（絶対値）", _xlfn.REGEXTEST(C356, "Free Space Monitoring Percentage"), "空き容量割合（%）", _xlfn.REGEXTEST(C356, "Age Monitoring"), "経過時間の監視", _xlfn.REGEXTEST(C356, "Transactions Monitoring"), "トランザクション数の監視", _xlfn.REGEXTEST(C356, "RPC Latency"), "RPC（遠隔手続き呼出し）のレイテンシ", _xlfn.REGEXTEST(C356, "Directory Failures"), "ディレクトリ障害数", _xlfn.REGEXTEST(C356, "Out-Of-Sync JournalNodes"), "同期ズレが発生しているJournalNode数", _xlfn.REGEXTEST(C356, "Safemode Threshold Percentage"), "セーフモード解除閾値の割合（%）", _xlfn.REGEXTEST(C356, "Kerberos Ticket Renewer Monitoring"), "Kerberosチケット更新プロセスの稼働状態監視", _xlfn.REGEXTEST(C356, "Load Balancer Monitoring"), "ロードバランサーの稼働状態監視", _xlfn.REGEXTEST(C356, "Navigator Audit Failure"), "Cloudera Navigator監査ログの失敗イベント", _xlfn.REGEXTEST(C356, "Schema Registry Server Monitoring"), "Schema Registry Serverの稼働状態監視", _xlfn.REGEXTEST(C356, "SRM Service Monitoring"), "SRMサービスの稼働状態監視", _xlfn.REGEXTEST(C356, "SRM Driver Monitoring"), "SRMドライバーの稼働状態監視", _xlfn.REGEXTEST(C356, "Loggin"), "ログ出力状態・設定監視", _xlfn.REGEXTEST(C356, "Server Monitoring"), "サーバーの稼働状態監視", _xlfn.REGEXTEST(C356, "Server Connection Count"), "サーバーの接続数（コネクション数）", _xlfn.REGEXTEST(C356, "Server Outstanding Requests"), "サーバーの未処理リクエスト数（滞留要求数）", _xlfn.REGEXTEST(C356, "Repository Status"), "リポジトリのステータス状態", _xlfn.REGEXTEST(C356, "Monitor Long Running Task"), "長時間実行タスク（ジョブ）の監視", _xlfn.REGEXTEST(C356, "Token requests per second"), "1秒あたりのトークンリクエスト数（要求レート）", _xlfn.REGEXTEST(C356, "Connection Model Score"), "接続モデルスコア（コネクション品質）", _xlfn.REGEXTEST(C356, "Queue swap"), "キューのスワップ発生状態", _xlfn.REGEXTEST(C356, "NiFi Node Monitoring"), "NiFiノードの稼働状態監視", _xlfn.REGEXTEST(C356, "Host Clock Offset"), "ホストのクロックオフセット（時刻同期のズレ）", _xlfn.REGEXTEST(C356, "Memory Overcommit Validation"), "メモリオーバーコミット設定の検証", _xlfn.REGEXTEST(C356, "Gateway Logging"), "ゲートウェイのログ出力設定", _xlfn.REGEXTEST(C356, "CPU Balance"), "CPU使用率の分散バランス状態", _xlfn.REGEXTEST(C356, "Disk Balance"), "ディスク使用量の分散バランス状態", _xlfn.REGEXTEST(C356, "Network Inbound Balance"), "ネットワークインバウンド（受信）の分散バランス状態", _xlfn.REGEXTEST(C356, "Network Outbound Balance"), "ネットワークアウトバウンド（送信）の分散バランス状態", _xlfn.REGEXTEST(C356, "Replica Count Balance"), "レプリカ数の分散バランス状態", _xlfn.REGEXTEST(C356, "Disk Capacity"), "ディスク総容量の限界・使用容量", _xlfn.REGEXTEST(C356, "CPU Capacity"), "CPU総処理能力の限界・使用量", _xlfn.REGEXTEST(C356, "Network Inbound Capacity"), "ネットワークインバウンド（受信）帯域の限界・使用量", _xlfn.REGEXTEST(C356, "Network Outbound Capacity"), "ネットワークアウトバウンド（送信）帯域の限界・使用量", _xlfn.REGEXTEST(C356, "Leader Replica Count Balance"), "リーダーレプリカ数の分散バランス状態", _xlfn.REGEXTEST(C356, "Host DNS Resolution Duration"), "ホストのDNS名前解決の所要時間", _xlfn.REGEXTEST(C356, "TLS Certificate Expiry"), "TLS証明書の有効期限切れ", _xlfn.REGEXTEST(C356, "Host Entropy"), "ホストのエントロピー（乱数生成能力）の不足", _xlfn.REGEXTEST(C356, "File Descriptor"), "プロセスのファイルディスクリプタ使用率", _xlfn.REGEXTEST(C356, "Unexpected Exits"), "プロセスの異常終了（予期せぬ停止）", _xlfn.REGEXTEST(C356, "Swap Memory Thresholds"), "プロセスのスワップメモリ使用量", _xlfn.REGEXTEST(C356, "Swap Memory Usage Rate"), "スワップメモリ使用量の変化率（増加速度）", _xlfn.REGEXTEST(C356, "Log Directory Free Space.*Absolute"), "ログディレクトリの空き容量（絶対値）", _xlfn.REGEXTEST(C356, "Log Directory Free Space.*Percentage"), "ログディレクトリの空き容量割合（%）", _xlfn.REGEXTEST(C356, "Heap Dump Directory Free Space.*Absolute"), "ヒープダンプディレクトリの空き容量（絶対値）", _xlfn.REGEXTEST(C356, "Heap Dump Directory Free Space.*Percentage"), "ヒープダンプディレクトリの空き容量割合（%）", _xlfn.REGEXTEST(C356, "Data Directory Free Space.*Absolute"), "データディレクトリの空き容量（絶対値）", _xlfn.REGEXTEST(C356, "Data Directory Free Space.*Percentage"), "データディレクトリの空き容量割合（%）", _xlfn.REGEXTEST(C356, "Transaction Log Directory Free Space.*Absolute"), "トランザクションログディレクトリの空き容量（絶対値）", _xlfn.REGEXTEST(C356, "Logging Threshold|Logger Threshold"), "ログ出力レベルの閾値設定", _xlfn.REGEXTEST(C356, "Enable.*Alerts"), "ヘルスアラートの有効化状態", _xlfn.REGEXTEST(C356, "Triggers"), "カスタムアラート条件（トリガー設定）", _xlfn.REGEXTEST(C356, "Healthy Kafka Broker"), "Kafka Brokerの健全ノード割合（稼働率）", _xlfn.REGEXTEST(C356, "Healthy Kafka Connect"), "Kafka Connectの健全ノード割合（稼働率）", _xlfn.REGEXTEST(C356, "Healthy KRaft Controller"), "KRaft Controllerの健全ノード割合（稼働率）", _xlfn.REGEXTEST(C356, "Healthy Knox IDBroker"), "Knox IDBrokerの健全ノード割合（稼働率）", _xlfn.REGEXTEST(C356, "Healthy Knox Gateway"), "Knox Gatewayの健全ノード割合（稼働率）", _xlfn.REGEXTEST(C356, "Healthy ZooKeeper Server"), "ZooKeeper Serverの健全ノード割合（稼働率）", _xlfn.REGEXTEST(C356, "Healthy NodeManager"), "NodeManagerの健全ノード割合（稼働率）", _xlfn.REGEXTEST(C356, "Maximum Latency"), "リクエストの最大レイテンシ（処理遅延）", _xlfn.REGEXTEST(C356, "Garbage Collection Duration"), "Javaのガベージコレクション（GC）の所要時間", _xlfn.REGEXTEST(C356, "Spool Directory Usage"), "Rangerプラグインのスプールディレクトリ使用量", _xlfn.REGEXTEST(C356, "Process Directory Free Space Monitoring Absolute"), "プロセスディレクトリの空き容量（絶対値)", _xlfn.REGEXTEST(C356, "Process Directory Free Space.*Percentage"), "プロセスディレクトリの空き容量割合（%）", _xlfn.REGEXTEST(C356, "Parcel Directory Free Space.*Absolute"), "パーセルディレクトリの空き容量（絶対値）", _xlfn.REGEXTEST(C356, "Parcel Directory Free Space.*Percentage"), "パーセルディレクトリの空き容量割合（%）", _xlfn.REGEXTEST(C356, "Host Network Frame Error Percentage"), "ホストのネットワークフレームエラー割合（%）", _xlfn.REGEXTEST(C356, "Network Interfaces Slow Link Modes"), "ホストのネットワークインターフェースの低速リンクモード検出", _xlfn.REGEXTEST(C356, "Host Memory Swapping"), "ホストのメモリのスワップ発生状態", TRUE, "要手動確認")</f>
        <v>Webメトリック収集の所要時間</v>
      </c>
      <c r="H356" s="479" t="s">
        <v>1172</v>
      </c>
    </row>
    <row r="357" spans="1:8" ht="33.6">
      <c r="A357" s="514"/>
      <c r="B357" s="473"/>
      <c r="C357" s="471" t="s">
        <v>736</v>
      </c>
      <c r="D357" s="471" t="s">
        <v>1173</v>
      </c>
      <c r="E357" s="471" t="s">
        <v>1174</v>
      </c>
      <c r="F357" s="471"/>
      <c r="G357" s="471" t="str" cm="1">
        <f t="array" ref="G357">_xlfn.IFS(C357 = "", "", _xlfn.REGEXTEST(C357, "Service Metric Migrator Minimum Consecutive Successful Checks"), "サービスメトリック移行ツールの連続正常チェック最小回数", _xlfn.REGEXTEST(C357, "Rebalancing"), "リバランシング（データ再配置）状態", _xlfn.REGEXTEST(C357, "Temporary Dump Directory"), "一時ダンプディレクトリの監視", _xlfn.REGEXTEST(C357, "Safemode Extension"), "セーフモード延長状態", _xlfn.REGEXTEST(C357, "Client Idle"), "クライアントのアイドル（待機）状態", _xlfn.REGEXTEST(C357, "Available Space Policy Balanced"), "空き容量ポリシーの分散バランス状態", _xlfn.REGEXTEST(C357, "Filesystem Checkpoint Transaction"), "ファイルシステムのチェックポイントトランザクション", _xlfn.REGEXTEST(C357, "Blocks With Corrupt Replicas Monitoring"), "破損レプリカを持つブロックの監視", _xlfn.REGEXTEST(C357, "Missing Block Monitoring"), "消失（ミッシング）ブロックの監視", _xlfn.REGEXTEST(C357, "Under-replicated Block Monitoring"), "レプリカ数不足ブロックの監視", _xlfn.REGEXTEST(C357, "HDFS Free Space Monitoring"), "HDFSの空き容量監視", _xlfn.REGEXTEST(C357, "DataNode Monitoring"), "DataNodeの稼働状態監視", _xlfn.REGEXTEST(C357, "Rules to Extract Events from Log Files"), "ログファイルからのイベント抽出ルール設定", _xlfn.REGEXTEST(C357, "Free Space Monitoring$"), "空き容量監視（一般設定）", _xlfn.REGEXTEST(C357, "Transceivers Usage"), "トランシーバー使用量（データ転送スレッド数）", _xlfn.REGEXTEST(C357, "Volume Failures"), "ボリューム障害（ディスクエラー）数", _xlfn.REGEXTEST(C357, "Block Count"), "ブロック総数", _xlfn.REGEXTEST(C357, "Audit Failure"), "監査（オーディット）ログの失敗イベント", _xlfn.REGEXTEST(C357, "Web Metric Collection Duration"), "Webメトリック収集の所要時間", _xlfn.REGEXTEST(C357, "Pause Duration"), "一時停止（ポーズ）の所要時間", _xlfn.REGEXTEST(C357, "Fsync Latency"), "Fsync（ディスク同期）のレイテンシ", _xlfn.REGEXTEST(C357, "Free Space Monitoring Absolute"), "空き容量（絶対値）", _xlfn.REGEXTEST(C357, "Free Space Monitoring Percentage"), "空き容量割合（%）", _xlfn.REGEXTEST(C357, "Age Monitoring"), "経過時間の監視", _xlfn.REGEXTEST(C357, "Transactions Monitoring"), "トランザクション数の監視", _xlfn.REGEXTEST(C357, "RPC Latency"), "RPC（遠隔手続き呼出し）のレイテンシ", _xlfn.REGEXTEST(C357, "Directory Failures"), "ディレクトリ障害数", _xlfn.REGEXTEST(C357, "Out-Of-Sync JournalNodes"), "同期ズレが発生しているJournalNode数", _xlfn.REGEXTEST(C357, "Safemode Threshold Percentage"), "セーフモード解除閾値の割合（%）", _xlfn.REGEXTEST(C357, "Kerberos Ticket Renewer Monitoring"), "Kerberosチケット更新プロセスの稼働状態監視", _xlfn.REGEXTEST(C357, "Load Balancer Monitoring"), "ロードバランサーの稼働状態監視", _xlfn.REGEXTEST(C357, "Navigator Audit Failure"), "Cloudera Navigator監査ログの失敗イベント", _xlfn.REGEXTEST(C357, "Schema Registry Server Monitoring"), "Schema Registry Serverの稼働状態監視", _xlfn.REGEXTEST(C357, "SRM Service Monitoring"), "SRMサービスの稼働状態監視", _xlfn.REGEXTEST(C357, "SRM Driver Monitoring"), "SRMドライバーの稼働状態監視", _xlfn.REGEXTEST(C357, "Loggin"), "ログ出力状態・設定監視", _xlfn.REGEXTEST(C357, "Server Monitoring"), "サーバーの稼働状態監視", _xlfn.REGEXTEST(C357, "Server Connection Count"), "サーバーの接続数（コネクション数）", _xlfn.REGEXTEST(C357, "Server Outstanding Requests"), "サーバーの未処理リクエスト数（滞留要求数）", _xlfn.REGEXTEST(C357, "Repository Status"), "リポジトリのステータス状態", _xlfn.REGEXTEST(C357, "Monitor Long Running Task"), "長時間実行タスク（ジョブ）の監視", _xlfn.REGEXTEST(C357, "Token requests per second"), "1秒あたりのトークンリクエスト数（要求レート）", _xlfn.REGEXTEST(C357, "Connection Model Score"), "接続モデルスコア（コネクション品質）", _xlfn.REGEXTEST(C357, "Queue swap"), "キューのスワップ発生状態", _xlfn.REGEXTEST(C357, "NiFi Node Monitoring"), "NiFiノードの稼働状態監視", _xlfn.REGEXTEST(C357, "Host Clock Offset"), "ホストのクロックオフセット（時刻同期のズレ）", _xlfn.REGEXTEST(C357, "Memory Overcommit Validation"), "メモリオーバーコミット設定の検証", _xlfn.REGEXTEST(C357, "Gateway Logging"), "ゲートウェイのログ出力設定", _xlfn.REGEXTEST(C357, "CPU Balance"), "CPU使用率の分散バランス状態", _xlfn.REGEXTEST(C357, "Disk Balance"), "ディスク使用量の分散バランス状態", _xlfn.REGEXTEST(C357, "Network Inbound Balance"), "ネットワークインバウンド（受信）の分散バランス状態", _xlfn.REGEXTEST(C357, "Network Outbound Balance"), "ネットワークアウトバウンド（送信）の分散バランス状態", _xlfn.REGEXTEST(C357, "Replica Count Balance"), "レプリカ数の分散バランス状態", _xlfn.REGEXTEST(C357, "Disk Capacity"), "ディスク総容量の限界・使用容量", _xlfn.REGEXTEST(C357, "CPU Capacity"), "CPU総処理能力の限界・使用量", _xlfn.REGEXTEST(C357, "Network Inbound Capacity"), "ネットワークインバウンド（受信）帯域の限界・使用量", _xlfn.REGEXTEST(C357, "Network Outbound Capacity"), "ネットワークアウトバウンド（送信）帯域の限界・使用量", _xlfn.REGEXTEST(C357, "Leader Replica Count Balance"), "リーダーレプリカ数の分散バランス状態", _xlfn.REGEXTEST(C357, "Host DNS Resolution Duration"), "ホストのDNS名前解決の所要時間", _xlfn.REGEXTEST(C357, "TLS Certificate Expiry"), "TLS証明書の有効期限切れ", _xlfn.REGEXTEST(C357, "Host Entropy"), "ホストのエントロピー（乱数生成能力）の不足", _xlfn.REGEXTEST(C357, "File Descriptor"), "プロセスのファイルディスクリプタ使用率", _xlfn.REGEXTEST(C357, "Unexpected Exits"), "プロセスの異常終了（予期せぬ停止）", _xlfn.REGEXTEST(C357, "Swap Memory Thresholds"), "プロセスのスワップメモリ使用量", _xlfn.REGEXTEST(C357, "Swap Memory Usage Rate"), "スワップメモリ使用量の変化率（増加速度）", _xlfn.REGEXTEST(C357, "Log Directory Free Space.*Absolute"), "ログディレクトリの空き容量（絶対値）", _xlfn.REGEXTEST(C357, "Log Directory Free Space.*Percentage"), "ログディレクトリの空き容量割合（%）", _xlfn.REGEXTEST(C357, "Heap Dump Directory Free Space.*Absolute"), "ヒープダンプディレクトリの空き容量（絶対値）", _xlfn.REGEXTEST(C357, "Heap Dump Directory Free Space.*Percentage"), "ヒープダンプディレクトリの空き容量割合（%）", _xlfn.REGEXTEST(C357, "Data Directory Free Space.*Absolute"), "データディレクトリの空き容量（絶対値）", _xlfn.REGEXTEST(C357, "Data Directory Free Space.*Percentage"), "データディレクトリの空き容量割合（%）", _xlfn.REGEXTEST(C357, "Transaction Log Directory Free Space.*Absolute"), "トランザクションログディレクトリの空き容量（絶対値）", _xlfn.REGEXTEST(C357, "Logging Threshold|Logger Threshold"), "ログ出力レベルの閾値設定", _xlfn.REGEXTEST(C357, "Enable.*Alerts"), "ヘルスアラートの有効化状態", _xlfn.REGEXTEST(C357, "Triggers"), "カスタムアラート条件（トリガー設定）", _xlfn.REGEXTEST(C357, "Healthy Kafka Broker"), "Kafka Brokerの健全ノード割合（稼働率）", _xlfn.REGEXTEST(C357, "Healthy Kafka Connect"), "Kafka Connectの健全ノード割合（稼働率）", _xlfn.REGEXTEST(C357, "Healthy KRaft Controller"), "KRaft Controllerの健全ノード割合（稼働率）", _xlfn.REGEXTEST(C357, "Healthy Knox IDBroker"), "Knox IDBrokerの健全ノード割合（稼働率）", _xlfn.REGEXTEST(C357, "Healthy Knox Gateway"), "Knox Gatewayの健全ノード割合（稼働率）", _xlfn.REGEXTEST(C357, "Healthy ZooKeeper Server"), "ZooKeeper Serverの健全ノード割合（稼働率）", _xlfn.REGEXTEST(C357, "Healthy NodeManager"), "NodeManagerの健全ノード割合（稼働率）", _xlfn.REGEXTEST(C357, "Maximum Latency"), "リクエストの最大レイテンシ（処理遅延）", _xlfn.REGEXTEST(C357, "Garbage Collection Duration"), "Javaのガベージコレクション（GC）の所要時間", _xlfn.REGEXTEST(C357, "Spool Directory Usage"), "Rangerプラグインのスプールディレクトリ使用量", _xlfn.REGEXTEST(C357, "Process Directory Free Space Monitoring Absolute"), "プロセスディレクトリの空き容量（絶対値)", _xlfn.REGEXTEST(C357, "Process Directory Free Space.*Percentage"), "プロセスディレクトリの空き容量割合（%）", _xlfn.REGEXTEST(C357, "Parcel Directory Free Space.*Absolute"), "パーセルディレクトリの空き容量（絶対値）", _xlfn.REGEXTEST(C357, "Parcel Directory Free Space.*Percentage"), "パーセルディレクトリの空き容量割合（%）", _xlfn.REGEXTEST(C357, "Host Network Frame Error Percentage"), "ホストのネットワークフレームエラー割合（%）", _xlfn.REGEXTEST(C357, "Network Interfaces Slow Link Modes"), "ホストのネットワークインターフェースの低速リンクモード検出", _xlfn.REGEXTEST(C357, "Host Memory Swapping"), "ホストのメモリのスワップ発生状態", TRUE, "要手動確認")</f>
        <v>プロセスのファイルディスクリプタ使用率</v>
      </c>
      <c r="H357" s="479" t="s">
        <v>1166</v>
      </c>
    </row>
    <row r="358" spans="1:8" ht="16.899999999999999">
      <c r="A358" s="514"/>
      <c r="B358" s="473"/>
      <c r="C358" s="471" t="s">
        <v>736</v>
      </c>
      <c r="D358" s="471" t="s">
        <v>1175</v>
      </c>
      <c r="E358" s="471" t="s">
        <v>1176</v>
      </c>
      <c r="F358" s="471"/>
      <c r="G358" s="471" t="str" cm="1">
        <f t="array" ref="G358">_xlfn.IFS(C358 = "", "", _xlfn.REGEXTEST(C358, "Service Metric Migrator Minimum Consecutive Successful Checks"), "サービスメトリック移行ツールの連続正常チェック最小回数", _xlfn.REGEXTEST(C358, "Rebalancing"), "リバランシング（データ再配置）状態", _xlfn.REGEXTEST(C358, "Temporary Dump Directory"), "一時ダンプディレクトリの監視", _xlfn.REGEXTEST(C358, "Safemode Extension"), "セーフモード延長状態", _xlfn.REGEXTEST(C358, "Client Idle"), "クライアントのアイドル（待機）状態", _xlfn.REGEXTEST(C358, "Available Space Policy Balanced"), "空き容量ポリシーの分散バランス状態", _xlfn.REGEXTEST(C358, "Filesystem Checkpoint Transaction"), "ファイルシステムのチェックポイントトランザクション", _xlfn.REGEXTEST(C358, "Blocks With Corrupt Replicas Monitoring"), "破損レプリカを持つブロックの監視", _xlfn.REGEXTEST(C358, "Missing Block Monitoring"), "消失（ミッシング）ブロックの監視", _xlfn.REGEXTEST(C358, "Under-replicated Block Monitoring"), "レプリカ数不足ブロックの監視", _xlfn.REGEXTEST(C358, "HDFS Free Space Monitoring"), "HDFSの空き容量監視", _xlfn.REGEXTEST(C358, "DataNode Monitoring"), "DataNodeの稼働状態監視", _xlfn.REGEXTEST(C358, "Rules to Extract Events from Log Files"), "ログファイルからのイベント抽出ルール設定", _xlfn.REGEXTEST(C358, "Free Space Monitoring$"), "空き容量監視（一般設定）", _xlfn.REGEXTEST(C358, "Transceivers Usage"), "トランシーバー使用量（データ転送スレッド数）", _xlfn.REGEXTEST(C358, "Volume Failures"), "ボリューム障害（ディスクエラー）数", _xlfn.REGEXTEST(C358, "Block Count"), "ブロック総数", _xlfn.REGEXTEST(C358, "Audit Failure"), "監査（オーディット）ログの失敗イベント", _xlfn.REGEXTEST(C358, "Web Metric Collection Duration"), "Webメトリック収集の所要時間", _xlfn.REGEXTEST(C358, "Pause Duration"), "一時停止（ポーズ）の所要時間", _xlfn.REGEXTEST(C358, "Fsync Latency"), "Fsync（ディスク同期）のレイテンシ", _xlfn.REGEXTEST(C358, "Free Space Monitoring Absolute"), "空き容量（絶対値）", _xlfn.REGEXTEST(C358, "Free Space Monitoring Percentage"), "空き容量割合（%）", _xlfn.REGEXTEST(C358, "Age Monitoring"), "経過時間の監視", _xlfn.REGEXTEST(C358, "Transactions Monitoring"), "トランザクション数の監視", _xlfn.REGEXTEST(C358, "RPC Latency"), "RPC（遠隔手続き呼出し）のレイテンシ", _xlfn.REGEXTEST(C358, "Directory Failures"), "ディレクトリ障害数", _xlfn.REGEXTEST(C358, "Out-Of-Sync JournalNodes"), "同期ズレが発生しているJournalNode数", _xlfn.REGEXTEST(C358, "Safemode Threshold Percentage"), "セーフモード解除閾値の割合（%）", _xlfn.REGEXTEST(C358, "Kerberos Ticket Renewer Monitoring"), "Kerberosチケット更新プロセスの稼働状態監視", _xlfn.REGEXTEST(C358, "Load Balancer Monitoring"), "ロードバランサーの稼働状態監視", _xlfn.REGEXTEST(C358, "Navigator Audit Failure"), "Cloudera Navigator監査ログの失敗イベント", _xlfn.REGEXTEST(C358, "Schema Registry Server Monitoring"), "Schema Registry Serverの稼働状態監視", _xlfn.REGEXTEST(C358, "SRM Service Monitoring"), "SRMサービスの稼働状態監視", _xlfn.REGEXTEST(C358, "SRM Driver Monitoring"), "SRMドライバーの稼働状態監視", _xlfn.REGEXTEST(C358, "Loggin"), "ログ出力状態・設定監視", _xlfn.REGEXTEST(C358, "Server Monitoring"), "サーバーの稼働状態監視", _xlfn.REGEXTEST(C358, "Server Connection Count"), "サーバーの接続数（コネクション数）", _xlfn.REGEXTEST(C358, "Server Outstanding Requests"), "サーバーの未処理リクエスト数（滞留要求数）", _xlfn.REGEXTEST(C358, "Repository Status"), "リポジトリのステータス状態", _xlfn.REGEXTEST(C358, "Monitor Long Running Task"), "長時間実行タスク（ジョブ）の監視", _xlfn.REGEXTEST(C358, "Token requests per second"), "1秒あたりのトークンリクエスト数（要求レート）", _xlfn.REGEXTEST(C358, "Connection Model Score"), "接続モデルスコア（コネクション品質）", _xlfn.REGEXTEST(C358, "Queue swap"), "キューのスワップ発生状態", _xlfn.REGEXTEST(C358, "NiFi Node Monitoring"), "NiFiノードの稼働状態監視", _xlfn.REGEXTEST(C358, "Host Clock Offset"), "ホストのクロックオフセット（時刻同期のズレ）", _xlfn.REGEXTEST(C358, "Memory Overcommit Validation"), "メモリオーバーコミット設定の検証", _xlfn.REGEXTEST(C358, "Gateway Logging"), "ゲートウェイのログ出力設定", _xlfn.REGEXTEST(C358, "CPU Balance"), "CPU使用率の分散バランス状態", _xlfn.REGEXTEST(C358, "Disk Balance"), "ディスク使用量の分散バランス状態", _xlfn.REGEXTEST(C358, "Network Inbound Balance"), "ネットワークインバウンド（受信）の分散バランス状態", _xlfn.REGEXTEST(C358, "Network Outbound Balance"), "ネットワークアウトバウンド（送信）の分散バランス状態", _xlfn.REGEXTEST(C358, "Replica Count Balance"), "レプリカ数の分散バランス状態", _xlfn.REGEXTEST(C358, "Disk Capacity"), "ディスク総容量の限界・使用容量", _xlfn.REGEXTEST(C358, "CPU Capacity"), "CPU総処理能力の限界・使用量", _xlfn.REGEXTEST(C358, "Network Inbound Capacity"), "ネットワークインバウンド（受信）帯域の限界・使用量", _xlfn.REGEXTEST(C358, "Network Outbound Capacity"), "ネットワークアウトバウンド（送信）帯域の限界・使用量", _xlfn.REGEXTEST(C358, "Leader Replica Count Balance"), "リーダーレプリカ数の分散バランス状態", _xlfn.REGEXTEST(C358, "Host DNS Resolution Duration"), "ホストのDNS名前解決の所要時間", _xlfn.REGEXTEST(C358, "TLS Certificate Expiry"), "TLS証明書の有効期限切れ", _xlfn.REGEXTEST(C358, "Host Entropy"), "ホストのエントロピー（乱数生成能力）の不足", _xlfn.REGEXTEST(C358, "File Descriptor"), "プロセスのファイルディスクリプタ使用率", _xlfn.REGEXTEST(C358, "Unexpected Exits"), "プロセスの異常終了（予期せぬ停止）", _xlfn.REGEXTEST(C358, "Swap Memory Thresholds"), "プロセスのスワップメモリ使用量", _xlfn.REGEXTEST(C358, "Swap Memory Usage Rate"), "スワップメモリ使用量の変化率（増加速度）", _xlfn.REGEXTEST(C358, "Log Directory Free Space.*Absolute"), "ログディレクトリの空き容量（絶対値）", _xlfn.REGEXTEST(C358, "Log Directory Free Space.*Percentage"), "ログディレクトリの空き容量割合（%）", _xlfn.REGEXTEST(C358, "Heap Dump Directory Free Space.*Absolute"), "ヒープダンプディレクトリの空き容量（絶対値）", _xlfn.REGEXTEST(C358, "Heap Dump Directory Free Space.*Percentage"), "ヒープダンプディレクトリの空き容量割合（%）", _xlfn.REGEXTEST(C358, "Data Directory Free Space.*Absolute"), "データディレクトリの空き容量（絶対値）", _xlfn.REGEXTEST(C358, "Data Directory Free Space.*Percentage"), "データディレクトリの空き容量割合（%）", _xlfn.REGEXTEST(C358, "Transaction Log Directory Free Space.*Absolute"), "トランザクションログディレクトリの空き容量（絶対値）", _xlfn.REGEXTEST(C358, "Logging Threshold|Logger Threshold"), "ログ出力レベルの閾値設定", _xlfn.REGEXTEST(C358, "Enable.*Alerts"), "ヘルスアラートの有効化状態", _xlfn.REGEXTEST(C358, "Triggers"), "カスタムアラート条件（トリガー設定）", _xlfn.REGEXTEST(C358, "Healthy Kafka Broker"), "Kafka Brokerの健全ノード割合（稼働率）", _xlfn.REGEXTEST(C358, "Healthy Kafka Connect"), "Kafka Connectの健全ノード割合（稼働率）", _xlfn.REGEXTEST(C358, "Healthy KRaft Controller"), "KRaft Controllerの健全ノード割合（稼働率）", _xlfn.REGEXTEST(C358, "Healthy Knox IDBroker"), "Knox IDBrokerの健全ノード割合（稼働率）", _xlfn.REGEXTEST(C358, "Healthy Knox Gateway"), "Knox Gatewayの健全ノード割合（稼働率）", _xlfn.REGEXTEST(C358, "Healthy ZooKeeper Server"), "ZooKeeper Serverの健全ノード割合（稼働率）", _xlfn.REGEXTEST(C358, "Healthy NodeManager"), "NodeManagerの健全ノード割合（稼働率）", _xlfn.REGEXTEST(C358, "Maximum Latency"), "リクエストの最大レイテンシ（処理遅延）", _xlfn.REGEXTEST(C358, "Garbage Collection Duration"), "Javaのガベージコレクション（GC）の所要時間", _xlfn.REGEXTEST(C358, "Spool Directory Usage"), "Rangerプラグインのスプールディレクトリ使用量", _xlfn.REGEXTEST(C358, "Process Directory Free Space Monitoring Absolute"), "プロセスディレクトリの空き容量（絶対値)", _xlfn.REGEXTEST(C358, "Process Directory Free Space.*Percentage"), "プロセスディレクトリの空き容量割合（%）", _xlfn.REGEXTEST(C358, "Parcel Directory Free Space.*Absolute"), "パーセルディレクトリの空き容量（絶対値）", _xlfn.REGEXTEST(C358, "Parcel Directory Free Space.*Percentage"), "パーセルディレクトリの空き容量割合（%）", _xlfn.REGEXTEST(C358, "Host Network Frame Error Percentage"), "ホストのネットワークフレームエラー割合（%）", _xlfn.REGEXTEST(C358, "Network Interfaces Slow Link Modes"), "ホストのネットワークインターフェースの低速リンクモード検出", _xlfn.REGEXTEST(C358, "Host Memory Swapping"), "ホストのメモリのスワップ発生状態", TRUE, "要手動確認")</f>
        <v>プロセスのファイルディスクリプタ使用率</v>
      </c>
      <c r="H358" s="479" t="s">
        <v>1166</v>
      </c>
    </row>
    <row r="359" spans="1:8" ht="16.899999999999999">
      <c r="A359" s="514"/>
      <c r="B359" s="470"/>
      <c r="C359" s="471"/>
      <c r="D359" s="471"/>
      <c r="E359" s="471"/>
      <c r="F359" s="471"/>
      <c r="G359" s="471" t="str" cm="1">
        <f t="array" ref="G359">_xlfn.IFS(C359 = "", "", _xlfn.REGEXTEST(C359, "Service Metric Migrator Minimum Consecutive Successful Checks"), "サービスメトリック移行ツールの連続正常チェック最小回数", _xlfn.REGEXTEST(C359, "Rebalancing"), "リバランシング（データ再配置）状態", _xlfn.REGEXTEST(C359, "Temporary Dump Directory"), "一時ダンプディレクトリの監視", _xlfn.REGEXTEST(C359, "Safemode Extension"), "セーフモード延長状態", _xlfn.REGEXTEST(C359, "Client Idle"), "クライアントのアイドル（待機）状態", _xlfn.REGEXTEST(C359, "Available Space Policy Balanced"), "空き容量ポリシーの分散バランス状態", _xlfn.REGEXTEST(C359, "Filesystem Checkpoint Transaction"), "ファイルシステムのチェックポイントトランザクション", _xlfn.REGEXTEST(C359, "Blocks With Corrupt Replicas Monitoring"), "破損レプリカを持つブロックの監視", _xlfn.REGEXTEST(C359, "Missing Block Monitoring"), "消失（ミッシング）ブロックの監視", _xlfn.REGEXTEST(C359, "Under-replicated Block Monitoring"), "レプリカ数不足ブロックの監視", _xlfn.REGEXTEST(C359, "HDFS Free Space Monitoring"), "HDFSの空き容量監視", _xlfn.REGEXTEST(C359, "DataNode Monitoring"), "DataNodeの稼働状態監視", _xlfn.REGEXTEST(C359, "Rules to Extract Events from Log Files"), "ログファイルからのイベント抽出ルール設定", _xlfn.REGEXTEST(C359, "Free Space Monitoring$"), "空き容量監視（一般設定）", _xlfn.REGEXTEST(C359, "Transceivers Usage"), "トランシーバー使用量（データ転送スレッド数）", _xlfn.REGEXTEST(C359, "Volume Failures"), "ボリューム障害（ディスクエラー）数", _xlfn.REGEXTEST(C359, "Block Count"), "ブロック総数", _xlfn.REGEXTEST(C359, "Audit Failure"), "監査（オーディット）ログの失敗イベント", _xlfn.REGEXTEST(C359, "Web Metric Collection Duration"), "Webメトリック収集の所要時間", _xlfn.REGEXTEST(C359, "Pause Duration"), "一時停止（ポーズ）の所要時間", _xlfn.REGEXTEST(C359, "Fsync Latency"), "Fsync（ディスク同期）のレイテンシ", _xlfn.REGEXTEST(C359, "Free Space Monitoring Absolute"), "空き容量（絶対値）", _xlfn.REGEXTEST(C359, "Free Space Monitoring Percentage"), "空き容量割合（%）", _xlfn.REGEXTEST(C359, "Age Monitoring"), "経過時間の監視", _xlfn.REGEXTEST(C359, "Transactions Monitoring"), "トランザクション数の監視", _xlfn.REGEXTEST(C359, "RPC Latency"), "RPC（遠隔手続き呼出し）のレイテンシ", _xlfn.REGEXTEST(C359, "Directory Failures"), "ディレクトリ障害数", _xlfn.REGEXTEST(C359, "Out-Of-Sync JournalNodes"), "同期ズレが発生しているJournalNode数", _xlfn.REGEXTEST(C359, "Safemode Threshold Percentage"), "セーフモード解除閾値の割合（%）", _xlfn.REGEXTEST(C359, "Kerberos Ticket Renewer Monitoring"), "Kerberosチケット更新プロセスの稼働状態監視", _xlfn.REGEXTEST(C359, "Load Balancer Monitoring"), "ロードバランサーの稼働状態監視", _xlfn.REGEXTEST(C359, "Navigator Audit Failure"), "Cloudera Navigator監査ログの失敗イベント", _xlfn.REGEXTEST(C359, "Schema Registry Server Monitoring"), "Schema Registry Serverの稼働状態監視", _xlfn.REGEXTEST(C359, "SRM Service Monitoring"), "SRMサービスの稼働状態監視", _xlfn.REGEXTEST(C359, "SRM Driver Monitoring"), "SRMドライバーの稼働状態監視", _xlfn.REGEXTEST(C359, "Loggin"), "ログ出力状態・設定監視", _xlfn.REGEXTEST(C359, "Server Monitoring"), "サーバーの稼働状態監視", _xlfn.REGEXTEST(C359, "Server Connection Count"), "サーバーの接続数（コネクション数）", _xlfn.REGEXTEST(C359, "Server Outstanding Requests"), "サーバーの未処理リクエスト数（滞留要求数）", _xlfn.REGEXTEST(C359, "Repository Status"), "リポジトリのステータス状態", _xlfn.REGEXTEST(C359, "Monitor Long Running Task"), "長時間実行タスク（ジョブ）の監視", _xlfn.REGEXTEST(C359, "Token requests per second"), "1秒あたりのトークンリクエスト数（要求レート）", _xlfn.REGEXTEST(C359, "Connection Model Score"), "接続モデルスコア（コネクション品質）", _xlfn.REGEXTEST(C359, "Queue swap"), "キューのスワップ発生状態", _xlfn.REGEXTEST(C359, "NiFi Node Monitoring"), "NiFiノードの稼働状態監視", _xlfn.REGEXTEST(C359, "Host Clock Offset"), "ホストのクロックオフセット（時刻同期のズレ）", _xlfn.REGEXTEST(C359, "Memory Overcommit Validation"), "メモリオーバーコミット設定の検証", _xlfn.REGEXTEST(C359, "Gateway Logging"), "ゲートウェイのログ出力設定", _xlfn.REGEXTEST(C359, "CPU Balance"), "CPU使用率の分散バランス状態", _xlfn.REGEXTEST(C359, "Disk Balance"), "ディスク使用量の分散バランス状態", _xlfn.REGEXTEST(C359, "Network Inbound Balance"), "ネットワークインバウンド（受信）の分散バランス状態", _xlfn.REGEXTEST(C359, "Network Outbound Balance"), "ネットワークアウトバウンド（送信）の分散バランス状態", _xlfn.REGEXTEST(C359, "Replica Count Balance"), "レプリカ数の分散バランス状態", _xlfn.REGEXTEST(C359, "Disk Capacity"), "ディスク総容量の限界・使用容量", _xlfn.REGEXTEST(C359, "CPU Capacity"), "CPU総処理能力の限界・使用量", _xlfn.REGEXTEST(C359, "Network Inbound Capacity"), "ネットワークインバウンド（受信）帯域の限界・使用量", _xlfn.REGEXTEST(C359, "Network Outbound Capacity"), "ネットワークアウトバウンド（送信）帯域の限界・使用量", _xlfn.REGEXTEST(C359, "Leader Replica Count Balance"), "リーダーレプリカ数の分散バランス状態", _xlfn.REGEXTEST(C359, "Host DNS Resolution Duration"), "ホストのDNS名前解決の所要時間", _xlfn.REGEXTEST(C359, "TLS Certificate Expiry"), "TLS証明書の有効期限切れ", _xlfn.REGEXTEST(C359, "Host Entropy"), "ホストのエントロピー（乱数生成能力）の不足", _xlfn.REGEXTEST(C359, "File Descriptor"), "プロセスのファイルディスクリプタ使用率", _xlfn.REGEXTEST(C359, "Unexpected Exits"), "プロセスの異常終了（予期せぬ停止）", _xlfn.REGEXTEST(C359, "Swap Memory Thresholds"), "プロセスのスワップメモリ使用量", _xlfn.REGEXTEST(C359, "Swap Memory Usage Rate"), "スワップメモリ使用量の変化率（増加速度）", _xlfn.REGEXTEST(C359, "Log Directory Free Space.*Absolute"), "ログディレクトリの空き容量（絶対値）", _xlfn.REGEXTEST(C359, "Log Directory Free Space.*Percentage"), "ログディレクトリの空き容量割合（%）", _xlfn.REGEXTEST(C359, "Heap Dump Directory Free Space.*Absolute"), "ヒープダンプディレクトリの空き容量（絶対値）", _xlfn.REGEXTEST(C359, "Heap Dump Directory Free Space.*Percentage"), "ヒープダンプディレクトリの空き容量割合（%）", _xlfn.REGEXTEST(C359, "Data Directory Free Space.*Absolute"), "データディレクトリの空き容量（絶対値）", _xlfn.REGEXTEST(C359, "Data Directory Free Space.*Percentage"), "データディレクトリの空き容量割合（%）", _xlfn.REGEXTEST(C359, "Transaction Log Directory Free Space.*Absolute"), "トランザクションログディレクトリの空き容量（絶対値）", _xlfn.REGEXTEST(C359, "Logging Threshold|Logger Threshold"), "ログ出力レベルの閾値設定", _xlfn.REGEXTEST(C359, "Enable.*Alerts"), "ヘルスアラートの有効化状態", _xlfn.REGEXTEST(C359, "Triggers"), "カスタムアラート条件（トリガー設定）", _xlfn.REGEXTEST(C359, "Healthy Kafka Broker"), "Kafka Brokerの健全ノード割合（稼働率）", _xlfn.REGEXTEST(C359, "Healthy Kafka Connect"), "Kafka Connectの健全ノード割合（稼働率）", _xlfn.REGEXTEST(C359, "Healthy KRaft Controller"), "KRaft Controllerの健全ノード割合（稼働率）", _xlfn.REGEXTEST(C359, "Healthy Knox IDBroker"), "Knox IDBrokerの健全ノード割合（稼働率）", _xlfn.REGEXTEST(C359, "Healthy Knox Gateway"), "Knox Gatewayの健全ノード割合（稼働率）", _xlfn.REGEXTEST(C359, "Healthy ZooKeeper Server"), "ZooKeeper Serverの健全ノード割合（稼働率）", _xlfn.REGEXTEST(C359, "Healthy NodeManager"), "NodeManagerの健全ノード割合（稼働率）", _xlfn.REGEXTEST(C359, "Maximum Latency"), "リクエストの最大レイテンシ（処理遅延）", _xlfn.REGEXTEST(C359, "Garbage Collection Duration"), "Javaのガベージコレクション（GC）の所要時間", _xlfn.REGEXTEST(C359, "Spool Directory Usage"), "Rangerプラグインのスプールディレクトリ使用量", _xlfn.REGEXTEST(C359, "Process Directory Free Space Monitoring Absolute"), "プロセスディレクトリの空き容量（絶対値)", _xlfn.REGEXTEST(C359, "Process Directory Free Space.*Percentage"), "プロセスディレクトリの空き容量割合（%）", _xlfn.REGEXTEST(C359, "Parcel Directory Free Space.*Absolute"), "パーセルディレクトリの空き容量（絶対値）", _xlfn.REGEXTEST(C359, "Parcel Directory Free Space.*Percentage"), "パーセルディレクトリの空き容量割合（%）", _xlfn.REGEXTEST(C359, "Host Network Frame Error Percentage"), "ホストのネットワークフレームエラー割合（%）", _xlfn.REGEXTEST(C359, "Network Interfaces Slow Link Modes"), "ホストのネットワークインターフェースの低速リンクモード検出", _xlfn.REGEXTEST(C359, "Host Memory Swapping"), "ホストのメモリのスワップ発生状態", TRUE, "要手動確認")</f>
        <v/>
      </c>
      <c r="H359" s="479"/>
    </row>
    <row r="360" spans="1:8" ht="117.6">
      <c r="A360" s="514"/>
      <c r="B360" s="472" t="s">
        <v>1177</v>
      </c>
      <c r="C360" s="471" t="s">
        <v>1178</v>
      </c>
      <c r="D360" s="471" t="s">
        <v>1179</v>
      </c>
      <c r="E360" s="471" t="s">
        <v>1180</v>
      </c>
      <c r="F360" s="471"/>
      <c r="G360" s="471" t="s">
        <v>1181</v>
      </c>
      <c r="H360" s="479" t="s">
        <v>1182</v>
      </c>
    </row>
    <row r="361" spans="1:8" ht="67.150000000000006">
      <c r="A361" s="514"/>
      <c r="B361" s="473"/>
      <c r="C361" s="471" t="s">
        <v>1183</v>
      </c>
      <c r="D361" s="471" t="s">
        <v>1184</v>
      </c>
      <c r="E361" s="471" t="s">
        <v>1180</v>
      </c>
      <c r="F361" s="471"/>
      <c r="G361" s="471" t="s">
        <v>1185</v>
      </c>
      <c r="H361" s="479" t="s">
        <v>1186</v>
      </c>
    </row>
    <row r="362" spans="1:8" ht="16.899999999999999">
      <c r="A362" s="514"/>
      <c r="B362" s="473"/>
      <c r="C362" s="471" t="s">
        <v>1187</v>
      </c>
      <c r="D362" s="471" t="s">
        <v>772</v>
      </c>
      <c r="E362" s="471" t="s">
        <v>1188</v>
      </c>
      <c r="F362" s="471"/>
      <c r="G362" s="471" t="s">
        <v>1189</v>
      </c>
      <c r="H362" s="479" t="s">
        <v>775</v>
      </c>
    </row>
    <row r="363" spans="1:8" ht="16.899999999999999">
      <c r="A363" s="514"/>
      <c r="B363" s="473"/>
      <c r="C363" s="471" t="s">
        <v>1190</v>
      </c>
      <c r="D363" s="471" t="s">
        <v>1191</v>
      </c>
      <c r="E363" s="471" t="s">
        <v>1188</v>
      </c>
      <c r="F363" s="471"/>
      <c r="G363" s="471" t="s">
        <v>1192</v>
      </c>
      <c r="H363" s="479">
        <v>1</v>
      </c>
    </row>
    <row r="364" spans="1:8" ht="16.899999999999999">
      <c r="A364" s="514"/>
      <c r="B364" s="473"/>
      <c r="C364" s="471" t="s">
        <v>1193</v>
      </c>
      <c r="D364" s="471" t="s">
        <v>772</v>
      </c>
      <c r="E364" s="471" t="s">
        <v>1194</v>
      </c>
      <c r="F364" s="471"/>
      <c r="G364" s="471" t="s">
        <v>1189</v>
      </c>
      <c r="H364" s="479" t="s">
        <v>775</v>
      </c>
    </row>
    <row r="365" spans="1:8" ht="16.899999999999999">
      <c r="A365" s="514"/>
      <c r="B365" s="473"/>
      <c r="C365" s="471" t="s">
        <v>1195</v>
      </c>
      <c r="D365" s="471" t="s">
        <v>1191</v>
      </c>
      <c r="E365" s="471" t="s">
        <v>1194</v>
      </c>
      <c r="F365" s="471"/>
      <c r="G365" s="471" t="s">
        <v>1196</v>
      </c>
      <c r="H365" s="479">
        <v>1</v>
      </c>
    </row>
    <row r="366" spans="1:8" ht="16.899999999999999">
      <c r="A366" s="514"/>
      <c r="B366" s="473"/>
      <c r="C366" s="471" t="s">
        <v>1197</v>
      </c>
      <c r="D366" s="471" t="s">
        <v>772</v>
      </c>
      <c r="E366" s="471" t="s">
        <v>1198</v>
      </c>
      <c r="F366" s="471"/>
      <c r="G366" s="471" t="s">
        <v>1189</v>
      </c>
      <c r="H366" s="479" t="s">
        <v>775</v>
      </c>
    </row>
    <row r="367" spans="1:8" ht="16.899999999999999">
      <c r="A367" s="514"/>
      <c r="B367" s="473"/>
      <c r="C367" s="471" t="s">
        <v>1199</v>
      </c>
      <c r="D367" s="471" t="s">
        <v>1191</v>
      </c>
      <c r="E367" s="471" t="s">
        <v>1198</v>
      </c>
      <c r="F367" s="471"/>
      <c r="G367" s="471" t="s">
        <v>1196</v>
      </c>
      <c r="H367" s="479">
        <v>1</v>
      </c>
    </row>
    <row r="368" spans="1:8" ht="33.6">
      <c r="A368" s="514"/>
      <c r="B368" s="473"/>
      <c r="C368" s="471" t="s">
        <v>1200</v>
      </c>
      <c r="D368" s="471" t="s">
        <v>1201</v>
      </c>
      <c r="E368" s="471" t="s">
        <v>1180</v>
      </c>
      <c r="F368" s="471"/>
      <c r="G368" s="471" t="s">
        <v>1202</v>
      </c>
      <c r="H368" s="479" t="s">
        <v>1082</v>
      </c>
    </row>
    <row r="369" spans="1:8" ht="33.6">
      <c r="A369" s="514"/>
      <c r="B369" s="473"/>
      <c r="C369" s="471" t="s">
        <v>1203</v>
      </c>
      <c r="D369" s="471" t="s">
        <v>1204</v>
      </c>
      <c r="E369" s="471" t="s">
        <v>1180</v>
      </c>
      <c r="F369" s="471"/>
      <c r="G369" s="471" t="s">
        <v>1202</v>
      </c>
      <c r="H369" s="479" t="s">
        <v>807</v>
      </c>
    </row>
    <row r="370" spans="1:8" ht="33.6">
      <c r="A370" s="514"/>
      <c r="B370" s="473"/>
      <c r="C370" s="471" t="s">
        <v>1205</v>
      </c>
      <c r="D370" s="471" t="s">
        <v>1206</v>
      </c>
      <c r="E370" s="471" t="s">
        <v>1180</v>
      </c>
      <c r="F370" s="471"/>
      <c r="G370" s="471" t="s">
        <v>1207</v>
      </c>
      <c r="H370" s="479" t="s">
        <v>1208</v>
      </c>
    </row>
    <row r="371" spans="1:8" ht="33.6">
      <c r="A371" s="514"/>
      <c r="B371" s="473"/>
      <c r="C371" s="471" t="s">
        <v>1209</v>
      </c>
      <c r="D371" s="471" t="s">
        <v>1210</v>
      </c>
      <c r="E371" s="471" t="s">
        <v>1180</v>
      </c>
      <c r="F371" s="471"/>
      <c r="G371" s="471" t="s">
        <v>1202</v>
      </c>
      <c r="H371" s="479" t="s">
        <v>1208</v>
      </c>
    </row>
    <row r="372" spans="1:8" ht="33.6">
      <c r="A372" s="514"/>
      <c r="B372" s="473"/>
      <c r="C372" s="471" t="s">
        <v>1096</v>
      </c>
      <c r="D372" s="471" t="s">
        <v>1097</v>
      </c>
      <c r="E372" s="471" t="s">
        <v>1211</v>
      </c>
      <c r="F372" s="471"/>
      <c r="G372" s="471" t="s">
        <v>1212</v>
      </c>
      <c r="H372" s="479" t="s">
        <v>818</v>
      </c>
    </row>
    <row r="373" spans="1:8" ht="33.6">
      <c r="A373" s="514"/>
      <c r="B373" s="473"/>
      <c r="C373" s="471" t="s">
        <v>736</v>
      </c>
      <c r="D373" s="471" t="s">
        <v>1213</v>
      </c>
      <c r="E373" s="471" t="s">
        <v>1188</v>
      </c>
      <c r="F373" s="471"/>
      <c r="G373" s="471" t="s">
        <v>1214</v>
      </c>
      <c r="H373" s="479" t="s">
        <v>813</v>
      </c>
    </row>
    <row r="374" spans="1:8" ht="33.6">
      <c r="A374" s="514"/>
      <c r="B374" s="473"/>
      <c r="C374" s="471" t="s">
        <v>741</v>
      </c>
      <c r="D374" s="471" t="s">
        <v>742</v>
      </c>
      <c r="E374" s="471" t="s">
        <v>1211</v>
      </c>
      <c r="F374" s="471"/>
      <c r="G374" s="471" t="s">
        <v>1215</v>
      </c>
      <c r="H374" s="479" t="s">
        <v>692</v>
      </c>
    </row>
    <row r="375" spans="1:8" ht="33.6">
      <c r="A375" s="514"/>
      <c r="B375" s="473"/>
      <c r="C375" s="471" t="s">
        <v>746</v>
      </c>
      <c r="D375" s="471" t="s">
        <v>747</v>
      </c>
      <c r="E375" s="471" t="s">
        <v>1211</v>
      </c>
      <c r="F375" s="471"/>
      <c r="G375" s="471" t="s">
        <v>1216</v>
      </c>
      <c r="H375" s="479" t="s">
        <v>689</v>
      </c>
    </row>
    <row r="376" spans="1:8" ht="33.6">
      <c r="A376" s="514"/>
      <c r="B376" s="473"/>
      <c r="C376" s="471" t="s">
        <v>814</v>
      </c>
      <c r="D376" s="471" t="s">
        <v>815</v>
      </c>
      <c r="E376" s="471" t="s">
        <v>1211</v>
      </c>
      <c r="F376" s="471"/>
      <c r="G376" s="471" t="s">
        <v>1215</v>
      </c>
      <c r="H376" s="479" t="s">
        <v>692</v>
      </c>
    </row>
    <row r="377" spans="1:8" ht="33.6">
      <c r="A377" s="514"/>
      <c r="B377" s="473"/>
      <c r="C377" s="471" t="s">
        <v>816</v>
      </c>
      <c r="D377" s="471" t="s">
        <v>817</v>
      </c>
      <c r="E377" s="471" t="s">
        <v>1211</v>
      </c>
      <c r="F377" s="471"/>
      <c r="G377" s="471" t="s">
        <v>1216</v>
      </c>
      <c r="H377" s="479" t="s">
        <v>689</v>
      </c>
    </row>
    <row r="378" spans="1:8" ht="33.6">
      <c r="A378" s="514"/>
      <c r="B378" s="473"/>
      <c r="C378" s="471" t="s">
        <v>749</v>
      </c>
      <c r="D378" s="471" t="s">
        <v>750</v>
      </c>
      <c r="E378" s="471" t="s">
        <v>1211</v>
      </c>
      <c r="F378" s="471"/>
      <c r="G378" s="471" t="s">
        <v>1217</v>
      </c>
      <c r="H378" s="479" t="s">
        <v>818</v>
      </c>
    </row>
    <row r="379" spans="1:8" ht="33.6">
      <c r="A379" s="514"/>
      <c r="B379" s="473"/>
      <c r="C379" s="471" t="s">
        <v>755</v>
      </c>
      <c r="D379" s="471" t="s">
        <v>756</v>
      </c>
      <c r="E379" s="471" t="s">
        <v>1188</v>
      </c>
      <c r="F379" s="471"/>
      <c r="G379" s="471" t="s">
        <v>1218</v>
      </c>
      <c r="H379" s="479" t="s">
        <v>819</v>
      </c>
    </row>
    <row r="380" spans="1:8" ht="33.6">
      <c r="A380" s="514"/>
      <c r="B380" s="473"/>
      <c r="C380" s="471" t="s">
        <v>758</v>
      </c>
      <c r="D380" s="471" t="s">
        <v>759</v>
      </c>
      <c r="E380" s="471" t="s">
        <v>1211</v>
      </c>
      <c r="F380" s="471"/>
      <c r="G380" s="471" t="s">
        <v>1219</v>
      </c>
      <c r="H380" s="479" t="s">
        <v>689</v>
      </c>
    </row>
    <row r="381" spans="1:8" ht="33.6">
      <c r="A381" s="514"/>
      <c r="B381" s="473"/>
      <c r="C381" s="471" t="s">
        <v>1170</v>
      </c>
      <c r="D381" s="471" t="s">
        <v>1220</v>
      </c>
      <c r="E381" s="471" t="s">
        <v>1188</v>
      </c>
      <c r="F381" s="471"/>
      <c r="G381" s="471" t="s">
        <v>1221</v>
      </c>
      <c r="H381" s="479" t="s">
        <v>1101</v>
      </c>
    </row>
    <row r="382" spans="1:8" ht="33.6">
      <c r="A382" s="514"/>
      <c r="B382" s="473"/>
      <c r="C382" s="471" t="s">
        <v>1222</v>
      </c>
      <c r="D382" s="471" t="s">
        <v>1223</v>
      </c>
      <c r="E382" s="471" t="s">
        <v>1211</v>
      </c>
      <c r="F382" s="471"/>
      <c r="G382" s="471" t="s">
        <v>1224</v>
      </c>
      <c r="H382" s="479" t="s">
        <v>689</v>
      </c>
    </row>
    <row r="383" spans="1:8" ht="33.6">
      <c r="A383" s="514"/>
      <c r="B383" s="473"/>
      <c r="C383" s="471" t="s">
        <v>1225</v>
      </c>
      <c r="D383" s="471" t="s">
        <v>764</v>
      </c>
      <c r="E383" s="471" t="s">
        <v>1188</v>
      </c>
      <c r="F383" s="471"/>
      <c r="G383" s="471" t="s">
        <v>1226</v>
      </c>
      <c r="H383" s="479" t="s">
        <v>867</v>
      </c>
    </row>
    <row r="384" spans="1:8" ht="33.6">
      <c r="A384" s="514"/>
      <c r="B384" s="473"/>
      <c r="C384" s="471" t="s">
        <v>1227</v>
      </c>
      <c r="D384" s="471" t="s">
        <v>1228</v>
      </c>
      <c r="E384" s="471" t="s">
        <v>1194</v>
      </c>
      <c r="F384" s="471"/>
      <c r="G384" s="471" t="s">
        <v>1229</v>
      </c>
      <c r="H384" s="479" t="s">
        <v>1230</v>
      </c>
    </row>
    <row r="385" spans="1:8" ht="33.6">
      <c r="A385" s="514"/>
      <c r="B385" s="473"/>
      <c r="C385" s="471" t="s">
        <v>1231</v>
      </c>
      <c r="D385" s="471" t="s">
        <v>1232</v>
      </c>
      <c r="E385" s="471" t="s">
        <v>1194</v>
      </c>
      <c r="F385" s="471"/>
      <c r="G385" s="471" t="s">
        <v>1233</v>
      </c>
      <c r="H385" s="479" t="s">
        <v>818</v>
      </c>
    </row>
    <row r="386" spans="1:8" ht="33.6">
      <c r="A386" s="514"/>
      <c r="B386" s="473"/>
      <c r="C386" s="471" t="s">
        <v>736</v>
      </c>
      <c r="D386" s="471" t="s">
        <v>1234</v>
      </c>
      <c r="E386" s="471" t="s">
        <v>1194</v>
      </c>
      <c r="F386" s="471"/>
      <c r="G386" s="471" t="s">
        <v>1214</v>
      </c>
      <c r="H386" s="479" t="s">
        <v>813</v>
      </c>
    </row>
    <row r="387" spans="1:8" ht="33.6">
      <c r="A387" s="514"/>
      <c r="B387" s="473"/>
      <c r="C387" s="471" t="s">
        <v>1170</v>
      </c>
      <c r="D387" s="471" t="s">
        <v>1235</v>
      </c>
      <c r="E387" s="471" t="s">
        <v>1194</v>
      </c>
      <c r="F387" s="471"/>
      <c r="G387" s="471" t="s">
        <v>1221</v>
      </c>
      <c r="H387" s="479" t="s">
        <v>1101</v>
      </c>
    </row>
    <row r="388" spans="1:8" ht="33.6">
      <c r="A388" s="514"/>
      <c r="B388" s="473"/>
      <c r="C388" s="471" t="s">
        <v>1102</v>
      </c>
      <c r="D388" s="471" t="s">
        <v>1236</v>
      </c>
      <c r="E388" s="471" t="s">
        <v>1194</v>
      </c>
      <c r="F388" s="471"/>
      <c r="G388" s="471" t="s">
        <v>1237</v>
      </c>
      <c r="H388" s="479" t="s">
        <v>822</v>
      </c>
    </row>
    <row r="389" spans="1:8" ht="33.6">
      <c r="A389" s="514"/>
      <c r="B389" s="473"/>
      <c r="C389" s="471" t="s">
        <v>1238</v>
      </c>
      <c r="D389" s="471" t="s">
        <v>764</v>
      </c>
      <c r="E389" s="471" t="s">
        <v>1194</v>
      </c>
      <c r="F389" s="471"/>
      <c r="G389" s="471" t="s">
        <v>1226</v>
      </c>
      <c r="H389" s="479" t="s">
        <v>867</v>
      </c>
    </row>
    <row r="390" spans="1:8" ht="33.6">
      <c r="A390" s="514"/>
      <c r="B390" s="473"/>
      <c r="C390" s="471" t="s">
        <v>1239</v>
      </c>
      <c r="D390" s="471" t="s">
        <v>1240</v>
      </c>
      <c r="E390" s="471" t="s">
        <v>1194</v>
      </c>
      <c r="F390" s="471"/>
      <c r="G390" s="471" t="s">
        <v>1215</v>
      </c>
      <c r="H390" s="479" t="s">
        <v>692</v>
      </c>
    </row>
    <row r="391" spans="1:8" ht="33.6">
      <c r="A391" s="514"/>
      <c r="B391" s="473"/>
      <c r="C391" s="471" t="s">
        <v>1241</v>
      </c>
      <c r="D391" s="471" t="s">
        <v>1242</v>
      </c>
      <c r="E391" s="471" t="s">
        <v>1194</v>
      </c>
      <c r="F391" s="471"/>
      <c r="G391" s="471" t="s">
        <v>1216</v>
      </c>
      <c r="H391" s="479" t="s">
        <v>689</v>
      </c>
    </row>
    <row r="392" spans="1:8" ht="33.6">
      <c r="A392" s="514"/>
      <c r="B392" s="473"/>
      <c r="C392" s="471" t="s">
        <v>736</v>
      </c>
      <c r="D392" s="471" t="s">
        <v>1243</v>
      </c>
      <c r="E392" s="471" t="s">
        <v>1198</v>
      </c>
      <c r="F392" s="471"/>
      <c r="G392" s="471" t="s">
        <v>1214</v>
      </c>
      <c r="H392" s="479" t="s">
        <v>813</v>
      </c>
    </row>
    <row r="393" spans="1:8" ht="33.6">
      <c r="A393" s="514"/>
      <c r="B393" s="473"/>
      <c r="C393" s="471" t="s">
        <v>1170</v>
      </c>
      <c r="D393" s="471" t="s">
        <v>1244</v>
      </c>
      <c r="E393" s="471" t="s">
        <v>1198</v>
      </c>
      <c r="F393" s="471"/>
      <c r="G393" s="471" t="s">
        <v>1221</v>
      </c>
      <c r="H393" s="479" t="s">
        <v>1101</v>
      </c>
    </row>
    <row r="394" spans="1:8" ht="16.899999999999999">
      <c r="A394" s="514"/>
      <c r="B394" s="470"/>
      <c r="C394" s="471"/>
      <c r="D394" s="471"/>
      <c r="E394" s="471"/>
      <c r="F394" s="471"/>
      <c r="G394" s="471" t="s">
        <v>1245</v>
      </c>
      <c r="H394" s="479"/>
    </row>
    <row r="395" spans="1:8" ht="33.6">
      <c r="A395" s="514"/>
      <c r="B395" s="472" t="s">
        <v>1246</v>
      </c>
      <c r="C395" s="471" t="s">
        <v>1247</v>
      </c>
      <c r="D395" s="471" t="s">
        <v>1248</v>
      </c>
      <c r="E395" s="471" t="s">
        <v>1249</v>
      </c>
      <c r="F395" s="471"/>
      <c r="G395" s="471" t="s">
        <v>1202</v>
      </c>
      <c r="H395" s="479" t="s">
        <v>1250</v>
      </c>
    </row>
    <row r="396" spans="1:8" ht="33.6">
      <c r="A396" s="514"/>
      <c r="B396" s="473"/>
      <c r="C396" s="471" t="s">
        <v>1251</v>
      </c>
      <c r="D396" s="471" t="s">
        <v>1252</v>
      </c>
      <c r="E396" s="471" t="s">
        <v>1249</v>
      </c>
      <c r="F396" s="471"/>
      <c r="G396" s="471" t="s">
        <v>1207</v>
      </c>
      <c r="H396" s="479" t="s">
        <v>1253</v>
      </c>
    </row>
    <row r="397" spans="1:8" ht="33.6">
      <c r="A397" s="514"/>
      <c r="B397" s="473"/>
      <c r="C397" s="471" t="s">
        <v>736</v>
      </c>
      <c r="D397" s="471" t="s">
        <v>1254</v>
      </c>
      <c r="E397" s="471" t="s">
        <v>1255</v>
      </c>
      <c r="F397" s="471"/>
      <c r="G397" s="471" t="s">
        <v>1214</v>
      </c>
      <c r="H397" s="479" t="s">
        <v>813</v>
      </c>
    </row>
    <row r="398" spans="1:8" ht="33.6">
      <c r="A398" s="514"/>
      <c r="B398" s="473"/>
      <c r="C398" s="471" t="s">
        <v>741</v>
      </c>
      <c r="D398" s="471" t="s">
        <v>742</v>
      </c>
      <c r="E398" s="471" t="s">
        <v>1256</v>
      </c>
      <c r="F398" s="471"/>
      <c r="G398" s="471" t="s">
        <v>1215</v>
      </c>
      <c r="H398" s="479" t="s">
        <v>692</v>
      </c>
    </row>
    <row r="399" spans="1:8" ht="33.6">
      <c r="A399" s="514"/>
      <c r="B399" s="473"/>
      <c r="C399" s="471" t="s">
        <v>746</v>
      </c>
      <c r="D399" s="471" t="s">
        <v>747</v>
      </c>
      <c r="E399" s="471" t="s">
        <v>1256</v>
      </c>
      <c r="F399" s="471"/>
      <c r="G399" s="471" t="s">
        <v>1216</v>
      </c>
      <c r="H399" s="479" t="s">
        <v>689</v>
      </c>
    </row>
    <row r="400" spans="1:8" ht="33.6">
      <c r="A400" s="514"/>
      <c r="B400" s="473"/>
      <c r="C400" s="471" t="s">
        <v>749</v>
      </c>
      <c r="D400" s="471" t="s">
        <v>750</v>
      </c>
      <c r="E400" s="471" t="s">
        <v>1256</v>
      </c>
      <c r="F400" s="471"/>
      <c r="G400" s="471" t="s">
        <v>1217</v>
      </c>
      <c r="H400" s="479" t="s">
        <v>818</v>
      </c>
    </row>
    <row r="401" spans="1:8" ht="33.6">
      <c r="A401" s="514"/>
      <c r="B401" s="473"/>
      <c r="C401" s="471" t="s">
        <v>755</v>
      </c>
      <c r="D401" s="471" t="s">
        <v>756</v>
      </c>
      <c r="E401" s="471" t="s">
        <v>1256</v>
      </c>
      <c r="F401" s="471"/>
      <c r="G401" s="471" t="s">
        <v>1218</v>
      </c>
      <c r="H401" s="479" t="s">
        <v>819</v>
      </c>
    </row>
    <row r="402" spans="1:8" ht="33.6">
      <c r="A402" s="514"/>
      <c r="B402" s="473"/>
      <c r="C402" s="471" t="s">
        <v>758</v>
      </c>
      <c r="D402" s="471" t="s">
        <v>759</v>
      </c>
      <c r="E402" s="471" t="s">
        <v>1256</v>
      </c>
      <c r="F402" s="471"/>
      <c r="G402" s="471" t="s">
        <v>1219</v>
      </c>
      <c r="H402" s="479" t="s">
        <v>689</v>
      </c>
    </row>
    <row r="403" spans="1:8" ht="33.6">
      <c r="A403" s="514"/>
      <c r="B403" s="473"/>
      <c r="C403" s="471" t="s">
        <v>1257</v>
      </c>
      <c r="D403" s="471" t="s">
        <v>764</v>
      </c>
      <c r="E403" s="471" t="s">
        <v>1255</v>
      </c>
      <c r="F403" s="471"/>
      <c r="G403" s="471" t="s">
        <v>1226</v>
      </c>
      <c r="H403" s="479" t="s">
        <v>867</v>
      </c>
    </row>
    <row r="404" spans="1:8" ht="33.6">
      <c r="A404" s="514"/>
      <c r="B404" s="473"/>
      <c r="C404" s="471" t="s">
        <v>736</v>
      </c>
      <c r="D404" s="471" t="s">
        <v>1258</v>
      </c>
      <c r="E404" s="471" t="s">
        <v>1259</v>
      </c>
      <c r="F404" s="471"/>
      <c r="G404" s="471" t="s">
        <v>1214</v>
      </c>
      <c r="H404" s="479" t="s">
        <v>813</v>
      </c>
    </row>
    <row r="405" spans="1:8" ht="16.899999999999999">
      <c r="A405" s="514"/>
      <c r="B405" s="470"/>
      <c r="C405" s="471"/>
      <c r="D405" s="471"/>
      <c r="E405" s="471"/>
      <c r="F405" s="471"/>
      <c r="G405" s="471" t="s">
        <v>1245</v>
      </c>
      <c r="H405" s="479"/>
    </row>
    <row r="406" spans="1:8" ht="16.899999999999999">
      <c r="A406" s="514"/>
      <c r="B406" s="472" t="s">
        <v>1260</v>
      </c>
      <c r="C406" s="471" t="s">
        <v>1261</v>
      </c>
      <c r="D406" s="471" t="s">
        <v>1262</v>
      </c>
      <c r="E406" s="471" t="s">
        <v>1263</v>
      </c>
      <c r="F406" s="471"/>
      <c r="G406" s="471" t="s">
        <v>1189</v>
      </c>
      <c r="H406" s="479" t="s">
        <v>1264</v>
      </c>
    </row>
    <row r="407" spans="1:8" ht="16.899999999999999">
      <c r="A407" s="514"/>
      <c r="B407" s="473"/>
      <c r="C407" s="471" t="s">
        <v>771</v>
      </c>
      <c r="D407" s="471" t="s">
        <v>772</v>
      </c>
      <c r="E407" s="471" t="s">
        <v>1263</v>
      </c>
      <c r="F407" s="471"/>
      <c r="G407" s="471" t="s">
        <v>1189</v>
      </c>
      <c r="H407" s="479" t="s">
        <v>775</v>
      </c>
    </row>
    <row r="408" spans="1:8" ht="16.899999999999999">
      <c r="A408" s="514"/>
      <c r="B408" s="473"/>
      <c r="C408" s="471" t="s">
        <v>1265</v>
      </c>
      <c r="D408" s="471" t="s">
        <v>772</v>
      </c>
      <c r="E408" s="471" t="s">
        <v>1266</v>
      </c>
      <c r="F408" s="471"/>
      <c r="G408" s="471" t="s">
        <v>1189</v>
      </c>
      <c r="H408" s="479" t="s">
        <v>775</v>
      </c>
    </row>
    <row r="409" spans="1:8" ht="33.6">
      <c r="A409" s="514"/>
      <c r="B409" s="473"/>
      <c r="C409" s="471" t="s">
        <v>1267</v>
      </c>
      <c r="D409" s="471" t="s">
        <v>1268</v>
      </c>
      <c r="E409" s="471" t="s">
        <v>1269</v>
      </c>
      <c r="F409" s="471"/>
      <c r="G409" s="471" t="s">
        <v>1207</v>
      </c>
      <c r="H409" s="479" t="s">
        <v>1270</v>
      </c>
    </row>
    <row r="410" spans="1:8" ht="33.6">
      <c r="A410" s="514"/>
      <c r="B410" s="473"/>
      <c r="C410" s="471" t="s">
        <v>736</v>
      </c>
      <c r="D410" s="471" t="s">
        <v>1271</v>
      </c>
      <c r="E410" s="471" t="s">
        <v>1266</v>
      </c>
      <c r="F410" s="471"/>
      <c r="G410" s="471" t="s">
        <v>1214</v>
      </c>
      <c r="H410" s="479" t="s">
        <v>813</v>
      </c>
    </row>
    <row r="411" spans="1:8" ht="33.6">
      <c r="A411" s="514"/>
      <c r="B411" s="473"/>
      <c r="C411" s="471" t="s">
        <v>741</v>
      </c>
      <c r="D411" s="471" t="s">
        <v>742</v>
      </c>
      <c r="E411" s="471" t="s">
        <v>1266</v>
      </c>
      <c r="F411" s="471"/>
      <c r="G411" s="471" t="s">
        <v>1215</v>
      </c>
      <c r="H411" s="479" t="s">
        <v>692</v>
      </c>
    </row>
    <row r="412" spans="1:8" ht="33.6">
      <c r="A412" s="514"/>
      <c r="B412" s="473"/>
      <c r="C412" s="471" t="s">
        <v>746</v>
      </c>
      <c r="D412" s="471" t="s">
        <v>747</v>
      </c>
      <c r="E412" s="471" t="s">
        <v>1266</v>
      </c>
      <c r="F412" s="471"/>
      <c r="G412" s="471" t="s">
        <v>1216</v>
      </c>
      <c r="H412" s="479" t="s">
        <v>689</v>
      </c>
    </row>
    <row r="413" spans="1:8" ht="33.6">
      <c r="A413" s="514"/>
      <c r="B413" s="473"/>
      <c r="C413" s="471" t="s">
        <v>749</v>
      </c>
      <c r="D413" s="471" t="s">
        <v>750</v>
      </c>
      <c r="E413" s="471" t="s">
        <v>1266</v>
      </c>
      <c r="F413" s="471"/>
      <c r="G413" s="471" t="s">
        <v>1217</v>
      </c>
      <c r="H413" s="479" t="s">
        <v>818</v>
      </c>
    </row>
    <row r="414" spans="1:8" ht="33.6">
      <c r="A414" s="514"/>
      <c r="B414" s="473"/>
      <c r="C414" s="471" t="s">
        <v>755</v>
      </c>
      <c r="D414" s="471" t="s">
        <v>756</v>
      </c>
      <c r="E414" s="471" t="s">
        <v>1266</v>
      </c>
      <c r="F414" s="471"/>
      <c r="G414" s="471" t="s">
        <v>1218</v>
      </c>
      <c r="H414" s="479" t="s">
        <v>819</v>
      </c>
    </row>
    <row r="415" spans="1:8" ht="33.6">
      <c r="A415" s="514"/>
      <c r="B415" s="473"/>
      <c r="C415" s="471" t="s">
        <v>758</v>
      </c>
      <c r="D415" s="471" t="s">
        <v>759</v>
      </c>
      <c r="E415" s="471" t="s">
        <v>1266</v>
      </c>
      <c r="F415" s="471"/>
      <c r="G415" s="471" t="s">
        <v>1219</v>
      </c>
      <c r="H415" s="479" t="s">
        <v>689</v>
      </c>
    </row>
    <row r="416" spans="1:8" ht="16.899999999999999">
      <c r="A416" s="514"/>
      <c r="B416" s="470"/>
      <c r="C416" s="471"/>
      <c r="D416" s="471"/>
      <c r="E416" s="471"/>
      <c r="F416" s="471"/>
      <c r="G416" s="471" t="s">
        <v>1245</v>
      </c>
      <c r="H416" s="479"/>
    </row>
    <row r="417" spans="1:8" ht="33.6">
      <c r="A417" s="514"/>
      <c r="B417" s="472" t="s">
        <v>1272</v>
      </c>
      <c r="C417" s="471" t="s">
        <v>1273</v>
      </c>
      <c r="D417" s="471" t="s">
        <v>1274</v>
      </c>
      <c r="E417" s="471" t="s">
        <v>1275</v>
      </c>
      <c r="F417" s="471"/>
      <c r="G417" s="471" t="s">
        <v>1276</v>
      </c>
      <c r="H417" s="479">
        <v>0.8</v>
      </c>
    </row>
    <row r="418" spans="1:8" ht="134.44999999999999">
      <c r="A418" s="514"/>
      <c r="B418" s="473"/>
      <c r="C418" s="471" t="s">
        <v>1178</v>
      </c>
      <c r="D418" s="471" t="s">
        <v>1277</v>
      </c>
      <c r="E418" s="471" t="s">
        <v>1278</v>
      </c>
      <c r="F418" s="471"/>
      <c r="G418" s="471" t="s">
        <v>1181</v>
      </c>
      <c r="H418" s="479" t="s">
        <v>1279</v>
      </c>
    </row>
    <row r="419" spans="1:8" ht="33.6">
      <c r="A419" s="514"/>
      <c r="B419" s="473"/>
      <c r="C419" s="471" t="s">
        <v>1280</v>
      </c>
      <c r="D419" s="471" t="s">
        <v>1281</v>
      </c>
      <c r="E419" s="471" t="s">
        <v>1282</v>
      </c>
      <c r="F419" s="471"/>
      <c r="G419" s="471" t="s">
        <v>1276</v>
      </c>
      <c r="H419" s="479" t="s">
        <v>714</v>
      </c>
    </row>
    <row r="420" spans="1:8" ht="33.6">
      <c r="A420" s="514"/>
      <c r="B420" s="473"/>
      <c r="C420" s="471" t="s">
        <v>1283</v>
      </c>
      <c r="D420" s="471" t="s">
        <v>1284</v>
      </c>
      <c r="E420" s="471" t="s">
        <v>1282</v>
      </c>
      <c r="F420" s="471"/>
      <c r="G420" s="471" t="s">
        <v>1285</v>
      </c>
      <c r="H420" s="479">
        <v>1</v>
      </c>
    </row>
    <row r="421" spans="1:8" ht="33.6">
      <c r="A421" s="514"/>
      <c r="B421" s="473"/>
      <c r="C421" s="471" t="s">
        <v>1286</v>
      </c>
      <c r="D421" s="471" t="s">
        <v>1287</v>
      </c>
      <c r="E421" s="471" t="s">
        <v>1282</v>
      </c>
      <c r="F421" s="471"/>
      <c r="G421" s="471" t="s">
        <v>1288</v>
      </c>
      <c r="H421" s="479">
        <v>1</v>
      </c>
    </row>
    <row r="422" spans="1:8" ht="16.899999999999999">
      <c r="A422" s="514"/>
      <c r="B422" s="473"/>
      <c r="C422" s="471" t="s">
        <v>771</v>
      </c>
      <c r="D422" s="471" t="s">
        <v>772</v>
      </c>
      <c r="E422" s="471" t="s">
        <v>1263</v>
      </c>
      <c r="F422" s="471"/>
      <c r="G422" s="471" t="s">
        <v>1189</v>
      </c>
      <c r="H422" s="479" t="s">
        <v>775</v>
      </c>
    </row>
    <row r="423" spans="1:8" ht="16.899999999999999">
      <c r="A423" s="514"/>
      <c r="B423" s="473"/>
      <c r="C423" s="471" t="s">
        <v>1289</v>
      </c>
      <c r="D423" s="471" t="s">
        <v>772</v>
      </c>
      <c r="E423" s="471" t="s">
        <v>1290</v>
      </c>
      <c r="F423" s="471"/>
      <c r="G423" s="471" t="s">
        <v>1189</v>
      </c>
      <c r="H423" s="479" t="s">
        <v>775</v>
      </c>
    </row>
    <row r="424" spans="1:8" ht="16.899999999999999">
      <c r="A424" s="514"/>
      <c r="B424" s="473"/>
      <c r="C424" s="471" t="s">
        <v>1291</v>
      </c>
      <c r="D424" s="471" t="s">
        <v>772</v>
      </c>
      <c r="E424" s="471" t="s">
        <v>1282</v>
      </c>
      <c r="F424" s="471"/>
      <c r="G424" s="471" t="s">
        <v>1189</v>
      </c>
      <c r="H424" s="479" t="s">
        <v>775</v>
      </c>
    </row>
    <row r="425" spans="1:8" ht="16.899999999999999">
      <c r="A425" s="514"/>
      <c r="B425" s="473"/>
      <c r="C425" s="471" t="s">
        <v>1292</v>
      </c>
      <c r="D425" s="471" t="s">
        <v>772</v>
      </c>
      <c r="E425" s="471" t="s">
        <v>1275</v>
      </c>
      <c r="F425" s="471"/>
      <c r="G425" s="471" t="s">
        <v>1189</v>
      </c>
      <c r="H425" s="479" t="s">
        <v>775</v>
      </c>
    </row>
    <row r="426" spans="1:8" ht="33.6">
      <c r="A426" s="514"/>
      <c r="B426" s="473"/>
      <c r="C426" s="471" t="s">
        <v>1293</v>
      </c>
      <c r="D426" s="471" t="s">
        <v>1294</v>
      </c>
      <c r="E426" s="471" t="s">
        <v>1278</v>
      </c>
      <c r="F426" s="471"/>
      <c r="G426" s="471" t="s">
        <v>1295</v>
      </c>
      <c r="H426" s="479" t="s">
        <v>1082</v>
      </c>
    </row>
    <row r="427" spans="1:8" ht="33.6">
      <c r="A427" s="514"/>
      <c r="B427" s="473"/>
      <c r="C427" s="471" t="s">
        <v>736</v>
      </c>
      <c r="D427" s="471" t="s">
        <v>1296</v>
      </c>
      <c r="E427" s="471" t="s">
        <v>1290</v>
      </c>
      <c r="F427" s="471"/>
      <c r="G427" s="471" t="s">
        <v>1214</v>
      </c>
      <c r="H427" s="479" t="s">
        <v>813</v>
      </c>
    </row>
    <row r="428" spans="1:8" ht="33.6">
      <c r="A428" s="514"/>
      <c r="B428" s="473"/>
      <c r="C428" s="471" t="s">
        <v>741</v>
      </c>
      <c r="D428" s="471" t="s">
        <v>742</v>
      </c>
      <c r="E428" s="471" t="s">
        <v>1290</v>
      </c>
      <c r="F428" s="471"/>
      <c r="G428" s="471" t="s">
        <v>1215</v>
      </c>
      <c r="H428" s="479" t="s">
        <v>692</v>
      </c>
    </row>
    <row r="429" spans="1:8" ht="33.6">
      <c r="A429" s="514"/>
      <c r="B429" s="473"/>
      <c r="C429" s="471" t="s">
        <v>746</v>
      </c>
      <c r="D429" s="471" t="s">
        <v>747</v>
      </c>
      <c r="E429" s="471" t="s">
        <v>1290</v>
      </c>
      <c r="F429" s="471"/>
      <c r="G429" s="471" t="s">
        <v>1216</v>
      </c>
      <c r="H429" s="479" t="s">
        <v>689</v>
      </c>
    </row>
    <row r="430" spans="1:8" ht="33.6">
      <c r="A430" s="514"/>
      <c r="B430" s="473"/>
      <c r="C430" s="471" t="s">
        <v>814</v>
      </c>
      <c r="D430" s="471" t="s">
        <v>815</v>
      </c>
      <c r="E430" s="471" t="s">
        <v>1290</v>
      </c>
      <c r="F430" s="471"/>
      <c r="G430" s="471" t="s">
        <v>1215</v>
      </c>
      <c r="H430" s="479" t="s">
        <v>692</v>
      </c>
    </row>
    <row r="431" spans="1:8" ht="33.6">
      <c r="A431" s="514"/>
      <c r="B431" s="473"/>
      <c r="C431" s="471" t="s">
        <v>816</v>
      </c>
      <c r="D431" s="471" t="s">
        <v>817</v>
      </c>
      <c r="E431" s="471" t="s">
        <v>1290</v>
      </c>
      <c r="F431" s="471"/>
      <c r="G431" s="471" t="s">
        <v>1216</v>
      </c>
      <c r="H431" s="479" t="s">
        <v>689</v>
      </c>
    </row>
    <row r="432" spans="1:8" ht="33.6">
      <c r="A432" s="514"/>
      <c r="B432" s="473"/>
      <c r="C432" s="471" t="s">
        <v>749</v>
      </c>
      <c r="D432" s="471" t="s">
        <v>750</v>
      </c>
      <c r="E432" s="471" t="s">
        <v>1290</v>
      </c>
      <c r="F432" s="471"/>
      <c r="G432" s="471" t="s">
        <v>1217</v>
      </c>
      <c r="H432" s="479" t="s">
        <v>818</v>
      </c>
    </row>
    <row r="433" spans="1:8" ht="33.6">
      <c r="A433" s="514"/>
      <c r="B433" s="473"/>
      <c r="C433" s="471" t="s">
        <v>755</v>
      </c>
      <c r="D433" s="471" t="s">
        <v>756</v>
      </c>
      <c r="E433" s="471" t="s">
        <v>1290</v>
      </c>
      <c r="F433" s="471"/>
      <c r="G433" s="471" t="s">
        <v>1218</v>
      </c>
      <c r="H433" s="479" t="s">
        <v>819</v>
      </c>
    </row>
    <row r="434" spans="1:8" ht="33.6">
      <c r="A434" s="514"/>
      <c r="B434" s="473"/>
      <c r="C434" s="471" t="s">
        <v>758</v>
      </c>
      <c r="D434" s="471" t="s">
        <v>759</v>
      </c>
      <c r="E434" s="471" t="s">
        <v>1290</v>
      </c>
      <c r="F434" s="471"/>
      <c r="G434" s="471" t="s">
        <v>1219</v>
      </c>
      <c r="H434" s="479" t="s">
        <v>689</v>
      </c>
    </row>
    <row r="435" spans="1:8" ht="33.6">
      <c r="A435" s="514"/>
      <c r="B435" s="473"/>
      <c r="C435" s="471" t="s">
        <v>1170</v>
      </c>
      <c r="D435" s="471" t="s">
        <v>1297</v>
      </c>
      <c r="E435" s="471" t="s">
        <v>1290</v>
      </c>
      <c r="F435" s="471"/>
      <c r="G435" s="471" t="s">
        <v>1221</v>
      </c>
      <c r="H435" s="479" t="s">
        <v>1101</v>
      </c>
    </row>
    <row r="436" spans="1:8" ht="33.6">
      <c r="A436" s="514"/>
      <c r="B436" s="473"/>
      <c r="C436" s="471" t="s">
        <v>820</v>
      </c>
      <c r="D436" s="471" t="s">
        <v>1298</v>
      </c>
      <c r="E436" s="471" t="s">
        <v>1290</v>
      </c>
      <c r="F436" s="471"/>
      <c r="G436" s="471" t="s">
        <v>1299</v>
      </c>
      <c r="H436" s="479" t="s">
        <v>822</v>
      </c>
    </row>
    <row r="437" spans="1:8" ht="33.6">
      <c r="A437" s="514"/>
      <c r="B437" s="473"/>
      <c r="C437" s="471" t="s">
        <v>736</v>
      </c>
      <c r="D437" s="471" t="s">
        <v>1300</v>
      </c>
      <c r="E437" s="471" t="s">
        <v>1282</v>
      </c>
      <c r="F437" s="471"/>
      <c r="G437" s="471" t="s">
        <v>1214</v>
      </c>
      <c r="H437" s="479" t="s">
        <v>813</v>
      </c>
    </row>
    <row r="438" spans="1:8" ht="33.6">
      <c r="A438" s="514"/>
      <c r="B438" s="473"/>
      <c r="C438" s="471" t="s">
        <v>1170</v>
      </c>
      <c r="D438" s="471" t="s">
        <v>1301</v>
      </c>
      <c r="E438" s="471" t="s">
        <v>1282</v>
      </c>
      <c r="F438" s="471"/>
      <c r="G438" s="471" t="s">
        <v>1221</v>
      </c>
      <c r="H438" s="479" t="s">
        <v>1101</v>
      </c>
    </row>
    <row r="439" spans="1:8" ht="33.6">
      <c r="A439" s="514"/>
      <c r="B439" s="473"/>
      <c r="C439" s="471" t="s">
        <v>820</v>
      </c>
      <c r="D439" s="471" t="s">
        <v>1302</v>
      </c>
      <c r="E439" s="471" t="s">
        <v>1282</v>
      </c>
      <c r="F439" s="471"/>
      <c r="G439" s="471" t="s">
        <v>1299</v>
      </c>
      <c r="H439" s="479" t="s">
        <v>822</v>
      </c>
    </row>
    <row r="440" spans="1:8" ht="33.6">
      <c r="A440" s="514"/>
      <c r="B440" s="473"/>
      <c r="C440" s="471" t="s">
        <v>1303</v>
      </c>
      <c r="D440" s="471" t="s">
        <v>1304</v>
      </c>
      <c r="E440" s="471" t="s">
        <v>1282</v>
      </c>
      <c r="F440" s="471"/>
      <c r="G440" s="471" t="s">
        <v>1215</v>
      </c>
      <c r="H440" s="479" t="s">
        <v>692</v>
      </c>
    </row>
    <row r="441" spans="1:8" ht="33.6">
      <c r="A441" s="514"/>
      <c r="B441" s="473"/>
      <c r="C441" s="471" t="s">
        <v>1305</v>
      </c>
      <c r="D441" s="471" t="s">
        <v>1306</v>
      </c>
      <c r="E441" s="471" t="s">
        <v>1282</v>
      </c>
      <c r="F441" s="471"/>
      <c r="G441" s="471" t="s">
        <v>1216</v>
      </c>
      <c r="H441" s="479" t="s">
        <v>689</v>
      </c>
    </row>
    <row r="442" spans="1:8" ht="33.6">
      <c r="A442" s="514"/>
      <c r="B442" s="473"/>
      <c r="C442" s="471" t="s">
        <v>1307</v>
      </c>
      <c r="D442" s="471" t="s">
        <v>1308</v>
      </c>
      <c r="E442" s="471" t="s">
        <v>1282</v>
      </c>
      <c r="F442" s="471"/>
      <c r="G442" s="471" t="s">
        <v>1215</v>
      </c>
      <c r="H442" s="479" t="s">
        <v>692</v>
      </c>
    </row>
    <row r="443" spans="1:8" ht="33.6">
      <c r="A443" s="514"/>
      <c r="B443" s="473"/>
      <c r="C443" s="471" t="s">
        <v>1309</v>
      </c>
      <c r="D443" s="471" t="s">
        <v>1310</v>
      </c>
      <c r="E443" s="471" t="s">
        <v>1282</v>
      </c>
      <c r="F443" s="471"/>
      <c r="G443" s="471" t="s">
        <v>1216</v>
      </c>
      <c r="H443" s="479" t="s">
        <v>689</v>
      </c>
    </row>
    <row r="444" spans="1:8" ht="33.6">
      <c r="A444" s="514"/>
      <c r="B444" s="473"/>
      <c r="C444" s="471" t="s">
        <v>1311</v>
      </c>
      <c r="D444" s="471" t="s">
        <v>1312</v>
      </c>
      <c r="E444" s="471" t="s">
        <v>1282</v>
      </c>
      <c r="F444" s="471"/>
      <c r="G444" s="471" t="s">
        <v>1215</v>
      </c>
      <c r="H444" s="479" t="s">
        <v>692</v>
      </c>
    </row>
    <row r="445" spans="1:8" ht="33.6">
      <c r="A445" s="514"/>
      <c r="B445" s="473"/>
      <c r="C445" s="471" t="s">
        <v>1313</v>
      </c>
      <c r="D445" s="471" t="s">
        <v>1314</v>
      </c>
      <c r="E445" s="471" t="s">
        <v>1282</v>
      </c>
      <c r="F445" s="471"/>
      <c r="G445" s="471" t="s">
        <v>1216</v>
      </c>
      <c r="H445" s="479" t="s">
        <v>689</v>
      </c>
    </row>
    <row r="446" spans="1:8" ht="33.6">
      <c r="A446" s="514"/>
      <c r="B446" s="473"/>
      <c r="C446" s="471" t="s">
        <v>736</v>
      </c>
      <c r="D446" s="471" t="s">
        <v>1315</v>
      </c>
      <c r="E446" s="471" t="s">
        <v>1275</v>
      </c>
      <c r="F446" s="471"/>
      <c r="G446" s="471" t="s">
        <v>1214</v>
      </c>
      <c r="H446" s="479" t="s">
        <v>813</v>
      </c>
    </row>
    <row r="447" spans="1:8" ht="33.6">
      <c r="A447" s="514"/>
      <c r="B447" s="473"/>
      <c r="C447" s="471" t="s">
        <v>1170</v>
      </c>
      <c r="D447" s="471" t="s">
        <v>1316</v>
      </c>
      <c r="E447" s="471" t="s">
        <v>1275</v>
      </c>
      <c r="F447" s="471"/>
      <c r="G447" s="471" t="s">
        <v>1221</v>
      </c>
      <c r="H447" s="479" t="s">
        <v>1101</v>
      </c>
    </row>
    <row r="448" spans="1:8" ht="33.6">
      <c r="A448" s="514"/>
      <c r="B448" s="473"/>
      <c r="C448" s="471" t="s">
        <v>820</v>
      </c>
      <c r="D448" s="471" t="s">
        <v>1317</v>
      </c>
      <c r="E448" s="471" t="s">
        <v>1275</v>
      </c>
      <c r="F448" s="471"/>
      <c r="G448" s="471" t="s">
        <v>1299</v>
      </c>
      <c r="H448" s="479" t="s">
        <v>822</v>
      </c>
    </row>
    <row r="449" spans="1:8" ht="33.6">
      <c r="A449" s="514"/>
      <c r="B449" s="473"/>
      <c r="C449" s="471" t="s">
        <v>1318</v>
      </c>
      <c r="D449" s="471" t="s">
        <v>764</v>
      </c>
      <c r="E449" s="471" t="s">
        <v>1275</v>
      </c>
      <c r="F449" s="471"/>
      <c r="G449" s="471" t="s">
        <v>1226</v>
      </c>
      <c r="H449" s="479" t="s">
        <v>867</v>
      </c>
    </row>
    <row r="450" spans="1:8" ht="16.899999999999999">
      <c r="A450" s="514"/>
      <c r="B450" s="473"/>
      <c r="C450" s="471" t="s">
        <v>1319</v>
      </c>
      <c r="D450" s="471" t="s">
        <v>1320</v>
      </c>
      <c r="E450" s="471" t="s">
        <v>1263</v>
      </c>
      <c r="F450" s="471"/>
      <c r="G450" s="471" t="s">
        <v>1321</v>
      </c>
      <c r="H450" s="479">
        <v>9</v>
      </c>
    </row>
    <row r="451" spans="1:8" ht="16.899999999999999">
      <c r="A451" s="514"/>
      <c r="B451" s="473"/>
      <c r="C451" s="471" t="s">
        <v>1322</v>
      </c>
      <c r="D451" s="471" t="s">
        <v>1323</v>
      </c>
      <c r="E451" s="471" t="s">
        <v>1263</v>
      </c>
      <c r="F451" s="471"/>
      <c r="G451" s="471" t="s">
        <v>1324</v>
      </c>
      <c r="H451" s="479">
        <v>1</v>
      </c>
    </row>
    <row r="452" spans="1:8" ht="16.899999999999999">
      <c r="A452" s="514"/>
      <c r="B452" s="473"/>
      <c r="C452" s="471" t="s">
        <v>1325</v>
      </c>
      <c r="D452" s="471" t="s">
        <v>1326</v>
      </c>
      <c r="E452" s="471" t="s">
        <v>1263</v>
      </c>
      <c r="F452" s="471"/>
      <c r="G452" s="471" t="s">
        <v>1327</v>
      </c>
      <c r="H452" s="479" t="s">
        <v>1328</v>
      </c>
    </row>
    <row r="453" spans="1:8" ht="16.899999999999999">
      <c r="A453" s="514"/>
      <c r="B453" s="473"/>
      <c r="C453" s="471" t="s">
        <v>1329</v>
      </c>
      <c r="D453" s="471" t="s">
        <v>1330</v>
      </c>
      <c r="E453" s="471" t="s">
        <v>1275</v>
      </c>
      <c r="F453" s="471"/>
      <c r="G453" s="471" t="s">
        <v>1331</v>
      </c>
      <c r="H453" s="479" t="s">
        <v>1332</v>
      </c>
    </row>
    <row r="454" spans="1:8" ht="16.899999999999999">
      <c r="A454" s="514"/>
      <c r="B454" s="473"/>
      <c r="C454" s="471" t="s">
        <v>1333</v>
      </c>
      <c r="D454" s="471" t="s">
        <v>1334</v>
      </c>
      <c r="E454" s="471" t="s">
        <v>1275</v>
      </c>
      <c r="F454" s="471"/>
      <c r="G454" s="471" t="s">
        <v>1335</v>
      </c>
      <c r="H454" s="479" t="s">
        <v>1336</v>
      </c>
    </row>
    <row r="455" spans="1:8" ht="33.6">
      <c r="A455" s="514"/>
      <c r="B455" s="473"/>
      <c r="C455" s="471" t="s">
        <v>1337</v>
      </c>
      <c r="D455" s="471" t="s">
        <v>1338</v>
      </c>
      <c r="E455" s="471" t="s">
        <v>1275</v>
      </c>
      <c r="F455" s="471"/>
      <c r="G455" s="471" t="s">
        <v>1339</v>
      </c>
      <c r="H455" s="479" t="s">
        <v>714</v>
      </c>
    </row>
    <row r="456" spans="1:8" ht="16.899999999999999">
      <c r="A456" s="515"/>
      <c r="B456" s="470"/>
      <c r="C456" s="471" t="s">
        <v>1340</v>
      </c>
      <c r="D456" s="471" t="s">
        <v>1341</v>
      </c>
      <c r="E456" s="471" t="s">
        <v>1275</v>
      </c>
      <c r="F456" s="471"/>
      <c r="G456" s="471" t="s">
        <v>1342</v>
      </c>
      <c r="H456" s="479" t="s">
        <v>714</v>
      </c>
    </row>
    <row r="457" spans="1:8" ht="16.5" customHeight="1">
      <c r="A457" s="516"/>
      <c r="B457" s="517"/>
      <c r="C457" s="517"/>
      <c r="D457" s="517"/>
      <c r="E457" s="517"/>
      <c r="F457" s="518"/>
      <c r="G457" s="482" t="s">
        <v>1245</v>
      </c>
      <c r="H457" s="519"/>
    </row>
  </sheetData>
  <phoneticPr fontId="1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72E3-BAC3-48F7-89BC-A4CA463CF54E}">
  <dimension ref="B2:G42"/>
  <sheetViews>
    <sheetView showGridLines="0" workbookViewId="0">
      <selection activeCell="C24" sqref="C24"/>
    </sheetView>
  </sheetViews>
  <sheetFormatPr defaultColWidth="9" defaultRowHeight="16.899999999999999"/>
  <cols>
    <col min="1" max="1" width="9" style="2"/>
    <col min="2" max="2" width="12.625" style="2" customWidth="1"/>
    <col min="3" max="3" width="48" style="2" customWidth="1"/>
    <col min="4" max="4" width="16.125" style="2" customWidth="1"/>
    <col min="5" max="5" width="16.75" style="2" customWidth="1"/>
    <col min="6" max="6" width="62.375" style="2" customWidth="1"/>
    <col min="7" max="7" width="64" style="2" customWidth="1"/>
    <col min="8" max="16384" width="9" style="2"/>
  </cols>
  <sheetData>
    <row r="2" spans="2:7">
      <c r="B2" s="2" t="s">
        <v>1343</v>
      </c>
    </row>
    <row r="3" spans="2:7">
      <c r="B3" s="84" t="s">
        <v>1344</v>
      </c>
      <c r="C3" s="85" t="s">
        <v>1345</v>
      </c>
      <c r="D3" s="85" t="s">
        <v>82</v>
      </c>
      <c r="E3" s="89" t="s">
        <v>1346</v>
      </c>
      <c r="F3" s="86" t="s">
        <v>1347</v>
      </c>
      <c r="G3" s="93" t="s">
        <v>1348</v>
      </c>
    </row>
    <row r="4" spans="2:7">
      <c r="B4" s="7" t="s">
        <v>1349</v>
      </c>
      <c r="C4" s="79" t="s">
        <v>1350</v>
      </c>
      <c r="D4" s="79">
        <v>3</v>
      </c>
      <c r="E4" s="36" t="s">
        <v>9</v>
      </c>
      <c r="F4" s="30" t="s">
        <v>1351</v>
      </c>
      <c r="G4" s="98" t="s">
        <v>46</v>
      </c>
    </row>
    <row r="5" spans="2:7">
      <c r="B5" s="8" t="s">
        <v>1352</v>
      </c>
      <c r="C5" s="80" t="s">
        <v>1353</v>
      </c>
      <c r="D5" s="80">
        <v>3</v>
      </c>
      <c r="E5" s="37" t="s">
        <v>9</v>
      </c>
      <c r="F5" s="31" t="s">
        <v>1354</v>
      </c>
      <c r="G5" s="99" t="s">
        <v>46</v>
      </c>
    </row>
    <row r="6" spans="2:7">
      <c r="B6" s="8"/>
      <c r="C6" s="80" t="s">
        <v>1355</v>
      </c>
      <c r="D6" s="80">
        <v>2</v>
      </c>
      <c r="E6" s="37" t="s">
        <v>14</v>
      </c>
      <c r="F6" s="31" t="s">
        <v>1356</v>
      </c>
      <c r="G6" s="99" t="s">
        <v>46</v>
      </c>
    </row>
    <row r="7" spans="2:7">
      <c r="B7" s="8"/>
      <c r="C7" s="80" t="s">
        <v>1357</v>
      </c>
      <c r="D7" s="80">
        <v>2</v>
      </c>
      <c r="E7" s="37" t="s">
        <v>14</v>
      </c>
      <c r="F7" s="31" t="s">
        <v>1358</v>
      </c>
      <c r="G7" s="99" t="s">
        <v>46</v>
      </c>
    </row>
    <row r="8" spans="2:7">
      <c r="B8" s="8"/>
      <c r="C8" s="80" t="s">
        <v>1359</v>
      </c>
      <c r="D8" s="80">
        <v>2</v>
      </c>
      <c r="E8" s="37" t="s">
        <v>14</v>
      </c>
      <c r="F8" s="31" t="s">
        <v>1360</v>
      </c>
      <c r="G8" s="99" t="s">
        <v>46</v>
      </c>
    </row>
    <row r="9" spans="2:7">
      <c r="B9" s="8"/>
      <c r="C9" s="80" t="s">
        <v>1361</v>
      </c>
      <c r="D9" s="80">
        <v>2</v>
      </c>
      <c r="E9" s="37" t="s">
        <v>14</v>
      </c>
      <c r="F9" s="31" t="s">
        <v>1360</v>
      </c>
      <c r="G9" s="99" t="s">
        <v>46</v>
      </c>
    </row>
    <row r="10" spans="2:7">
      <c r="B10" s="8"/>
      <c r="C10" s="80" t="s">
        <v>1362</v>
      </c>
      <c r="D10" s="80">
        <v>2</v>
      </c>
      <c r="E10" s="37" t="s">
        <v>14</v>
      </c>
      <c r="F10" s="31" t="s">
        <v>1360</v>
      </c>
      <c r="G10" s="99" t="s">
        <v>46</v>
      </c>
    </row>
    <row r="11" spans="2:7">
      <c r="B11" s="8"/>
      <c r="C11" s="80" t="s">
        <v>1363</v>
      </c>
      <c r="D11" s="80">
        <v>2</v>
      </c>
      <c r="E11" s="37" t="s">
        <v>14</v>
      </c>
      <c r="F11" s="31" t="s">
        <v>1364</v>
      </c>
      <c r="G11" s="99" t="s">
        <v>46</v>
      </c>
    </row>
    <row r="12" spans="2:7">
      <c r="B12" s="8"/>
      <c r="C12" s="80" t="s">
        <v>1365</v>
      </c>
      <c r="D12" s="80">
        <v>2</v>
      </c>
      <c r="E12" s="37" t="s">
        <v>14</v>
      </c>
      <c r="F12" s="31" t="s">
        <v>1366</v>
      </c>
      <c r="G12" s="99" t="s">
        <v>46</v>
      </c>
    </row>
    <row r="13" spans="2:7">
      <c r="B13" s="8"/>
      <c r="C13" s="80" t="s">
        <v>1365</v>
      </c>
      <c r="D13" s="80">
        <v>4</v>
      </c>
      <c r="E13" s="37" t="s">
        <v>1367</v>
      </c>
      <c r="F13" s="31" t="s">
        <v>1368</v>
      </c>
      <c r="G13" s="99" t="s">
        <v>46</v>
      </c>
    </row>
    <row r="14" spans="2:7">
      <c r="B14" s="8"/>
      <c r="C14" s="80" t="s">
        <v>1369</v>
      </c>
      <c r="D14" s="80">
        <v>4</v>
      </c>
      <c r="E14" s="37" t="s">
        <v>1367</v>
      </c>
      <c r="F14" s="31" t="s">
        <v>1370</v>
      </c>
      <c r="G14" s="99" t="s">
        <v>46</v>
      </c>
    </row>
    <row r="15" spans="2:7">
      <c r="B15" s="8"/>
      <c r="C15" s="90" t="s">
        <v>1371</v>
      </c>
      <c r="D15" s="80">
        <v>2</v>
      </c>
      <c r="E15" s="37" t="s">
        <v>14</v>
      </c>
      <c r="F15" s="92" t="s">
        <v>1358</v>
      </c>
      <c r="G15" s="100" t="s">
        <v>46</v>
      </c>
    </row>
    <row r="16" spans="2:7">
      <c r="B16" s="8"/>
      <c r="C16" s="90" t="s">
        <v>1372</v>
      </c>
      <c r="D16" s="90">
        <v>1</v>
      </c>
      <c r="E16" s="91" t="s">
        <v>19</v>
      </c>
      <c r="F16" s="92" t="s">
        <v>1358</v>
      </c>
      <c r="G16" s="100" t="s">
        <v>46</v>
      </c>
    </row>
    <row r="18" spans="2:7">
      <c r="B18" s="9" t="s">
        <v>485</v>
      </c>
      <c r="C18" s="79" t="s">
        <v>1373</v>
      </c>
      <c r="D18" s="79">
        <v>2</v>
      </c>
      <c r="E18" s="36" t="s">
        <v>14</v>
      </c>
      <c r="F18" s="30" t="s">
        <v>1374</v>
      </c>
      <c r="G18" s="98" t="s">
        <v>46</v>
      </c>
    </row>
    <row r="19" spans="2:7">
      <c r="B19" s="8" t="s">
        <v>1352</v>
      </c>
      <c r="C19" s="80" t="s">
        <v>1369</v>
      </c>
      <c r="D19" s="80">
        <v>4</v>
      </c>
      <c r="E19" s="37" t="s">
        <v>1367</v>
      </c>
      <c r="F19" s="31" t="s">
        <v>1375</v>
      </c>
      <c r="G19" s="99" t="s">
        <v>46</v>
      </c>
    </row>
    <row r="20" spans="2:7">
      <c r="B20" s="8"/>
      <c r="C20" s="80"/>
      <c r="D20" s="80"/>
      <c r="E20" s="37"/>
      <c r="F20" s="31"/>
      <c r="G20" s="95"/>
    </row>
    <row r="21" spans="2:7">
      <c r="B21" s="8"/>
      <c r="C21" s="80"/>
      <c r="D21" s="80"/>
      <c r="E21" s="37"/>
      <c r="F21" s="31"/>
      <c r="G21" s="95"/>
    </row>
    <row r="22" spans="2:7">
      <c r="B22" s="87"/>
      <c r="C22" s="81"/>
      <c r="D22" s="81"/>
      <c r="E22" s="88"/>
      <c r="F22" s="83"/>
      <c r="G22" s="96"/>
    </row>
    <row r="23" spans="2:7">
      <c r="B23" s="9" t="s">
        <v>1376</v>
      </c>
      <c r="C23" s="79" t="s">
        <v>1358</v>
      </c>
      <c r="D23" s="79">
        <v>2</v>
      </c>
      <c r="E23" s="36" t="s">
        <v>14</v>
      </c>
      <c r="F23" s="30" t="s">
        <v>1377</v>
      </c>
      <c r="G23" s="94"/>
    </row>
    <row r="24" spans="2:7">
      <c r="B24" s="8" t="s">
        <v>1378</v>
      </c>
      <c r="C24" s="80" t="s">
        <v>1368</v>
      </c>
      <c r="D24" s="80">
        <v>4</v>
      </c>
      <c r="E24" s="37" t="s">
        <v>1367</v>
      </c>
      <c r="F24" s="31" t="s">
        <v>1377</v>
      </c>
      <c r="G24" s="95"/>
    </row>
    <row r="25" spans="2:7">
      <c r="B25" s="8"/>
      <c r="C25" s="82" t="s">
        <v>1379</v>
      </c>
      <c r="D25" s="80">
        <v>4</v>
      </c>
      <c r="E25" s="37" t="s">
        <v>1367</v>
      </c>
      <c r="F25" s="31" t="s">
        <v>1377</v>
      </c>
      <c r="G25" s="95"/>
    </row>
    <row r="26" spans="2:7">
      <c r="B26" s="8"/>
      <c r="C26" s="80"/>
      <c r="D26" s="80"/>
      <c r="E26" s="37"/>
      <c r="F26" s="31"/>
      <c r="G26" s="95"/>
    </row>
    <row r="27" spans="2:7">
      <c r="B27" s="87"/>
      <c r="C27" s="81"/>
      <c r="D27" s="81"/>
      <c r="E27" s="88"/>
      <c r="F27" s="83"/>
      <c r="G27" s="96"/>
    </row>
    <row r="28" spans="2:7">
      <c r="B28" s="9" t="s">
        <v>53</v>
      </c>
      <c r="C28" s="79" t="s">
        <v>1380</v>
      </c>
      <c r="D28" s="79">
        <v>2</v>
      </c>
      <c r="E28" s="36" t="s">
        <v>14</v>
      </c>
      <c r="F28" s="30" t="s">
        <v>1381</v>
      </c>
      <c r="G28" s="97" t="s">
        <v>1382</v>
      </c>
    </row>
    <row r="29" spans="2:7">
      <c r="B29" s="8" t="s">
        <v>1378</v>
      </c>
      <c r="C29" s="80" t="s">
        <v>1383</v>
      </c>
      <c r="D29" s="80">
        <v>2</v>
      </c>
      <c r="E29" s="37" t="s">
        <v>14</v>
      </c>
      <c r="F29" s="31" t="s">
        <v>1384</v>
      </c>
      <c r="G29" s="95" t="s">
        <v>1385</v>
      </c>
    </row>
    <row r="30" spans="2:7">
      <c r="B30" s="8"/>
      <c r="C30" s="80" t="s">
        <v>1366</v>
      </c>
      <c r="D30" s="80">
        <v>2</v>
      </c>
      <c r="E30" s="37" t="s">
        <v>14</v>
      </c>
      <c r="F30" s="31" t="s">
        <v>1386</v>
      </c>
      <c r="G30" s="95" t="s">
        <v>1387</v>
      </c>
    </row>
    <row r="31" spans="2:7">
      <c r="B31" s="8"/>
      <c r="C31" s="80" t="s">
        <v>1388</v>
      </c>
      <c r="D31" s="80">
        <v>2</v>
      </c>
      <c r="E31" s="37" t="s">
        <v>14</v>
      </c>
      <c r="F31" s="31" t="s">
        <v>1389</v>
      </c>
      <c r="G31" s="95" t="s">
        <v>50</v>
      </c>
    </row>
    <row r="32" spans="2:7">
      <c r="B32" s="8"/>
      <c r="C32" s="82" t="s">
        <v>1379</v>
      </c>
      <c r="D32" s="80">
        <v>4</v>
      </c>
      <c r="E32" s="37" t="s">
        <v>1367</v>
      </c>
      <c r="F32" s="31" t="s">
        <v>1390</v>
      </c>
      <c r="G32" s="95" t="s">
        <v>1391</v>
      </c>
    </row>
    <row r="33" spans="2:7">
      <c r="B33" s="8"/>
      <c r="C33" s="80" t="s">
        <v>1392</v>
      </c>
      <c r="D33" s="80">
        <v>4</v>
      </c>
      <c r="E33" s="37" t="s">
        <v>1367</v>
      </c>
      <c r="F33" s="31" t="s">
        <v>1393</v>
      </c>
      <c r="G33" s="95" t="s">
        <v>1391</v>
      </c>
    </row>
    <row r="34" spans="2:7">
      <c r="B34" s="8"/>
      <c r="C34" s="82" t="s">
        <v>1394</v>
      </c>
      <c r="D34" s="80">
        <v>4</v>
      </c>
      <c r="E34" s="37" t="s">
        <v>1367</v>
      </c>
      <c r="F34" s="31" t="s">
        <v>1395</v>
      </c>
      <c r="G34" s="95" t="s">
        <v>1391</v>
      </c>
    </row>
    <row r="35" spans="2:7">
      <c r="B35" s="8"/>
      <c r="C35" s="80" t="s">
        <v>1396</v>
      </c>
      <c r="D35" s="80">
        <v>2</v>
      </c>
      <c r="E35" s="37" t="s">
        <v>14</v>
      </c>
      <c r="F35" s="31" t="s">
        <v>1397</v>
      </c>
      <c r="G35" s="95" t="s">
        <v>1382</v>
      </c>
    </row>
    <row r="36" spans="2:7">
      <c r="B36" s="87"/>
      <c r="C36" s="81"/>
      <c r="D36" s="81"/>
      <c r="E36" s="88"/>
      <c r="F36" s="83"/>
      <c r="G36" s="96"/>
    </row>
    <row r="37" spans="2:7">
      <c r="B37" s="9" t="s">
        <v>49</v>
      </c>
      <c r="C37" s="79" t="s">
        <v>1351</v>
      </c>
      <c r="D37" s="79">
        <v>3</v>
      </c>
      <c r="E37" s="36" t="s">
        <v>9</v>
      </c>
      <c r="F37" s="30" t="s">
        <v>1398</v>
      </c>
      <c r="G37" s="94" t="s">
        <v>1382</v>
      </c>
    </row>
    <row r="38" spans="2:7">
      <c r="B38" s="8" t="s">
        <v>1378</v>
      </c>
      <c r="C38" s="80" t="s">
        <v>1354</v>
      </c>
      <c r="D38" s="80">
        <v>3</v>
      </c>
      <c r="E38" s="37" t="s">
        <v>9</v>
      </c>
      <c r="F38" s="31" t="s">
        <v>1399</v>
      </c>
      <c r="G38" s="95" t="s">
        <v>1382</v>
      </c>
    </row>
    <row r="39" spans="2:7">
      <c r="B39" s="8"/>
      <c r="C39" s="90" t="s">
        <v>1400</v>
      </c>
      <c r="D39" s="80">
        <v>4</v>
      </c>
      <c r="E39" s="37" t="s">
        <v>1367</v>
      </c>
      <c r="F39" s="31" t="s">
        <v>1401</v>
      </c>
      <c r="G39" s="95" t="s">
        <v>1391</v>
      </c>
    </row>
    <row r="40" spans="2:7">
      <c r="B40" s="8"/>
      <c r="C40" s="79"/>
      <c r="D40" s="80">
        <v>1</v>
      </c>
      <c r="E40" s="37" t="s">
        <v>19</v>
      </c>
      <c r="F40" s="31" t="s">
        <v>1402</v>
      </c>
      <c r="G40" s="95" t="s">
        <v>1403</v>
      </c>
    </row>
    <row r="41" spans="2:7">
      <c r="B41" s="8"/>
      <c r="C41" s="80" t="s">
        <v>1404</v>
      </c>
      <c r="D41" s="80">
        <v>2</v>
      </c>
      <c r="E41" s="37" t="s">
        <v>14</v>
      </c>
      <c r="F41" s="31" t="s">
        <v>1405</v>
      </c>
      <c r="G41" s="95" t="s">
        <v>50</v>
      </c>
    </row>
    <row r="42" spans="2:7">
      <c r="B42" s="8"/>
      <c r="C42" s="80" t="s">
        <v>1374</v>
      </c>
      <c r="D42" s="80">
        <v>2</v>
      </c>
      <c r="E42" s="37" t="s">
        <v>14</v>
      </c>
      <c r="F42" s="31" t="s">
        <v>1406</v>
      </c>
      <c r="G42" s="95" t="s">
        <v>1407</v>
      </c>
    </row>
  </sheetData>
  <phoneticPr fontId="1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2688-97BD-4F31-A84B-B47C03E1936D}">
  <dimension ref="B1:X42"/>
  <sheetViews>
    <sheetView showGridLines="0" workbookViewId="0">
      <selection activeCell="B22" sqref="B22"/>
    </sheetView>
  </sheetViews>
  <sheetFormatPr defaultColWidth="9" defaultRowHeight="16.899999999999999"/>
  <cols>
    <col min="1" max="1" width="5.875" style="2" customWidth="1"/>
    <col min="2" max="2" width="13.375" style="2" customWidth="1"/>
    <col min="3" max="27" width="11" style="2" customWidth="1"/>
    <col min="28" max="16384" width="9" style="2"/>
  </cols>
  <sheetData>
    <row r="1" spans="2:22">
      <c r="B1" s="29" t="s">
        <v>1408</v>
      </c>
      <c r="C1" s="29"/>
    </row>
    <row r="2" spans="2:22" ht="27">
      <c r="B2" s="59" t="s">
        <v>1409</v>
      </c>
      <c r="C2" s="60"/>
      <c r="D2" s="60"/>
      <c r="E2" s="60"/>
      <c r="F2" s="60"/>
      <c r="G2" s="60"/>
      <c r="H2" s="60"/>
      <c r="I2" s="60"/>
      <c r="J2" s="60"/>
      <c r="K2" s="60"/>
      <c r="L2" s="60"/>
      <c r="M2" s="60"/>
      <c r="N2" s="60"/>
      <c r="O2" s="60"/>
      <c r="P2" s="60"/>
      <c r="Q2" s="60"/>
      <c r="R2" s="60"/>
      <c r="S2" s="60"/>
      <c r="T2" s="60"/>
      <c r="U2" s="60"/>
      <c r="V2" s="60"/>
    </row>
    <row r="3" spans="2:22" ht="20.45">
      <c r="B3" s="10" t="s">
        <v>1410</v>
      </c>
    </row>
    <row r="4" spans="2:22">
      <c r="B4" s="57" t="s">
        <v>1411</v>
      </c>
      <c r="C4" s="55"/>
      <c r="D4" s="55"/>
      <c r="E4" s="55"/>
      <c r="F4" s="56"/>
      <c r="G4" s="29" t="s">
        <v>1412</v>
      </c>
    </row>
    <row r="5" spans="2:22">
      <c r="B5" s="42" t="s">
        <v>1413</v>
      </c>
      <c r="C5" s="30"/>
      <c r="D5" s="30"/>
      <c r="E5" s="30"/>
      <c r="F5" s="4"/>
      <c r="G5" s="29" t="s">
        <v>1414</v>
      </c>
    </row>
    <row r="6" spans="2:22">
      <c r="B6" s="43" t="s">
        <v>1415</v>
      </c>
      <c r="C6" s="31"/>
      <c r="D6" s="31"/>
      <c r="E6" s="31"/>
      <c r="F6" s="3"/>
      <c r="G6" s="29" t="s">
        <v>1416</v>
      </c>
    </row>
    <row r="7" spans="2:22">
      <c r="B7" s="43" t="s">
        <v>1417</v>
      </c>
      <c r="C7" s="31"/>
      <c r="D7" s="31"/>
      <c r="E7" s="31"/>
      <c r="F7" s="3"/>
      <c r="G7" s="29" t="s">
        <v>1418</v>
      </c>
    </row>
    <row r="8" spans="2:22">
      <c r="B8" s="44" t="s">
        <v>1419</v>
      </c>
      <c r="C8" s="48"/>
      <c r="D8" s="48"/>
      <c r="E8" s="48"/>
      <c r="F8" s="47"/>
      <c r="G8" s="29" t="s">
        <v>1420</v>
      </c>
    </row>
    <row r="11" spans="2:22" ht="27">
      <c r="B11" s="59" t="s">
        <v>1421</v>
      </c>
      <c r="C11" s="60"/>
      <c r="D11" s="60"/>
      <c r="E11" s="60"/>
      <c r="F11" s="60"/>
      <c r="G11" s="60"/>
      <c r="H11" s="60"/>
      <c r="I11" s="60"/>
      <c r="J11" s="60"/>
      <c r="K11" s="60"/>
      <c r="L11" s="60"/>
      <c r="M11" s="60"/>
      <c r="N11" s="60"/>
      <c r="O11" s="60"/>
      <c r="P11" s="60"/>
      <c r="Q11" s="60"/>
      <c r="R11" s="60"/>
      <c r="S11" s="60"/>
      <c r="T11" s="60"/>
      <c r="U11" s="60"/>
      <c r="V11" s="60"/>
    </row>
    <row r="12" spans="2:22" ht="10.5" customHeight="1"/>
    <row r="13" spans="2:22" ht="20.45">
      <c r="B13" s="10" t="s">
        <v>1422</v>
      </c>
      <c r="E13" s="29" t="s">
        <v>1423</v>
      </c>
    </row>
    <row r="14" spans="2:22">
      <c r="B14" s="1092" t="s">
        <v>11</v>
      </c>
      <c r="C14" s="1093"/>
      <c r="D14" s="1093"/>
      <c r="E14" s="1093"/>
      <c r="F14" s="1094"/>
      <c r="G14" s="1093" t="s">
        <v>16</v>
      </c>
      <c r="H14" s="1093"/>
      <c r="I14" s="1093"/>
      <c r="J14" s="1093"/>
      <c r="K14" s="1094"/>
      <c r="L14" s="1093" t="s">
        <v>21</v>
      </c>
      <c r="M14" s="1093"/>
      <c r="N14" s="1093"/>
      <c r="O14" s="1093"/>
      <c r="P14" s="1094"/>
      <c r="Q14" s="1093" t="s">
        <v>23</v>
      </c>
      <c r="R14" s="1093"/>
      <c r="S14" s="1093"/>
      <c r="T14" s="1093"/>
      <c r="U14" s="1093"/>
      <c r="V14" s="1095"/>
    </row>
    <row r="15" spans="2:22">
      <c r="B15" s="53" t="s">
        <v>7</v>
      </c>
      <c r="C15" s="41"/>
      <c r="D15" s="39"/>
      <c r="E15" s="41" t="s">
        <v>1424</v>
      </c>
      <c r="F15" s="38"/>
      <c r="G15" s="41" t="s">
        <v>7</v>
      </c>
      <c r="H15" s="41"/>
      <c r="I15" s="39"/>
      <c r="J15" s="41" t="s">
        <v>1425</v>
      </c>
      <c r="K15" s="38"/>
      <c r="L15" s="41" t="s">
        <v>7</v>
      </c>
      <c r="M15" s="41"/>
      <c r="N15" s="39"/>
      <c r="O15" s="41" t="s">
        <v>1425</v>
      </c>
      <c r="P15" s="38"/>
      <c r="Q15" s="41" t="s">
        <v>7</v>
      </c>
      <c r="R15" s="41"/>
      <c r="S15" s="39"/>
      <c r="T15" s="41" t="s">
        <v>1425</v>
      </c>
      <c r="U15" s="41"/>
      <c r="V15" s="54"/>
    </row>
    <row r="22" spans="2:20" ht="27">
      <c r="B22" s="59" t="s">
        <v>1426</v>
      </c>
      <c r="C22" s="60"/>
      <c r="D22" s="60"/>
      <c r="E22" s="60"/>
      <c r="F22" s="60"/>
      <c r="G22" s="60"/>
      <c r="H22" s="60"/>
      <c r="I22" s="60"/>
      <c r="J22" s="60"/>
      <c r="K22" s="60"/>
      <c r="L22" s="60"/>
      <c r="M22" s="60"/>
      <c r="N22" s="60"/>
      <c r="O22" s="60"/>
      <c r="P22" s="60"/>
      <c r="Q22" s="60"/>
      <c r="R22" s="60"/>
      <c r="S22" s="60"/>
      <c r="T22" s="60"/>
    </row>
    <row r="23" spans="2:20" ht="12.75" customHeight="1">
      <c r="B23" s="29" t="s">
        <v>1427</v>
      </c>
    </row>
    <row r="24" spans="2:20" ht="20.45">
      <c r="B24" s="10" t="s">
        <v>82</v>
      </c>
      <c r="C24" s="10"/>
      <c r="M24" s="10" t="s">
        <v>1428</v>
      </c>
    </row>
    <row r="25" spans="2:20">
      <c r="B25" s="72" t="s">
        <v>1429</v>
      </c>
      <c r="C25" s="73" t="s">
        <v>4</v>
      </c>
      <c r="D25" s="74"/>
      <c r="E25" s="75" t="s">
        <v>1430</v>
      </c>
      <c r="F25" s="73"/>
      <c r="G25" s="73"/>
      <c r="H25" s="76"/>
      <c r="I25" s="73" t="s">
        <v>1431</v>
      </c>
      <c r="J25" s="73"/>
      <c r="K25" s="77"/>
      <c r="L25" s="58"/>
      <c r="M25" s="72" t="s">
        <v>3</v>
      </c>
      <c r="N25" s="1198" t="s">
        <v>1432</v>
      </c>
      <c r="O25" s="1199"/>
      <c r="P25" s="1200" t="s">
        <v>1433</v>
      </c>
      <c r="Q25" s="1201"/>
      <c r="R25" s="78" t="s">
        <v>1434</v>
      </c>
      <c r="S25" s="76" t="s">
        <v>1435</v>
      </c>
      <c r="T25" s="77" t="s">
        <v>1436</v>
      </c>
    </row>
    <row r="26" spans="2:20">
      <c r="B26" s="42" t="s">
        <v>1437</v>
      </c>
      <c r="C26" s="1202" t="s">
        <v>1438</v>
      </c>
      <c r="D26" s="1203"/>
      <c r="E26" s="1203" t="s">
        <v>1439</v>
      </c>
      <c r="F26" s="1203"/>
      <c r="G26" s="1203"/>
      <c r="H26" s="1204"/>
      <c r="I26" s="1202"/>
      <c r="J26" s="1203"/>
      <c r="K26" s="1205"/>
      <c r="M26" s="42" t="s">
        <v>1437</v>
      </c>
      <c r="N26" s="30" t="s">
        <v>1440</v>
      </c>
      <c r="O26" s="36"/>
      <c r="P26" s="1206" t="s">
        <v>50</v>
      </c>
      <c r="Q26" s="1207"/>
      <c r="R26" s="5" t="s">
        <v>50</v>
      </c>
      <c r="S26" s="36" t="s">
        <v>50</v>
      </c>
      <c r="T26" s="4" t="s">
        <v>50</v>
      </c>
    </row>
    <row r="27" spans="2:20">
      <c r="B27" s="43" t="s">
        <v>8</v>
      </c>
      <c r="C27" s="1208" t="s">
        <v>1441</v>
      </c>
      <c r="D27" s="1209"/>
      <c r="E27" s="1209" t="s">
        <v>1442</v>
      </c>
      <c r="F27" s="1209"/>
      <c r="G27" s="1209"/>
      <c r="H27" s="1210"/>
      <c r="I27" s="1208"/>
      <c r="J27" s="1209"/>
      <c r="K27" s="1211"/>
      <c r="M27" s="43" t="s">
        <v>8</v>
      </c>
      <c r="N27" s="1208" t="s">
        <v>1443</v>
      </c>
      <c r="O27" s="1210"/>
      <c r="P27" s="1212"/>
      <c r="Q27" s="1209"/>
      <c r="R27" s="6"/>
      <c r="S27" s="37"/>
      <c r="T27" s="3" t="s">
        <v>1444</v>
      </c>
    </row>
    <row r="28" spans="2:20">
      <c r="B28" s="43" t="s">
        <v>13</v>
      </c>
      <c r="C28" s="1208" t="s">
        <v>1445</v>
      </c>
      <c r="D28" s="1209"/>
      <c r="E28" s="1209" t="s">
        <v>1446</v>
      </c>
      <c r="F28" s="1209"/>
      <c r="G28" s="1209"/>
      <c r="H28" s="1210"/>
      <c r="I28" s="1208"/>
      <c r="J28" s="1209"/>
      <c r="K28" s="1211"/>
      <c r="M28" s="43" t="s">
        <v>13</v>
      </c>
      <c r="N28" s="34" t="s">
        <v>1447</v>
      </c>
      <c r="O28" s="6"/>
      <c r="P28" s="1213"/>
      <c r="Q28" s="1208"/>
      <c r="R28" s="6"/>
      <c r="S28" s="37"/>
      <c r="T28" s="3" t="s">
        <v>1444</v>
      </c>
    </row>
    <row r="29" spans="2:20">
      <c r="B29" s="43" t="s">
        <v>18</v>
      </c>
      <c r="C29" s="1208" t="s">
        <v>9</v>
      </c>
      <c r="D29" s="1209"/>
      <c r="E29" s="1209" t="s">
        <v>1448</v>
      </c>
      <c r="F29" s="1209"/>
      <c r="G29" s="1209"/>
      <c r="H29" s="1210"/>
      <c r="I29" s="1208"/>
      <c r="J29" s="1209"/>
      <c r="K29" s="1211"/>
      <c r="M29" s="43" t="s">
        <v>18</v>
      </c>
      <c r="N29" s="1213" t="s">
        <v>9</v>
      </c>
      <c r="O29" s="1214"/>
      <c r="P29" s="1213"/>
      <c r="Q29" s="1208"/>
      <c r="R29" s="6"/>
      <c r="S29" s="37"/>
      <c r="T29" s="3" t="s">
        <v>1444</v>
      </c>
    </row>
    <row r="30" spans="2:20">
      <c r="B30" s="44" t="s">
        <v>1449</v>
      </c>
      <c r="C30" s="1215" t="s">
        <v>1450</v>
      </c>
      <c r="D30" s="1216"/>
      <c r="E30" s="1216" t="s">
        <v>1451</v>
      </c>
      <c r="F30" s="1216"/>
      <c r="G30" s="1216"/>
      <c r="H30" s="1217"/>
      <c r="I30" s="1215"/>
      <c r="J30" s="1216"/>
      <c r="K30" s="1218"/>
      <c r="M30" s="44" t="s">
        <v>1449</v>
      </c>
      <c r="N30" s="1219" t="s">
        <v>1450</v>
      </c>
      <c r="O30" s="1220"/>
      <c r="P30" s="1219"/>
      <c r="Q30" s="1215"/>
      <c r="R30" s="46"/>
      <c r="S30" s="45"/>
      <c r="T30" s="47" t="s">
        <v>1444</v>
      </c>
    </row>
    <row r="31" spans="2:20">
      <c r="I31" s="29" t="s">
        <v>1452</v>
      </c>
      <c r="P31" s="29" t="s">
        <v>1453</v>
      </c>
    </row>
    <row r="33" spans="2:24" ht="20.45">
      <c r="B33" s="21" t="s">
        <v>1454</v>
      </c>
      <c r="C33" s="21"/>
    </row>
    <row r="34" spans="2:24">
      <c r="B34" s="67" t="s">
        <v>1455</v>
      </c>
      <c r="C34" s="63" t="s">
        <v>1456</v>
      </c>
      <c r="D34" s="66"/>
      <c r="E34" s="63" t="s">
        <v>1437</v>
      </c>
      <c r="F34" s="55"/>
      <c r="G34" s="63"/>
      <c r="H34" s="65"/>
      <c r="I34" s="63" t="s">
        <v>8</v>
      </c>
      <c r="J34" s="55"/>
      <c r="K34" s="63"/>
      <c r="L34" s="65"/>
      <c r="M34" s="63" t="s">
        <v>13</v>
      </c>
      <c r="N34" s="55"/>
      <c r="O34" s="63"/>
      <c r="P34" s="65"/>
      <c r="Q34" s="63" t="s">
        <v>18</v>
      </c>
      <c r="R34" s="55"/>
      <c r="S34" s="63"/>
      <c r="T34" s="65"/>
      <c r="U34" s="63" t="s">
        <v>1449</v>
      </c>
      <c r="V34" s="55"/>
      <c r="W34" s="63"/>
      <c r="X34" s="64"/>
    </row>
    <row r="35" spans="2:24">
      <c r="B35" s="68" t="s">
        <v>50</v>
      </c>
      <c r="C35" s="41" t="s">
        <v>50</v>
      </c>
      <c r="D35" s="38"/>
      <c r="E35" s="1221" t="s">
        <v>1457</v>
      </c>
      <c r="F35" s="1222"/>
      <c r="G35" s="61" t="s">
        <v>1435</v>
      </c>
      <c r="H35" s="40" t="s">
        <v>1458</v>
      </c>
      <c r="I35" s="1221" t="s">
        <v>1457</v>
      </c>
      <c r="J35" s="1222"/>
      <c r="K35" s="61" t="s">
        <v>1435</v>
      </c>
      <c r="L35" s="40" t="s">
        <v>1458</v>
      </c>
      <c r="M35" s="1221" t="s">
        <v>1457</v>
      </c>
      <c r="N35" s="1222"/>
      <c r="O35" s="61" t="s">
        <v>1435</v>
      </c>
      <c r="P35" s="40" t="s">
        <v>1458</v>
      </c>
      <c r="Q35" s="1223" t="s">
        <v>1457</v>
      </c>
      <c r="R35" s="1224"/>
      <c r="S35" s="61" t="s">
        <v>1435</v>
      </c>
      <c r="T35" s="40" t="s">
        <v>1458</v>
      </c>
      <c r="U35" s="1223" t="s">
        <v>1457</v>
      </c>
      <c r="V35" s="1224"/>
      <c r="W35" s="61" t="s">
        <v>1435</v>
      </c>
      <c r="X35" s="62" t="s">
        <v>1458</v>
      </c>
    </row>
    <row r="36" spans="2:24">
      <c r="B36" s="69" t="s">
        <v>1459</v>
      </c>
      <c r="C36" s="32" t="s">
        <v>1460</v>
      </c>
      <c r="D36" s="5"/>
      <c r="E36" s="1225"/>
      <c r="F36" s="1206"/>
      <c r="G36" s="33"/>
      <c r="H36" s="5" t="s">
        <v>1444</v>
      </c>
      <c r="I36" s="1225"/>
      <c r="J36" s="1206"/>
      <c r="K36" s="33"/>
      <c r="L36" s="5" t="s">
        <v>1444</v>
      </c>
      <c r="M36" s="1225"/>
      <c r="N36" s="1206"/>
      <c r="O36" s="33"/>
      <c r="P36" s="5" t="s">
        <v>1444</v>
      </c>
      <c r="Q36" s="1225"/>
      <c r="R36" s="1206"/>
      <c r="S36" s="33"/>
      <c r="T36" s="5" t="s">
        <v>1444</v>
      </c>
      <c r="U36" s="1225"/>
      <c r="V36" s="1206"/>
      <c r="W36" s="33"/>
      <c r="X36" s="49" t="s">
        <v>1444</v>
      </c>
    </row>
    <row r="37" spans="2:24">
      <c r="B37" s="70" t="s">
        <v>1461</v>
      </c>
      <c r="C37" s="1226" t="s">
        <v>1462</v>
      </c>
      <c r="D37" s="1214"/>
      <c r="E37" s="1213" t="s">
        <v>1463</v>
      </c>
      <c r="F37" s="1208"/>
      <c r="G37" s="35"/>
      <c r="H37" s="6" t="s">
        <v>1464</v>
      </c>
      <c r="I37" s="1213" t="s">
        <v>1463</v>
      </c>
      <c r="J37" s="1208"/>
      <c r="K37" s="35"/>
      <c r="L37" s="6" t="s">
        <v>1464</v>
      </c>
      <c r="M37" s="1213" t="s">
        <v>1463</v>
      </c>
      <c r="N37" s="1208"/>
      <c r="O37" s="35"/>
      <c r="P37" s="6" t="s">
        <v>1464</v>
      </c>
      <c r="Q37" s="1213" t="s">
        <v>1463</v>
      </c>
      <c r="R37" s="1208"/>
      <c r="S37" s="35"/>
      <c r="T37" s="6" t="s">
        <v>1464</v>
      </c>
      <c r="U37" s="1213" t="s">
        <v>1463</v>
      </c>
      <c r="V37" s="1208"/>
      <c r="W37" s="35"/>
      <c r="X37" s="50" t="s">
        <v>1464</v>
      </c>
    </row>
    <row r="38" spans="2:24">
      <c r="B38" s="70" t="s">
        <v>1465</v>
      </c>
      <c r="C38" s="1226" t="s">
        <v>1466</v>
      </c>
      <c r="D38" s="1214"/>
      <c r="E38" s="1213" t="s">
        <v>50</v>
      </c>
      <c r="F38" s="1208"/>
      <c r="G38" s="35" t="s">
        <v>50</v>
      </c>
      <c r="H38" s="6" t="s">
        <v>50</v>
      </c>
      <c r="I38" s="1213"/>
      <c r="J38" s="1208"/>
      <c r="K38" s="35"/>
      <c r="L38" s="6"/>
      <c r="M38" s="1213"/>
      <c r="N38" s="1208"/>
      <c r="O38" s="35"/>
      <c r="P38" s="6"/>
      <c r="Q38" s="1213"/>
      <c r="R38" s="1208"/>
      <c r="S38" s="35"/>
      <c r="T38" s="6"/>
      <c r="U38" s="1213"/>
      <c r="V38" s="1208"/>
      <c r="W38" s="35"/>
      <c r="X38" s="50"/>
    </row>
    <row r="39" spans="2:24">
      <c r="B39" s="70" t="s">
        <v>83</v>
      </c>
      <c r="C39" s="1226" t="s">
        <v>1467</v>
      </c>
      <c r="D39" s="1214"/>
      <c r="E39" s="1213" t="s">
        <v>50</v>
      </c>
      <c r="F39" s="1208"/>
      <c r="G39" s="35" t="s">
        <v>50</v>
      </c>
      <c r="H39" s="6" t="s">
        <v>50</v>
      </c>
      <c r="I39" s="1213" t="s">
        <v>50</v>
      </c>
      <c r="J39" s="1208"/>
      <c r="K39" s="35" t="s">
        <v>50</v>
      </c>
      <c r="L39" s="6" t="s">
        <v>50</v>
      </c>
      <c r="M39" s="1090" t="s">
        <v>1468</v>
      </c>
      <c r="N39" s="1090"/>
      <c r="O39" s="1091"/>
      <c r="P39" s="6" t="s">
        <v>1444</v>
      </c>
      <c r="Q39" s="1090" t="s">
        <v>1468</v>
      </c>
      <c r="R39" s="1090"/>
      <c r="S39" s="1091"/>
      <c r="T39" s="6" t="s">
        <v>1444</v>
      </c>
      <c r="U39" s="1090" t="s">
        <v>1468</v>
      </c>
      <c r="V39" s="1090"/>
      <c r="W39" s="1091"/>
      <c r="X39" s="50" t="s">
        <v>1444</v>
      </c>
    </row>
    <row r="40" spans="2:24">
      <c r="B40" s="70" t="s">
        <v>1469</v>
      </c>
      <c r="C40" s="1226" t="s">
        <v>1470</v>
      </c>
      <c r="D40" s="1214"/>
      <c r="E40" s="1213"/>
      <c r="F40" s="1208"/>
      <c r="G40" s="35"/>
      <c r="H40" s="6"/>
      <c r="I40" s="1213"/>
      <c r="J40" s="1208"/>
      <c r="K40" s="35"/>
      <c r="L40" s="6"/>
      <c r="M40" s="1213"/>
      <c r="N40" s="1208"/>
      <c r="O40" s="35"/>
      <c r="P40" s="6"/>
      <c r="Q40" s="1213"/>
      <c r="R40" s="1208"/>
      <c r="S40" s="35"/>
      <c r="T40" s="6"/>
      <c r="U40" s="1213"/>
      <c r="V40" s="1208"/>
      <c r="W40" s="35"/>
      <c r="X40" s="50"/>
    </row>
    <row r="41" spans="2:24">
      <c r="B41" s="70" t="s">
        <v>1471</v>
      </c>
      <c r="C41" s="1226" t="s">
        <v>1472</v>
      </c>
      <c r="D41" s="1214"/>
      <c r="E41" s="1213"/>
      <c r="F41" s="1208"/>
      <c r="G41" s="35"/>
      <c r="H41" s="6"/>
      <c r="I41" s="1213"/>
      <c r="J41" s="1208"/>
      <c r="K41" s="35"/>
      <c r="L41" s="6"/>
      <c r="M41" s="1213"/>
      <c r="N41" s="1208"/>
      <c r="O41" s="35"/>
      <c r="P41" s="6"/>
      <c r="Q41" s="1213"/>
      <c r="R41" s="1208"/>
      <c r="S41" s="35"/>
      <c r="T41" s="6"/>
      <c r="U41" s="1213"/>
      <c r="V41" s="1208"/>
      <c r="W41" s="35"/>
      <c r="X41" s="50"/>
    </row>
    <row r="42" spans="2:24">
      <c r="B42" s="71" t="s">
        <v>1473</v>
      </c>
      <c r="C42" s="1227" t="s">
        <v>1474</v>
      </c>
      <c r="D42" s="1220"/>
      <c r="E42" s="1219"/>
      <c r="F42" s="1215"/>
      <c r="G42" s="51"/>
      <c r="H42" s="46"/>
      <c r="I42" s="1219"/>
      <c r="J42" s="1215"/>
      <c r="K42" s="51"/>
      <c r="L42" s="46"/>
      <c r="M42" s="1219"/>
      <c r="N42" s="1215"/>
      <c r="O42" s="51"/>
      <c r="P42" s="46"/>
      <c r="Q42" s="1219"/>
      <c r="R42" s="1215"/>
      <c r="S42" s="51"/>
      <c r="T42" s="46"/>
      <c r="U42" s="1219"/>
      <c r="V42" s="1215"/>
      <c r="W42" s="51"/>
      <c r="X42" s="52"/>
    </row>
  </sheetData>
  <mergeCells count="75">
    <mergeCell ref="L14:P14"/>
    <mergeCell ref="Q14:V14"/>
    <mergeCell ref="C26:D26"/>
    <mergeCell ref="C27:D27"/>
    <mergeCell ref="I26:K26"/>
    <mergeCell ref="I27:K27"/>
    <mergeCell ref="N27:O27"/>
    <mergeCell ref="E27:H27"/>
    <mergeCell ref="E28:H28"/>
    <mergeCell ref="E29:H29"/>
    <mergeCell ref="E30:H30"/>
    <mergeCell ref="B14:F14"/>
    <mergeCell ref="G14:K14"/>
    <mergeCell ref="C42:D42"/>
    <mergeCell ref="N29:O29"/>
    <mergeCell ref="N25:O25"/>
    <mergeCell ref="M39:O39"/>
    <mergeCell ref="Q39:S39"/>
    <mergeCell ref="M36:N36"/>
    <mergeCell ref="M37:N37"/>
    <mergeCell ref="M38:N38"/>
    <mergeCell ref="Q36:R36"/>
    <mergeCell ref="I28:K28"/>
    <mergeCell ref="I29:K29"/>
    <mergeCell ref="I30:K30"/>
    <mergeCell ref="C28:D28"/>
    <mergeCell ref="C29:D29"/>
    <mergeCell ref="C30:D30"/>
    <mergeCell ref="E26:H26"/>
    <mergeCell ref="C37:D37"/>
    <mergeCell ref="C38:D38"/>
    <mergeCell ref="C39:D39"/>
    <mergeCell ref="C40:D40"/>
    <mergeCell ref="C41:D41"/>
    <mergeCell ref="E35:F35"/>
    <mergeCell ref="I35:J35"/>
    <mergeCell ref="M35:N35"/>
    <mergeCell ref="Q35:R35"/>
    <mergeCell ref="U35:V35"/>
    <mergeCell ref="E41:F41"/>
    <mergeCell ref="E42:F42"/>
    <mergeCell ref="I36:J36"/>
    <mergeCell ref="I37:J37"/>
    <mergeCell ref="I38:J38"/>
    <mergeCell ref="I39:J39"/>
    <mergeCell ref="I40:J40"/>
    <mergeCell ref="I41:J41"/>
    <mergeCell ref="E36:F36"/>
    <mergeCell ref="E37:F37"/>
    <mergeCell ref="E38:F38"/>
    <mergeCell ref="E39:F39"/>
    <mergeCell ref="E40:F40"/>
    <mergeCell ref="U36:V36"/>
    <mergeCell ref="U37:V37"/>
    <mergeCell ref="U38:V38"/>
    <mergeCell ref="M40:N40"/>
    <mergeCell ref="I42:J42"/>
    <mergeCell ref="U39:W39"/>
    <mergeCell ref="U40:V40"/>
    <mergeCell ref="U41:V41"/>
    <mergeCell ref="U42:V42"/>
    <mergeCell ref="Q37:R37"/>
    <mergeCell ref="Q38:R38"/>
    <mergeCell ref="M41:N41"/>
    <mergeCell ref="M42:N42"/>
    <mergeCell ref="Q40:R40"/>
    <mergeCell ref="Q41:R41"/>
    <mergeCell ref="Q42:R42"/>
    <mergeCell ref="P28:Q28"/>
    <mergeCell ref="P29:Q29"/>
    <mergeCell ref="P30:Q30"/>
    <mergeCell ref="N30:O30"/>
    <mergeCell ref="P25:Q25"/>
    <mergeCell ref="P27:Q27"/>
    <mergeCell ref="P26:Q26"/>
  </mergeCells>
  <phoneticPr fontId="1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C1CE-49CD-49D9-A092-926E4D31B4E5}">
  <dimension ref="B2:B3"/>
  <sheetViews>
    <sheetView workbookViewId="0">
      <selection activeCell="B3" sqref="B3"/>
    </sheetView>
  </sheetViews>
  <sheetFormatPr defaultRowHeight="18"/>
  <sheetData>
    <row r="2" spans="2:2">
      <c r="B2" s="1" t="s">
        <v>1475</v>
      </c>
    </row>
    <row r="3" spans="2:2">
      <c r="B3" s="1" t="s">
        <v>1476</v>
      </c>
    </row>
  </sheetData>
  <phoneticPr fontId="10"/>
  <hyperlinks>
    <hyperlink ref="B2" r:id="rId1" xr:uid="{A6A58E2A-3276-4EC0-9233-BE2AB4806DC1}"/>
    <hyperlink ref="B3" r:id="rId2" xr:uid="{AA69A5F4-74C6-4420-A7CB-A90E6D4AE72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1848-961D-41E3-ABF5-78D452FB3B07}">
  <dimension ref="A2:DH71"/>
  <sheetViews>
    <sheetView showGridLines="0" zoomScale="85" zoomScaleNormal="85" workbookViewId="0">
      <pane xSplit="11" ySplit="4" topLeftCell="L18" activePane="bottomRight" state="frozen"/>
      <selection pane="bottomRight" activeCell="L89" sqref="L89"/>
      <selection pane="bottomLeft" activeCell="A5" sqref="A5"/>
      <selection pane="topRight" activeCell="H1" sqref="H1"/>
    </sheetView>
  </sheetViews>
  <sheetFormatPr defaultColWidth="13.25" defaultRowHeight="15" customHeight="1"/>
  <cols>
    <col min="1" max="1" width="15" style="104" customWidth="1"/>
    <col min="2" max="2" width="5.25" style="104" customWidth="1"/>
    <col min="3" max="3" width="30" style="104" customWidth="1"/>
    <col min="4" max="4" width="5.25" style="579" customWidth="1"/>
    <col min="5" max="5" width="19.875" style="104" customWidth="1"/>
    <col min="6" max="6" width="30.875" style="104" customWidth="1"/>
    <col min="7" max="7" width="37.5" style="104" customWidth="1"/>
    <col min="8" max="8" width="12.625" style="104" customWidth="1"/>
    <col min="9" max="9" width="14.25" style="766" customWidth="1"/>
    <col min="10" max="10" width="16.25" style="572" customWidth="1"/>
    <col min="11" max="11" width="9.25" style="104" customWidth="1"/>
    <col min="12" max="147" width="6.125" style="104" customWidth="1"/>
    <col min="148" max="16384" width="13.25" style="104"/>
  </cols>
  <sheetData>
    <row r="2" spans="1:112" ht="16.5" customHeight="1">
      <c r="A2" s="105"/>
      <c r="B2" s="108"/>
      <c r="C2" s="106"/>
      <c r="D2" s="575"/>
      <c r="E2" s="107"/>
      <c r="F2" s="107"/>
      <c r="G2" s="108"/>
      <c r="H2" s="105"/>
      <c r="I2" s="762"/>
      <c r="J2" s="767"/>
      <c r="K2" s="105"/>
      <c r="L2" s="109" t="s">
        <v>1477</v>
      </c>
      <c r="M2" s="110"/>
      <c r="N2" s="110"/>
      <c r="O2" s="110"/>
      <c r="P2" s="110"/>
      <c r="Q2" s="110"/>
      <c r="R2" s="110"/>
      <c r="S2" s="110"/>
      <c r="T2" s="110"/>
      <c r="U2" s="110"/>
      <c r="V2" s="110"/>
      <c r="W2" s="110"/>
      <c r="X2" s="110"/>
      <c r="Y2" s="110"/>
      <c r="Z2" s="109" t="s">
        <v>1478</v>
      </c>
      <c r="AA2" s="110"/>
      <c r="AB2" s="110"/>
      <c r="AC2" s="110"/>
      <c r="AD2" s="110"/>
      <c r="AE2" s="110"/>
      <c r="AF2" s="110"/>
      <c r="AG2" s="110"/>
      <c r="AH2" s="110"/>
      <c r="AI2" s="110"/>
      <c r="AJ2" s="110"/>
      <c r="AK2" s="110"/>
      <c r="AL2" s="110"/>
      <c r="AM2" s="110"/>
      <c r="AN2" s="109" t="s">
        <v>1479</v>
      </c>
      <c r="AO2" s="110"/>
      <c r="AP2" s="110"/>
      <c r="AQ2" s="110"/>
      <c r="AR2" s="110"/>
      <c r="AS2" s="110"/>
      <c r="AT2" s="110"/>
      <c r="AU2" s="110"/>
      <c r="AV2" s="110"/>
      <c r="AW2" s="110"/>
      <c r="AX2" s="110"/>
      <c r="AY2" s="110"/>
      <c r="AZ2" s="110"/>
      <c r="BA2" s="110"/>
      <c r="BB2" s="109" t="s">
        <v>1480</v>
      </c>
      <c r="BC2" s="110"/>
      <c r="BD2" s="110"/>
      <c r="BE2" s="110"/>
      <c r="BF2" s="110"/>
      <c r="BG2" s="110"/>
      <c r="BH2" s="110"/>
      <c r="BI2" s="110"/>
      <c r="BJ2" s="110"/>
      <c r="BK2" s="110"/>
      <c r="BL2" s="110"/>
      <c r="BM2" s="110"/>
      <c r="BN2" s="110"/>
      <c r="BO2" s="110"/>
      <c r="BP2" s="110"/>
      <c r="BQ2" s="110"/>
      <c r="BR2" s="110"/>
      <c r="BS2" s="110"/>
      <c r="BT2" s="110"/>
      <c r="BU2" s="110"/>
      <c r="BV2" s="110"/>
      <c r="BW2" s="109" t="s">
        <v>1481</v>
      </c>
      <c r="BX2" s="110"/>
      <c r="BY2" s="110"/>
      <c r="BZ2" s="110"/>
      <c r="CA2" s="110"/>
      <c r="CB2" s="110"/>
      <c r="CC2" s="110"/>
      <c r="CD2" s="110"/>
      <c r="CE2" s="110"/>
      <c r="CF2" s="110"/>
      <c r="CG2" s="110"/>
      <c r="CH2" s="110"/>
      <c r="CI2" s="110"/>
      <c r="CJ2" s="110"/>
      <c r="CK2" s="109" t="s">
        <v>1482</v>
      </c>
      <c r="CL2" s="110"/>
      <c r="CM2" s="110"/>
      <c r="CN2" s="110"/>
      <c r="CO2" s="110"/>
      <c r="CP2" s="110"/>
      <c r="CQ2" s="110"/>
      <c r="CR2" s="110"/>
      <c r="CS2" s="110"/>
      <c r="CT2" s="110"/>
      <c r="CU2" s="110"/>
      <c r="CV2" s="110"/>
      <c r="CW2" s="110"/>
      <c r="CX2" s="110"/>
      <c r="CY2" s="109" t="s">
        <v>1483</v>
      </c>
      <c r="CZ2" s="110"/>
      <c r="DA2" s="110"/>
      <c r="DB2" s="110"/>
      <c r="DC2" s="110"/>
      <c r="DD2" s="110"/>
      <c r="DE2" s="110"/>
      <c r="DF2" s="110"/>
      <c r="DG2" s="110"/>
      <c r="DH2" s="110"/>
    </row>
    <row r="3" spans="1:112" ht="16.5" customHeight="1">
      <c r="A3" s="111"/>
      <c r="B3" s="113"/>
      <c r="C3" s="112"/>
      <c r="D3" s="576"/>
      <c r="G3" s="113"/>
      <c r="H3" s="111"/>
      <c r="I3" s="756"/>
      <c r="K3" s="111"/>
      <c r="L3" s="422">
        <v>46195</v>
      </c>
      <c r="M3" s="423">
        <v>46196</v>
      </c>
      <c r="N3" s="423">
        <v>46197</v>
      </c>
      <c r="O3" s="423">
        <v>46198</v>
      </c>
      <c r="P3" s="423">
        <v>46199</v>
      </c>
      <c r="Q3" s="504">
        <v>46200</v>
      </c>
      <c r="R3" s="504">
        <v>46201</v>
      </c>
      <c r="S3" s="423">
        <v>46202</v>
      </c>
      <c r="T3" s="423">
        <v>46203</v>
      </c>
      <c r="U3" s="580">
        <v>46204</v>
      </c>
      <c r="V3" s="423">
        <v>46205</v>
      </c>
      <c r="W3" s="423">
        <v>46206</v>
      </c>
      <c r="X3" s="504">
        <v>46207</v>
      </c>
      <c r="Y3" s="669">
        <v>46208</v>
      </c>
      <c r="Z3" s="422">
        <v>46209</v>
      </c>
      <c r="AA3" s="423">
        <v>46210</v>
      </c>
      <c r="AB3" s="584">
        <v>46211</v>
      </c>
      <c r="AC3" s="423">
        <v>46212</v>
      </c>
      <c r="AD3" s="423">
        <v>46213</v>
      </c>
      <c r="AE3" s="504">
        <v>46214</v>
      </c>
      <c r="AF3" s="504">
        <v>46215</v>
      </c>
      <c r="AG3" s="423">
        <v>46216</v>
      </c>
      <c r="AH3" s="423">
        <v>46217</v>
      </c>
      <c r="AI3" s="580">
        <v>46218</v>
      </c>
      <c r="AJ3" s="580">
        <v>46219</v>
      </c>
      <c r="AK3" s="580">
        <v>46220</v>
      </c>
      <c r="AL3" s="582">
        <v>46221</v>
      </c>
      <c r="AM3" s="663">
        <v>46222</v>
      </c>
      <c r="AN3" s="652">
        <v>46223</v>
      </c>
      <c r="AO3" s="580">
        <v>46224</v>
      </c>
      <c r="AP3" s="584">
        <v>46225</v>
      </c>
      <c r="AQ3" s="580">
        <v>46226</v>
      </c>
      <c r="AR3" s="580">
        <v>46227</v>
      </c>
      <c r="AS3" s="582">
        <v>46228</v>
      </c>
      <c r="AT3" s="582">
        <v>46229</v>
      </c>
      <c r="AU3" s="580">
        <v>46230</v>
      </c>
      <c r="AV3" s="580">
        <v>46231</v>
      </c>
      <c r="AW3" s="580">
        <v>46232</v>
      </c>
      <c r="AX3" s="580">
        <v>46233</v>
      </c>
      <c r="AY3" s="580">
        <v>46234</v>
      </c>
      <c r="AZ3" s="582">
        <v>46235</v>
      </c>
      <c r="BA3" s="582">
        <v>46236</v>
      </c>
      <c r="BB3" s="580">
        <v>46237</v>
      </c>
      <c r="BC3" s="580">
        <v>46238</v>
      </c>
      <c r="BD3" s="584">
        <v>46239</v>
      </c>
      <c r="BE3" s="580">
        <v>46240</v>
      </c>
      <c r="BF3" s="580">
        <v>46241</v>
      </c>
      <c r="BG3" s="582">
        <v>46242</v>
      </c>
      <c r="BH3" s="582">
        <v>46243</v>
      </c>
      <c r="BI3" s="743">
        <v>46244</v>
      </c>
      <c r="BJ3" s="582">
        <v>46245</v>
      </c>
      <c r="BK3" s="743">
        <v>46246</v>
      </c>
      <c r="BL3" s="743">
        <v>46247</v>
      </c>
      <c r="BM3" s="743">
        <v>46248</v>
      </c>
      <c r="BN3" s="582">
        <v>46249</v>
      </c>
      <c r="BO3" s="582">
        <v>46250</v>
      </c>
      <c r="BP3" s="580">
        <v>46251</v>
      </c>
      <c r="BQ3" s="580">
        <v>46252</v>
      </c>
      <c r="BR3" s="584">
        <v>46253</v>
      </c>
      <c r="BS3" s="580">
        <v>46254</v>
      </c>
      <c r="BT3" s="580">
        <v>46255</v>
      </c>
      <c r="BU3" s="582">
        <v>46256</v>
      </c>
      <c r="BV3" s="582">
        <v>46257</v>
      </c>
      <c r="BW3" s="642">
        <v>46258</v>
      </c>
      <c r="BX3" s="580">
        <v>46259</v>
      </c>
      <c r="BY3" s="580">
        <v>46260</v>
      </c>
      <c r="BZ3" s="580">
        <v>46261</v>
      </c>
      <c r="CA3" s="580">
        <v>46262</v>
      </c>
      <c r="CB3" s="582">
        <v>46263</v>
      </c>
      <c r="CC3" s="663">
        <v>46264</v>
      </c>
      <c r="CD3" s="698">
        <v>46265</v>
      </c>
      <c r="CE3" s="580">
        <v>46266</v>
      </c>
      <c r="CF3" s="584">
        <v>46267</v>
      </c>
      <c r="CG3" s="580">
        <v>46268</v>
      </c>
      <c r="CH3" s="580">
        <v>46269</v>
      </c>
      <c r="CI3" s="582">
        <v>46270</v>
      </c>
      <c r="CJ3" s="582">
        <v>46271</v>
      </c>
      <c r="CK3" s="580">
        <v>46272</v>
      </c>
      <c r="CL3" s="580">
        <v>46273</v>
      </c>
      <c r="CM3" s="580">
        <v>46274</v>
      </c>
      <c r="CN3" s="580">
        <v>46275</v>
      </c>
      <c r="CO3" s="580">
        <v>46276</v>
      </c>
      <c r="CP3" s="582">
        <v>46277</v>
      </c>
      <c r="CQ3" s="582">
        <v>46278</v>
      </c>
      <c r="CR3" s="580">
        <v>46279</v>
      </c>
      <c r="CS3" s="580">
        <v>46280</v>
      </c>
      <c r="CT3" s="584">
        <v>46281</v>
      </c>
      <c r="CU3" s="580">
        <v>46282</v>
      </c>
      <c r="CV3" s="580">
        <v>46283</v>
      </c>
      <c r="CW3" s="582">
        <v>46284</v>
      </c>
      <c r="CX3" s="582">
        <v>46285</v>
      </c>
      <c r="CY3" s="580">
        <v>46286</v>
      </c>
      <c r="CZ3" s="580">
        <v>46287</v>
      </c>
      <c r="DA3" s="580">
        <v>46288</v>
      </c>
      <c r="DB3" s="580">
        <v>46289</v>
      </c>
      <c r="DC3" s="580">
        <v>46290</v>
      </c>
      <c r="DD3" s="582">
        <v>46291</v>
      </c>
      <c r="DE3" s="582">
        <v>46292</v>
      </c>
      <c r="DF3" s="580">
        <v>46293</v>
      </c>
      <c r="DG3" s="580">
        <v>46294</v>
      </c>
      <c r="DH3" s="586">
        <v>46295</v>
      </c>
    </row>
    <row r="4" spans="1:112" ht="16.5" customHeight="1" thickBot="1">
      <c r="A4" s="114" t="s">
        <v>1484</v>
      </c>
      <c r="B4" s="117"/>
      <c r="C4" s="115" t="s">
        <v>1485</v>
      </c>
      <c r="D4" s="577"/>
      <c r="E4" s="116" t="s">
        <v>1486</v>
      </c>
      <c r="F4" s="116"/>
      <c r="G4" s="117" t="s">
        <v>1487</v>
      </c>
      <c r="H4" s="114" t="s">
        <v>1413</v>
      </c>
      <c r="I4" s="763" t="s">
        <v>1435</v>
      </c>
      <c r="J4" s="768" t="s">
        <v>1488</v>
      </c>
      <c r="K4" s="114" t="s">
        <v>1489</v>
      </c>
      <c r="L4" s="424" t="s">
        <v>1490</v>
      </c>
      <c r="M4" s="118" t="s">
        <v>1491</v>
      </c>
      <c r="N4" s="118" t="s">
        <v>1492</v>
      </c>
      <c r="O4" s="118" t="s">
        <v>1493</v>
      </c>
      <c r="P4" s="118" t="s">
        <v>1494</v>
      </c>
      <c r="Q4" s="505" t="s">
        <v>1495</v>
      </c>
      <c r="R4" s="505" t="s">
        <v>1496</v>
      </c>
      <c r="S4" s="118" t="s">
        <v>1490</v>
      </c>
      <c r="T4" s="118" t="s">
        <v>1491</v>
      </c>
      <c r="U4" s="581" t="s">
        <v>1492</v>
      </c>
      <c r="V4" s="118" t="s">
        <v>1493</v>
      </c>
      <c r="W4" s="118" t="s">
        <v>1494</v>
      </c>
      <c r="X4" s="505" t="s">
        <v>1495</v>
      </c>
      <c r="Y4" s="670" t="s">
        <v>1496</v>
      </c>
      <c r="Z4" s="424" t="s">
        <v>1490</v>
      </c>
      <c r="AA4" s="118" t="s">
        <v>1491</v>
      </c>
      <c r="AB4" s="585" t="s">
        <v>1492</v>
      </c>
      <c r="AC4" s="118" t="s">
        <v>1493</v>
      </c>
      <c r="AD4" s="118" t="s">
        <v>1494</v>
      </c>
      <c r="AE4" s="505" t="s">
        <v>1495</v>
      </c>
      <c r="AF4" s="505" t="s">
        <v>1496</v>
      </c>
      <c r="AG4" s="118" t="s">
        <v>1490</v>
      </c>
      <c r="AH4" s="118" t="s">
        <v>1491</v>
      </c>
      <c r="AI4" s="581" t="s">
        <v>1492</v>
      </c>
      <c r="AJ4" s="581" t="s">
        <v>1493</v>
      </c>
      <c r="AK4" s="581" t="s">
        <v>1494</v>
      </c>
      <c r="AL4" s="583" t="s">
        <v>1495</v>
      </c>
      <c r="AM4" s="664" t="s">
        <v>1496</v>
      </c>
      <c r="AN4" s="653" t="s">
        <v>1490</v>
      </c>
      <c r="AO4" s="581" t="s">
        <v>1491</v>
      </c>
      <c r="AP4" s="585" t="s">
        <v>1492</v>
      </c>
      <c r="AQ4" s="581" t="s">
        <v>1493</v>
      </c>
      <c r="AR4" s="581" t="s">
        <v>1494</v>
      </c>
      <c r="AS4" s="583" t="s">
        <v>1495</v>
      </c>
      <c r="AT4" s="583" t="s">
        <v>1496</v>
      </c>
      <c r="AU4" s="581" t="s">
        <v>1490</v>
      </c>
      <c r="AV4" s="581" t="s">
        <v>1491</v>
      </c>
      <c r="AW4" s="581" t="s">
        <v>1492</v>
      </c>
      <c r="AX4" s="581" t="s">
        <v>1493</v>
      </c>
      <c r="AY4" s="581" t="s">
        <v>1494</v>
      </c>
      <c r="AZ4" s="583" t="s">
        <v>1495</v>
      </c>
      <c r="BA4" s="583" t="s">
        <v>1496</v>
      </c>
      <c r="BB4" s="581" t="s">
        <v>1490</v>
      </c>
      <c r="BC4" s="581" t="s">
        <v>1491</v>
      </c>
      <c r="BD4" s="585" t="s">
        <v>1492</v>
      </c>
      <c r="BE4" s="581" t="s">
        <v>1493</v>
      </c>
      <c r="BF4" s="581" t="s">
        <v>1494</v>
      </c>
      <c r="BG4" s="583" t="s">
        <v>1495</v>
      </c>
      <c r="BH4" s="583" t="s">
        <v>1496</v>
      </c>
      <c r="BI4" s="744" t="s">
        <v>1490</v>
      </c>
      <c r="BJ4" s="583" t="s">
        <v>1491</v>
      </c>
      <c r="BK4" s="744" t="s">
        <v>1492</v>
      </c>
      <c r="BL4" s="744" t="s">
        <v>1493</v>
      </c>
      <c r="BM4" s="744" t="s">
        <v>1494</v>
      </c>
      <c r="BN4" s="583" t="s">
        <v>1495</v>
      </c>
      <c r="BO4" s="583" t="s">
        <v>1496</v>
      </c>
      <c r="BP4" s="581" t="s">
        <v>1490</v>
      </c>
      <c r="BQ4" s="581" t="s">
        <v>1491</v>
      </c>
      <c r="BR4" s="585" t="s">
        <v>1492</v>
      </c>
      <c r="BS4" s="581" t="s">
        <v>1493</v>
      </c>
      <c r="BT4" s="581" t="s">
        <v>1494</v>
      </c>
      <c r="BU4" s="583" t="s">
        <v>1495</v>
      </c>
      <c r="BV4" s="583" t="s">
        <v>1496</v>
      </c>
      <c r="BW4" s="643" t="s">
        <v>1490</v>
      </c>
      <c r="BX4" s="581" t="s">
        <v>1491</v>
      </c>
      <c r="BY4" s="581" t="s">
        <v>1492</v>
      </c>
      <c r="BZ4" s="581" t="s">
        <v>1493</v>
      </c>
      <c r="CA4" s="581" t="s">
        <v>1494</v>
      </c>
      <c r="CB4" s="583" t="s">
        <v>1495</v>
      </c>
      <c r="CC4" s="664" t="s">
        <v>1496</v>
      </c>
      <c r="CD4" s="699" t="s">
        <v>1490</v>
      </c>
      <c r="CE4" s="581" t="s">
        <v>1491</v>
      </c>
      <c r="CF4" s="585" t="s">
        <v>1492</v>
      </c>
      <c r="CG4" s="581" t="s">
        <v>1493</v>
      </c>
      <c r="CH4" s="581" t="s">
        <v>1494</v>
      </c>
      <c r="CI4" s="583" t="s">
        <v>1495</v>
      </c>
      <c r="CJ4" s="583" t="s">
        <v>1496</v>
      </c>
      <c r="CK4" s="581" t="s">
        <v>1490</v>
      </c>
      <c r="CL4" s="581" t="s">
        <v>1491</v>
      </c>
      <c r="CM4" s="581" t="s">
        <v>1492</v>
      </c>
      <c r="CN4" s="581" t="s">
        <v>1493</v>
      </c>
      <c r="CO4" s="581" t="s">
        <v>1494</v>
      </c>
      <c r="CP4" s="583" t="s">
        <v>1495</v>
      </c>
      <c r="CQ4" s="583" t="s">
        <v>1496</v>
      </c>
      <c r="CR4" s="581" t="s">
        <v>1490</v>
      </c>
      <c r="CS4" s="581" t="s">
        <v>1491</v>
      </c>
      <c r="CT4" s="585" t="s">
        <v>1492</v>
      </c>
      <c r="CU4" s="581" t="s">
        <v>1493</v>
      </c>
      <c r="CV4" s="581" t="s">
        <v>1494</v>
      </c>
      <c r="CW4" s="583" t="s">
        <v>1495</v>
      </c>
      <c r="CX4" s="583" t="s">
        <v>1496</v>
      </c>
      <c r="CY4" s="581" t="s">
        <v>1490</v>
      </c>
      <c r="CZ4" s="581" t="s">
        <v>1491</v>
      </c>
      <c r="DA4" s="581" t="s">
        <v>1492</v>
      </c>
      <c r="DB4" s="581" t="s">
        <v>1493</v>
      </c>
      <c r="DC4" s="581" t="s">
        <v>1494</v>
      </c>
      <c r="DD4" s="583" t="s">
        <v>1495</v>
      </c>
      <c r="DE4" s="583" t="s">
        <v>1496</v>
      </c>
      <c r="DF4" s="581" t="s">
        <v>1490</v>
      </c>
      <c r="DG4" s="581" t="s">
        <v>1491</v>
      </c>
      <c r="DH4" s="587" t="s">
        <v>1492</v>
      </c>
    </row>
    <row r="5" spans="1:112" ht="16.5" customHeight="1" thickTop="1">
      <c r="A5" s="111" t="s">
        <v>1497</v>
      </c>
      <c r="B5" s="113">
        <v>1</v>
      </c>
      <c r="C5" s="112" t="s">
        <v>1498</v>
      </c>
      <c r="D5" s="576">
        <v>1</v>
      </c>
      <c r="E5" s="154" t="s">
        <v>49</v>
      </c>
      <c r="F5" s="154"/>
      <c r="G5" s="155"/>
      <c r="H5" s="119" t="s">
        <v>49</v>
      </c>
      <c r="I5" s="532" t="s">
        <v>1499</v>
      </c>
      <c r="J5" s="769" t="s">
        <v>1500</v>
      </c>
      <c r="K5" s="425" t="s">
        <v>1501</v>
      </c>
      <c r="L5" s="487"/>
      <c r="M5" s="488"/>
      <c r="N5" s="488"/>
      <c r="O5" s="488"/>
      <c r="P5" s="488"/>
      <c r="Q5" s="120"/>
      <c r="R5" s="120"/>
      <c r="S5" s="488"/>
      <c r="T5" s="488"/>
      <c r="U5" s="488"/>
      <c r="V5" s="121"/>
      <c r="W5" s="121"/>
      <c r="X5" s="120"/>
      <c r="Y5" s="636"/>
      <c r="Z5" s="124"/>
      <c r="AA5" s="125"/>
      <c r="AB5" s="125"/>
      <c r="AC5" s="125"/>
      <c r="AD5" s="125"/>
      <c r="AE5" s="120"/>
      <c r="AF5" s="120"/>
      <c r="AG5" s="125"/>
      <c r="AH5" s="125"/>
      <c r="AI5" s="121"/>
      <c r="AJ5" s="121"/>
      <c r="AK5" s="121"/>
      <c r="AL5" s="120"/>
      <c r="AM5" s="636"/>
      <c r="AN5" s="654"/>
      <c r="AO5" s="125"/>
      <c r="AP5" s="121"/>
      <c r="AQ5" s="121"/>
      <c r="AR5" s="121"/>
      <c r="AS5" s="120"/>
      <c r="AT5" s="120"/>
      <c r="AU5" s="125"/>
      <c r="AV5" s="125"/>
      <c r="AW5" s="121"/>
      <c r="AX5" s="121"/>
      <c r="AY5" s="121"/>
      <c r="AZ5" s="120"/>
      <c r="BA5" s="120"/>
      <c r="BB5" s="673"/>
      <c r="BC5" s="673"/>
      <c r="BD5" s="674"/>
      <c r="BE5" s="121"/>
      <c r="BF5" s="121"/>
      <c r="BG5" s="120"/>
      <c r="BH5" s="120"/>
      <c r="BI5" s="745"/>
      <c r="BJ5" s="506"/>
      <c r="BK5" s="745"/>
      <c r="BL5" s="745"/>
      <c r="BM5" s="745"/>
      <c r="BN5" s="122"/>
      <c r="BO5" s="123"/>
      <c r="BP5" s="125"/>
      <c r="BQ5" s="125"/>
      <c r="BR5" s="121"/>
      <c r="BS5" s="121"/>
      <c r="BT5" s="121"/>
      <c r="BU5" s="122"/>
      <c r="BV5" s="122"/>
      <c r="BW5" s="644"/>
      <c r="BX5" s="125"/>
      <c r="BY5" s="121"/>
      <c r="BZ5" s="121"/>
      <c r="CA5" s="121"/>
      <c r="CB5" s="122"/>
      <c r="CC5" s="701"/>
      <c r="CD5" s="124"/>
      <c r="CE5" s="125"/>
      <c r="CF5" s="121"/>
      <c r="CG5" s="121"/>
      <c r="CH5" s="121"/>
      <c r="CI5" s="122"/>
      <c r="CJ5" s="122"/>
      <c r="CK5" s="644"/>
      <c r="CL5" s="125"/>
      <c r="CM5" s="121"/>
      <c r="CN5" s="121"/>
      <c r="CO5" s="121"/>
      <c r="CP5" s="122"/>
      <c r="CQ5" s="122"/>
      <c r="CR5" s="644"/>
      <c r="CS5" s="125"/>
      <c r="CT5" s="121"/>
      <c r="CU5" s="121"/>
      <c r="CV5" s="121"/>
      <c r="CW5" s="122"/>
      <c r="CX5" s="122"/>
      <c r="CY5" s="644"/>
      <c r="CZ5" s="125"/>
      <c r="DA5" s="121"/>
      <c r="DB5" s="121"/>
      <c r="DC5" s="121"/>
      <c r="DD5" s="122"/>
      <c r="DE5" s="123"/>
      <c r="DF5" s="125"/>
      <c r="DG5" s="125"/>
      <c r="DH5" s="532"/>
    </row>
    <row r="6" spans="1:112" ht="16.5" customHeight="1">
      <c r="A6" s="111"/>
      <c r="B6" s="113"/>
      <c r="C6" s="426" t="s">
        <v>1502</v>
      </c>
      <c r="D6" s="576">
        <v>2</v>
      </c>
      <c r="E6" s="156" t="s">
        <v>53</v>
      </c>
      <c r="F6" s="156"/>
      <c r="G6" s="157"/>
      <c r="H6" s="126" t="s">
        <v>53</v>
      </c>
      <c r="I6" s="533" t="s">
        <v>1503</v>
      </c>
      <c r="J6" s="770" t="s">
        <v>1504</v>
      </c>
      <c r="K6" s="427" t="s">
        <v>1501</v>
      </c>
      <c r="L6" s="489"/>
      <c r="M6" s="490"/>
      <c r="N6" s="490"/>
      <c r="O6" s="490"/>
      <c r="P6" s="490"/>
      <c r="Q6" s="127"/>
      <c r="R6" s="127"/>
      <c r="S6" s="490"/>
      <c r="T6" s="490"/>
      <c r="U6" s="490"/>
      <c r="V6" s="128"/>
      <c r="W6" s="128"/>
      <c r="X6" s="127"/>
      <c r="Y6" s="637"/>
      <c r="Z6" s="131"/>
      <c r="AA6" s="132"/>
      <c r="AB6" s="132"/>
      <c r="AC6" s="132"/>
      <c r="AD6" s="132"/>
      <c r="AE6" s="127"/>
      <c r="AF6" s="127"/>
      <c r="AG6" s="132"/>
      <c r="AH6" s="132"/>
      <c r="AI6" s="128"/>
      <c r="AJ6" s="128"/>
      <c r="AK6" s="128"/>
      <c r="AL6" s="127"/>
      <c r="AM6" s="637"/>
      <c r="AN6" s="655"/>
      <c r="AO6" s="132"/>
      <c r="AP6" s="128"/>
      <c r="AQ6" s="128"/>
      <c r="AR6" s="128"/>
      <c r="AS6" s="127"/>
      <c r="AT6" s="127"/>
      <c r="AU6" s="132"/>
      <c r="AV6" s="132"/>
      <c r="AW6" s="128"/>
      <c r="AX6" s="128"/>
      <c r="AY6" s="128"/>
      <c r="AZ6" s="127"/>
      <c r="BA6" s="637"/>
      <c r="BB6" s="686"/>
      <c r="BC6" s="675"/>
      <c r="BD6" s="676"/>
      <c r="BE6" s="128"/>
      <c r="BF6" s="128"/>
      <c r="BG6" s="127"/>
      <c r="BH6" s="127"/>
      <c r="BI6" s="746"/>
      <c r="BJ6" s="507"/>
      <c r="BK6" s="746"/>
      <c r="BL6" s="746"/>
      <c r="BM6" s="746"/>
      <c r="BN6" s="129"/>
      <c r="BO6" s="130"/>
      <c r="BP6" s="132"/>
      <c r="BQ6" s="132"/>
      <c r="BR6" s="128"/>
      <c r="BS6" s="128"/>
      <c r="BT6" s="128"/>
      <c r="BU6" s="129"/>
      <c r="BV6" s="129"/>
      <c r="BW6" s="645"/>
      <c r="BX6" s="132"/>
      <c r="BY6" s="128"/>
      <c r="BZ6" s="128"/>
      <c r="CA6" s="128"/>
      <c r="CB6" s="129"/>
      <c r="CC6" s="672"/>
      <c r="CD6" s="131"/>
      <c r="CE6" s="132"/>
      <c r="CF6" s="128"/>
      <c r="CG6" s="128"/>
      <c r="CH6" s="128"/>
      <c r="CI6" s="129"/>
      <c r="CJ6" s="129"/>
      <c r="CK6" s="645"/>
      <c r="CL6" s="132"/>
      <c r="CM6" s="128"/>
      <c r="CN6" s="128"/>
      <c r="CO6" s="128"/>
      <c r="CP6" s="129"/>
      <c r="CQ6" s="129"/>
      <c r="CR6" s="645"/>
      <c r="CS6" s="132"/>
      <c r="CT6" s="128"/>
      <c r="CU6" s="128"/>
      <c r="CV6" s="128"/>
      <c r="CW6" s="129"/>
      <c r="CX6" s="129"/>
      <c r="CY6" s="645"/>
      <c r="CZ6" s="132"/>
      <c r="DA6" s="128"/>
      <c r="DB6" s="128"/>
      <c r="DC6" s="128"/>
      <c r="DD6" s="129"/>
      <c r="DE6" s="130"/>
      <c r="DF6" s="132"/>
      <c r="DG6" s="132"/>
      <c r="DH6" s="533"/>
    </row>
    <row r="7" spans="1:112" ht="16.5" customHeight="1">
      <c r="A7" s="111"/>
      <c r="B7" s="113"/>
      <c r="C7" s="112"/>
      <c r="D7" s="576">
        <v>3</v>
      </c>
      <c r="E7" s="156" t="s">
        <v>55</v>
      </c>
      <c r="F7" s="156"/>
      <c r="G7" s="157"/>
      <c r="H7" s="126" t="s">
        <v>55</v>
      </c>
      <c r="I7" s="533" t="s">
        <v>401</v>
      </c>
      <c r="J7" s="771" t="s">
        <v>50</v>
      </c>
      <c r="K7" s="427" t="s">
        <v>1501</v>
      </c>
      <c r="L7" s="489"/>
      <c r="M7" s="490"/>
      <c r="N7" s="490"/>
      <c r="O7" s="490"/>
      <c r="P7" s="490"/>
      <c r="Q7" s="127"/>
      <c r="R7" s="127"/>
      <c r="S7" s="490"/>
      <c r="T7" s="490"/>
      <c r="U7" s="490"/>
      <c r="V7" s="128"/>
      <c r="W7" s="128"/>
      <c r="X7" s="127"/>
      <c r="Y7" s="637"/>
      <c r="Z7" s="131"/>
      <c r="AA7" s="132"/>
      <c r="AB7" s="132"/>
      <c r="AC7" s="132"/>
      <c r="AD7" s="132"/>
      <c r="AE7" s="127"/>
      <c r="AF7" s="127"/>
      <c r="AG7" s="132"/>
      <c r="AH7" s="132"/>
      <c r="AI7" s="128"/>
      <c r="AJ7" s="128"/>
      <c r="AK7" s="128"/>
      <c r="AL7" s="127"/>
      <c r="AM7" s="637"/>
      <c r="AN7" s="655"/>
      <c r="AO7" s="132"/>
      <c r="AP7" s="128"/>
      <c r="AQ7" s="128"/>
      <c r="AR7" s="128"/>
      <c r="AS7" s="127"/>
      <c r="AT7" s="127"/>
      <c r="AU7" s="132"/>
      <c r="AV7" s="132"/>
      <c r="AW7" s="128"/>
      <c r="AX7" s="128"/>
      <c r="AY7" s="128"/>
      <c r="AZ7" s="127"/>
      <c r="BA7" s="637"/>
      <c r="BB7" s="686"/>
      <c r="BC7" s="675"/>
      <c r="BD7" s="676"/>
      <c r="BE7" s="128"/>
      <c r="BF7" s="128"/>
      <c r="BG7" s="127"/>
      <c r="BH7" s="127"/>
      <c r="BI7" s="746"/>
      <c r="BJ7" s="507"/>
      <c r="BK7" s="746"/>
      <c r="BL7" s="746"/>
      <c r="BM7" s="746"/>
      <c r="BN7" s="129"/>
      <c r="BO7" s="130"/>
      <c r="BP7" s="132"/>
      <c r="BQ7" s="132"/>
      <c r="BR7" s="128"/>
      <c r="BS7" s="128"/>
      <c r="BT7" s="128"/>
      <c r="BU7" s="129"/>
      <c r="BV7" s="129"/>
      <c r="BW7" s="645"/>
      <c r="BX7" s="132"/>
      <c r="BY7" s="128"/>
      <c r="BZ7" s="128"/>
      <c r="CA7" s="128"/>
      <c r="CB7" s="129"/>
      <c r="CC7" s="672"/>
      <c r="CD7" s="131"/>
      <c r="CE7" s="132"/>
      <c r="CF7" s="128"/>
      <c r="CG7" s="128"/>
      <c r="CH7" s="128"/>
      <c r="CI7" s="129"/>
      <c r="CJ7" s="129"/>
      <c r="CK7" s="645"/>
      <c r="CL7" s="132"/>
      <c r="CM7" s="128"/>
      <c r="CN7" s="128"/>
      <c r="CO7" s="128"/>
      <c r="CP7" s="129"/>
      <c r="CQ7" s="129"/>
      <c r="CR7" s="645"/>
      <c r="CS7" s="132"/>
      <c r="CT7" s="128"/>
      <c r="CU7" s="128"/>
      <c r="CV7" s="128"/>
      <c r="CW7" s="129"/>
      <c r="CX7" s="129"/>
      <c r="CY7" s="645"/>
      <c r="CZ7" s="132"/>
      <c r="DA7" s="128"/>
      <c r="DB7" s="128"/>
      <c r="DC7" s="128"/>
      <c r="DD7" s="129"/>
      <c r="DE7" s="130"/>
      <c r="DF7" s="132"/>
      <c r="DG7" s="132"/>
      <c r="DH7" s="533"/>
    </row>
    <row r="8" spans="1:112" ht="16.5" customHeight="1">
      <c r="A8" s="111"/>
      <c r="B8" s="113"/>
      <c r="C8" s="112"/>
      <c r="D8" s="576">
        <v>4</v>
      </c>
      <c r="E8" s="159" t="s">
        <v>1505</v>
      </c>
      <c r="F8" s="159"/>
      <c r="G8" s="160"/>
      <c r="H8" s="133" t="s">
        <v>49</v>
      </c>
      <c r="I8" s="534" t="s">
        <v>1499</v>
      </c>
      <c r="J8" s="770" t="s">
        <v>1506</v>
      </c>
      <c r="K8" s="427" t="s">
        <v>1501</v>
      </c>
      <c r="L8" s="133"/>
      <c r="M8" s="134"/>
      <c r="N8" s="134"/>
      <c r="O8" s="134"/>
      <c r="P8" s="134"/>
      <c r="Q8" s="135"/>
      <c r="R8" s="135"/>
      <c r="S8" s="134"/>
      <c r="T8" s="134"/>
      <c r="U8" s="134"/>
      <c r="V8" s="134"/>
      <c r="W8" s="134"/>
      <c r="X8" s="135"/>
      <c r="Y8" s="665"/>
      <c r="Z8" s="133"/>
      <c r="AA8" s="134"/>
      <c r="AB8" s="742"/>
      <c r="AC8" s="742"/>
      <c r="AD8" s="742"/>
      <c r="AE8" s="135"/>
      <c r="AF8" s="135"/>
      <c r="AG8" s="742"/>
      <c r="AH8" s="742"/>
      <c r="AI8" s="742"/>
      <c r="AJ8" s="742"/>
      <c r="AK8" s="134"/>
      <c r="AL8" s="135"/>
      <c r="AM8" s="665"/>
      <c r="AN8" s="656"/>
      <c r="AO8" s="138"/>
      <c r="AP8" s="134"/>
      <c r="AQ8" s="134"/>
      <c r="AR8" s="134"/>
      <c r="AS8" s="135"/>
      <c r="AT8" s="135"/>
      <c r="AU8" s="138"/>
      <c r="AV8" s="138"/>
      <c r="AW8" s="134"/>
      <c r="AX8" s="134"/>
      <c r="AY8" s="134"/>
      <c r="AZ8" s="135"/>
      <c r="BA8" s="665"/>
      <c r="BB8" s="687"/>
      <c r="BC8" s="677"/>
      <c r="BD8" s="678"/>
      <c r="BE8" s="134"/>
      <c r="BF8" s="134"/>
      <c r="BG8" s="135"/>
      <c r="BH8" s="135"/>
      <c r="BI8" s="747"/>
      <c r="BJ8" s="508"/>
      <c r="BK8" s="747"/>
      <c r="BL8" s="747"/>
      <c r="BM8" s="747"/>
      <c r="BN8" s="136"/>
      <c r="BO8" s="137"/>
      <c r="BP8" s="138"/>
      <c r="BQ8" s="138"/>
      <c r="BR8" s="134"/>
      <c r="BS8" s="134"/>
      <c r="BT8" s="134"/>
      <c r="BU8" s="136"/>
      <c r="BV8" s="136"/>
      <c r="BW8" s="646"/>
      <c r="BX8" s="138"/>
      <c r="BY8" s="134"/>
      <c r="BZ8" s="134"/>
      <c r="CA8" s="134"/>
      <c r="CB8" s="136"/>
      <c r="CC8" s="634"/>
      <c r="CD8" s="700"/>
      <c r="CE8" s="138"/>
      <c r="CF8" s="134"/>
      <c r="CG8" s="134"/>
      <c r="CH8" s="134"/>
      <c r="CI8" s="136"/>
      <c r="CJ8" s="136"/>
      <c r="CK8" s="646"/>
      <c r="CL8" s="138"/>
      <c r="CM8" s="134"/>
      <c r="CN8" s="134"/>
      <c r="CO8" s="134"/>
      <c r="CP8" s="136"/>
      <c r="CQ8" s="136"/>
      <c r="CR8" s="646"/>
      <c r="CS8" s="138"/>
      <c r="CT8" s="134"/>
      <c r="CU8" s="134"/>
      <c r="CV8" s="134"/>
      <c r="CW8" s="136"/>
      <c r="CX8" s="136"/>
      <c r="CY8" s="646"/>
      <c r="CZ8" s="138"/>
      <c r="DA8" s="134"/>
      <c r="DB8" s="134"/>
      <c r="DC8" s="134"/>
      <c r="DD8" s="136"/>
      <c r="DE8" s="137"/>
      <c r="DF8" s="138"/>
      <c r="DG8" s="138"/>
      <c r="DH8" s="534"/>
    </row>
    <row r="9" spans="1:112" ht="16.5" customHeight="1">
      <c r="A9" s="111"/>
      <c r="B9" s="113"/>
      <c r="C9" s="112"/>
      <c r="D9" s="576">
        <v>5</v>
      </c>
      <c r="E9" s="159" t="s">
        <v>1507</v>
      </c>
      <c r="F9" s="159"/>
      <c r="G9" s="160"/>
      <c r="H9" s="133" t="s">
        <v>53</v>
      </c>
      <c r="I9" s="534" t="s">
        <v>1503</v>
      </c>
      <c r="J9" s="770" t="s">
        <v>1508</v>
      </c>
      <c r="K9" s="427" t="s">
        <v>1501</v>
      </c>
      <c r="L9" s="133"/>
      <c r="M9" s="134"/>
      <c r="N9" s="134"/>
      <c r="O9" s="134"/>
      <c r="P9" s="134"/>
      <c r="Q9" s="135"/>
      <c r="R9" s="135"/>
      <c r="S9" s="134"/>
      <c r="T9" s="134"/>
      <c r="U9" s="134"/>
      <c r="V9" s="134"/>
      <c r="W9" s="134"/>
      <c r="X9" s="135"/>
      <c r="Y9" s="665"/>
      <c r="Z9" s="133"/>
      <c r="AA9" s="134"/>
      <c r="AB9" s="742"/>
      <c r="AC9" s="742"/>
      <c r="AD9" s="742"/>
      <c r="AE9" s="135"/>
      <c r="AF9" s="135"/>
      <c r="AG9" s="742"/>
      <c r="AH9" s="742"/>
      <c r="AI9" s="742"/>
      <c r="AJ9" s="742"/>
      <c r="AK9" s="134"/>
      <c r="AL9" s="135"/>
      <c r="AM9" s="665"/>
      <c r="AN9" s="656"/>
      <c r="AO9" s="138"/>
      <c r="AP9" s="134"/>
      <c r="AQ9" s="134"/>
      <c r="AR9" s="134"/>
      <c r="AS9" s="135"/>
      <c r="AT9" s="135"/>
      <c r="AU9" s="138"/>
      <c r="AV9" s="138"/>
      <c r="AW9" s="134"/>
      <c r="AX9" s="134"/>
      <c r="AY9" s="134"/>
      <c r="AZ9" s="135"/>
      <c r="BA9" s="665"/>
      <c r="BB9" s="687"/>
      <c r="BC9" s="677"/>
      <c r="BD9" s="678"/>
      <c r="BE9" s="134"/>
      <c r="BF9" s="134"/>
      <c r="BG9" s="135"/>
      <c r="BH9" s="135"/>
      <c r="BI9" s="747"/>
      <c r="BJ9" s="508"/>
      <c r="BK9" s="747"/>
      <c r="BL9" s="747"/>
      <c r="BM9" s="747"/>
      <c r="BN9" s="136"/>
      <c r="BO9" s="137"/>
      <c r="BP9" s="138"/>
      <c r="BQ9" s="138"/>
      <c r="BR9" s="134"/>
      <c r="BS9" s="134"/>
      <c r="BT9" s="134"/>
      <c r="BU9" s="136"/>
      <c r="BV9" s="136"/>
      <c r="BW9" s="646"/>
      <c r="BX9" s="138"/>
      <c r="BY9" s="134"/>
      <c r="BZ9" s="134"/>
      <c r="CA9" s="134"/>
      <c r="CB9" s="136"/>
      <c r="CC9" s="634"/>
      <c r="CD9" s="700"/>
      <c r="CE9" s="138"/>
      <c r="CF9" s="134"/>
      <c r="CG9" s="134"/>
      <c r="CH9" s="134"/>
      <c r="CI9" s="136"/>
      <c r="CJ9" s="136"/>
      <c r="CK9" s="646"/>
      <c r="CL9" s="138"/>
      <c r="CM9" s="134"/>
      <c r="CN9" s="134"/>
      <c r="CO9" s="134"/>
      <c r="CP9" s="136"/>
      <c r="CQ9" s="136"/>
      <c r="CR9" s="646"/>
      <c r="CS9" s="138"/>
      <c r="CT9" s="134"/>
      <c r="CU9" s="134"/>
      <c r="CV9" s="134"/>
      <c r="CW9" s="136"/>
      <c r="CX9" s="136"/>
      <c r="CY9" s="646"/>
      <c r="CZ9" s="138"/>
      <c r="DA9" s="134"/>
      <c r="DB9" s="134"/>
      <c r="DC9" s="134"/>
      <c r="DD9" s="136"/>
      <c r="DE9" s="137"/>
      <c r="DF9" s="138"/>
      <c r="DG9" s="138"/>
      <c r="DH9" s="534"/>
    </row>
    <row r="10" spans="1:112" ht="16.5" customHeight="1">
      <c r="A10" s="111"/>
      <c r="B10" s="113"/>
      <c r="C10" s="112"/>
      <c r="D10" s="576">
        <v>6</v>
      </c>
      <c r="E10" s="159" t="s">
        <v>1509</v>
      </c>
      <c r="F10" s="159"/>
      <c r="G10" s="160"/>
      <c r="H10" s="133" t="s">
        <v>49</v>
      </c>
      <c r="I10" s="534" t="s">
        <v>1499</v>
      </c>
      <c r="J10" s="770" t="s">
        <v>1510</v>
      </c>
      <c r="K10" s="427" t="s">
        <v>1501</v>
      </c>
      <c r="L10" s="133"/>
      <c r="M10" s="134"/>
      <c r="N10" s="134"/>
      <c r="O10" s="134"/>
      <c r="P10" s="134"/>
      <c r="Q10" s="135"/>
      <c r="R10" s="135"/>
      <c r="S10" s="134"/>
      <c r="T10" s="134"/>
      <c r="U10" s="134"/>
      <c r="V10" s="134"/>
      <c r="W10" s="134"/>
      <c r="X10" s="135"/>
      <c r="Y10" s="665"/>
      <c r="Z10" s="133"/>
      <c r="AA10" s="134"/>
      <c r="AB10" s="742"/>
      <c r="AC10" s="742"/>
      <c r="AD10" s="742"/>
      <c r="AE10" s="135"/>
      <c r="AF10" s="135"/>
      <c r="AG10" s="742"/>
      <c r="AH10" s="742"/>
      <c r="AI10" s="742"/>
      <c r="AJ10" s="742"/>
      <c r="AK10" s="134"/>
      <c r="AL10" s="135"/>
      <c r="AM10" s="665"/>
      <c r="AN10" s="656"/>
      <c r="AO10" s="138"/>
      <c r="AP10" s="134"/>
      <c r="AQ10" s="134"/>
      <c r="AR10" s="134"/>
      <c r="AS10" s="135"/>
      <c r="AT10" s="135"/>
      <c r="AU10" s="138"/>
      <c r="AV10" s="138"/>
      <c r="AW10" s="134"/>
      <c r="AX10" s="134"/>
      <c r="AY10" s="134"/>
      <c r="AZ10" s="135"/>
      <c r="BA10" s="665"/>
      <c r="BB10" s="687"/>
      <c r="BC10" s="677"/>
      <c r="BD10" s="678"/>
      <c r="BE10" s="134"/>
      <c r="BF10" s="134"/>
      <c r="BG10" s="135"/>
      <c r="BH10" s="135"/>
      <c r="BI10" s="747"/>
      <c r="BJ10" s="508"/>
      <c r="BK10" s="747"/>
      <c r="BL10" s="747"/>
      <c r="BM10" s="747"/>
      <c r="BN10" s="136"/>
      <c r="BO10" s="137"/>
      <c r="BP10" s="138"/>
      <c r="BQ10" s="138"/>
      <c r="BR10" s="134"/>
      <c r="BS10" s="134"/>
      <c r="BT10" s="134"/>
      <c r="BU10" s="136"/>
      <c r="BV10" s="136"/>
      <c r="BW10" s="646"/>
      <c r="BX10" s="138"/>
      <c r="BY10" s="134"/>
      <c r="BZ10" s="134"/>
      <c r="CA10" s="134"/>
      <c r="CB10" s="136"/>
      <c r="CC10" s="634"/>
      <c r="CD10" s="700"/>
      <c r="CE10" s="138"/>
      <c r="CF10" s="134"/>
      <c r="CG10" s="134"/>
      <c r="CH10" s="134"/>
      <c r="CI10" s="136"/>
      <c r="CJ10" s="136"/>
      <c r="CK10" s="646"/>
      <c r="CL10" s="138"/>
      <c r="CM10" s="134"/>
      <c r="CN10" s="134"/>
      <c r="CO10" s="134"/>
      <c r="CP10" s="136"/>
      <c r="CQ10" s="136"/>
      <c r="CR10" s="646"/>
      <c r="CS10" s="138"/>
      <c r="CT10" s="134"/>
      <c r="CU10" s="134"/>
      <c r="CV10" s="134"/>
      <c r="CW10" s="136"/>
      <c r="CX10" s="136"/>
      <c r="CY10" s="646"/>
      <c r="CZ10" s="138"/>
      <c r="DA10" s="134"/>
      <c r="DB10" s="134"/>
      <c r="DC10" s="134"/>
      <c r="DD10" s="136"/>
      <c r="DE10" s="137"/>
      <c r="DF10" s="138"/>
      <c r="DG10" s="138"/>
      <c r="DH10" s="534"/>
    </row>
    <row r="11" spans="1:112" ht="16.5" customHeight="1">
      <c r="A11" s="111"/>
      <c r="B11" s="113"/>
      <c r="C11" s="112"/>
      <c r="D11" s="576">
        <v>7</v>
      </c>
      <c r="E11" s="159" t="s">
        <v>1511</v>
      </c>
      <c r="F11" s="159"/>
      <c r="G11" s="160"/>
      <c r="H11" s="133" t="s">
        <v>53</v>
      </c>
      <c r="I11" s="534" t="s">
        <v>1503</v>
      </c>
      <c r="J11" s="772" t="s">
        <v>1512</v>
      </c>
      <c r="K11" s="161" t="s">
        <v>1501</v>
      </c>
      <c r="L11" s="133"/>
      <c r="M11" s="134"/>
      <c r="N11" s="134"/>
      <c r="O11" s="134"/>
      <c r="P11" s="134"/>
      <c r="Q11" s="135"/>
      <c r="R11" s="135"/>
      <c r="S11" s="134"/>
      <c r="T11" s="134"/>
      <c r="U11" s="134"/>
      <c r="V11" s="134"/>
      <c r="W11" s="134"/>
      <c r="X11" s="135"/>
      <c r="Y11" s="665"/>
      <c r="Z11" s="133"/>
      <c r="AA11" s="134"/>
      <c r="AB11" s="742"/>
      <c r="AC11" s="742"/>
      <c r="AD11" s="742"/>
      <c r="AE11" s="135"/>
      <c r="AF11" s="665"/>
      <c r="AG11" s="742"/>
      <c r="AH11" s="742"/>
      <c r="AI11" s="742"/>
      <c r="AJ11" s="742"/>
      <c r="AK11" s="134"/>
      <c r="AL11" s="135"/>
      <c r="AM11" s="665"/>
      <c r="AN11" s="656"/>
      <c r="AO11" s="134"/>
      <c r="AP11" s="134"/>
      <c r="AQ11" s="134"/>
      <c r="AR11" s="134"/>
      <c r="AS11" s="135"/>
      <c r="AT11" s="135"/>
      <c r="AU11" s="134"/>
      <c r="AV11" s="134"/>
      <c r="AW11" s="134"/>
      <c r="AX11" s="134"/>
      <c r="AY11" s="134"/>
      <c r="AZ11" s="135"/>
      <c r="BA11" s="665"/>
      <c r="BB11" s="688"/>
      <c r="BC11" s="678"/>
      <c r="BD11" s="678"/>
      <c r="BE11" s="134"/>
      <c r="BF11" s="134"/>
      <c r="BG11" s="135"/>
      <c r="BH11" s="135"/>
      <c r="BI11" s="747"/>
      <c r="BJ11" s="508"/>
      <c r="BK11" s="747"/>
      <c r="BL11" s="747"/>
      <c r="BM11" s="747"/>
      <c r="BN11" s="136"/>
      <c r="BO11" s="137"/>
      <c r="BP11" s="134"/>
      <c r="BQ11" s="134"/>
      <c r="BR11" s="134"/>
      <c r="BS11" s="134"/>
      <c r="BT11" s="134"/>
      <c r="BU11" s="136"/>
      <c r="BV11" s="136"/>
      <c r="BW11" s="647"/>
      <c r="BX11" s="134"/>
      <c r="BY11" s="134"/>
      <c r="BZ11" s="134"/>
      <c r="CA11" s="134"/>
      <c r="CB11" s="136"/>
      <c r="CC11" s="634"/>
      <c r="CD11" s="133"/>
      <c r="CE11" s="134"/>
      <c r="CF11" s="134"/>
      <c r="CG11" s="134"/>
      <c r="CH11" s="134"/>
      <c r="CI11" s="136"/>
      <c r="CJ11" s="136"/>
      <c r="CK11" s="647"/>
      <c r="CL11" s="134"/>
      <c r="CM11" s="134"/>
      <c r="CN11" s="134"/>
      <c r="CO11" s="134"/>
      <c r="CP11" s="136"/>
      <c r="CQ11" s="136"/>
      <c r="CR11" s="647"/>
      <c r="CS11" s="134"/>
      <c r="CT11" s="134"/>
      <c r="CU11" s="134"/>
      <c r="CV11" s="134"/>
      <c r="CW11" s="136"/>
      <c r="CX11" s="136"/>
      <c r="CY11" s="647"/>
      <c r="CZ11" s="134"/>
      <c r="DA11" s="134"/>
      <c r="DB11" s="134"/>
      <c r="DC11" s="134"/>
      <c r="DD11" s="136"/>
      <c r="DE11" s="137"/>
      <c r="DF11" s="134"/>
      <c r="DG11" s="134"/>
      <c r="DH11" s="534"/>
    </row>
    <row r="12" spans="1:112" ht="16.5" customHeight="1">
      <c r="A12" s="111"/>
      <c r="B12" s="113"/>
      <c r="C12" s="112"/>
      <c r="D12" s="576">
        <v>9</v>
      </c>
      <c r="E12" s="757" t="s">
        <v>1513</v>
      </c>
      <c r="F12" s="757"/>
      <c r="G12" s="160"/>
      <c r="H12" s="133" t="s">
        <v>53</v>
      </c>
      <c r="I12" s="534" t="s">
        <v>1503</v>
      </c>
      <c r="J12" s="782" t="s">
        <v>1514</v>
      </c>
      <c r="K12" s="158" t="s">
        <v>1515</v>
      </c>
      <c r="L12" s="133"/>
      <c r="M12" s="134"/>
      <c r="N12" s="134"/>
      <c r="O12" s="134"/>
      <c r="P12" s="134"/>
      <c r="Q12" s="135"/>
      <c r="R12" s="135"/>
      <c r="S12" s="134"/>
      <c r="T12" s="134"/>
      <c r="U12" s="134"/>
      <c r="V12" s="134"/>
      <c r="W12" s="134"/>
      <c r="X12" s="135"/>
      <c r="Y12" s="665"/>
      <c r="Z12" s="133"/>
      <c r="AA12" s="134"/>
      <c r="AB12" s="785"/>
      <c r="AC12" s="785"/>
      <c r="AD12" s="785"/>
      <c r="AE12" s="135"/>
      <c r="AF12" s="665"/>
      <c r="AG12" s="786"/>
      <c r="AH12" s="785"/>
      <c r="AI12" s="785"/>
      <c r="AJ12" s="785"/>
      <c r="AK12" s="785"/>
      <c r="AL12" s="135"/>
      <c r="AM12" s="665"/>
      <c r="AN12" s="656"/>
      <c r="AO12" s="134"/>
      <c r="AP12" s="134"/>
      <c r="AQ12" s="134"/>
      <c r="AR12" s="134"/>
      <c r="AS12" s="135"/>
      <c r="AT12" s="135"/>
      <c r="AU12" s="134"/>
      <c r="AV12" s="134"/>
      <c r="AW12" s="134"/>
      <c r="AX12" s="134"/>
      <c r="AY12" s="134"/>
      <c r="AZ12" s="135"/>
      <c r="BA12" s="665"/>
      <c r="BB12" s="787"/>
      <c r="BC12" s="788"/>
      <c r="BD12" s="788"/>
      <c r="BE12" s="789"/>
      <c r="BF12" s="789"/>
      <c r="BG12" s="135"/>
      <c r="BH12" s="135"/>
      <c r="BI12" s="747"/>
      <c r="BJ12" s="508"/>
      <c r="BK12" s="747"/>
      <c r="BL12" s="747"/>
      <c r="BM12" s="747"/>
      <c r="BN12" s="136"/>
      <c r="BO12" s="137"/>
      <c r="BP12" s="491"/>
      <c r="BQ12" s="491"/>
      <c r="BR12" s="491"/>
      <c r="BS12" s="491"/>
      <c r="BT12" s="491"/>
      <c r="BU12" s="136"/>
      <c r="BV12" s="136"/>
      <c r="BW12" s="647"/>
      <c r="BX12" s="134"/>
      <c r="BY12" s="134"/>
      <c r="BZ12" s="134"/>
      <c r="CA12" s="134"/>
      <c r="CB12" s="136"/>
      <c r="CC12" s="634"/>
      <c r="CD12" s="133"/>
      <c r="CE12" s="134"/>
      <c r="CF12" s="134"/>
      <c r="CG12" s="134"/>
      <c r="CH12" s="134"/>
      <c r="CI12" s="136"/>
      <c r="CJ12" s="136"/>
      <c r="CK12" s="647"/>
      <c r="CL12" s="134"/>
      <c r="CM12" s="134"/>
      <c r="CN12" s="134"/>
      <c r="CO12" s="134"/>
      <c r="CP12" s="136"/>
      <c r="CQ12" s="136"/>
      <c r="CR12" s="647"/>
      <c r="CS12" s="134"/>
      <c r="CT12" s="134"/>
      <c r="CU12" s="134"/>
      <c r="CV12" s="134"/>
      <c r="CW12" s="136"/>
      <c r="CX12" s="136"/>
      <c r="CY12" s="647"/>
      <c r="CZ12" s="134"/>
      <c r="DA12" s="134"/>
      <c r="DB12" s="134"/>
      <c r="DC12" s="134"/>
      <c r="DD12" s="136"/>
      <c r="DE12" s="137"/>
      <c r="DF12" s="134"/>
      <c r="DG12" s="134"/>
      <c r="DH12" s="534"/>
    </row>
    <row r="13" spans="1:112" ht="16.5" customHeight="1">
      <c r="A13" s="111"/>
      <c r="B13" s="590">
        <v>2</v>
      </c>
      <c r="C13" s="591" t="s">
        <v>1516</v>
      </c>
      <c r="D13" s="592">
        <v>1</v>
      </c>
      <c r="E13" s="593" t="s">
        <v>49</v>
      </c>
      <c r="F13" s="593"/>
      <c r="G13" s="595"/>
      <c r="H13" s="594" t="s">
        <v>49</v>
      </c>
      <c r="I13" s="597" t="s">
        <v>1499</v>
      </c>
      <c r="J13" s="773" t="s">
        <v>1517</v>
      </c>
      <c r="K13" s="632" t="s">
        <v>1518</v>
      </c>
      <c r="L13" s="594"/>
      <c r="M13" s="596"/>
      <c r="N13" s="596"/>
      <c r="O13" s="596"/>
      <c r="P13" s="596"/>
      <c r="Q13" s="622"/>
      <c r="R13" s="622"/>
      <c r="S13" s="596"/>
      <c r="T13" s="596"/>
      <c r="U13" s="596"/>
      <c r="V13" s="596"/>
      <c r="W13" s="596"/>
      <c r="X13" s="622"/>
      <c r="Y13" s="633"/>
      <c r="Z13" s="594"/>
      <c r="AA13" s="596"/>
      <c r="AB13" s="596"/>
      <c r="AC13" s="596"/>
      <c r="AD13" s="596"/>
      <c r="AE13" s="622"/>
      <c r="AF13" s="633"/>
      <c r="AG13" s="638"/>
      <c r="AH13" s="596"/>
      <c r="AI13" s="596"/>
      <c r="AJ13" s="596"/>
      <c r="AK13" s="596"/>
      <c r="AL13" s="622"/>
      <c r="AM13" s="633"/>
      <c r="AN13" s="657"/>
      <c r="AO13" s="596"/>
      <c r="AP13" s="596"/>
      <c r="AQ13" s="596"/>
      <c r="AR13" s="596"/>
      <c r="AS13" s="622"/>
      <c r="AT13" s="622"/>
      <c r="AU13" s="596"/>
      <c r="AV13" s="596"/>
      <c r="AW13" s="596"/>
      <c r="AX13" s="596"/>
      <c r="AY13" s="596"/>
      <c r="AZ13" s="622"/>
      <c r="BA13" s="633"/>
      <c r="BB13" s="689"/>
      <c r="BC13" s="679"/>
      <c r="BD13" s="679"/>
      <c r="BE13" s="596"/>
      <c r="BF13" s="596"/>
      <c r="BG13" s="622"/>
      <c r="BH13" s="622"/>
      <c r="BI13" s="748"/>
      <c r="BJ13" s="622"/>
      <c r="BK13" s="748"/>
      <c r="BL13" s="748"/>
      <c r="BM13" s="748"/>
      <c r="BN13" s="622"/>
      <c r="BO13" s="623"/>
      <c r="BP13" s="596"/>
      <c r="BQ13" s="596"/>
      <c r="BR13" s="596"/>
      <c r="BS13" s="596"/>
      <c r="BT13" s="596"/>
      <c r="BU13" s="622"/>
      <c r="BV13" s="622"/>
      <c r="BW13" s="638"/>
      <c r="BX13" s="596"/>
      <c r="BY13" s="596"/>
      <c r="BZ13" s="596"/>
      <c r="CA13" s="596"/>
      <c r="CB13" s="622"/>
      <c r="CC13" s="633"/>
      <c r="CD13" s="594"/>
      <c r="CE13" s="596"/>
      <c r="CF13" s="596"/>
      <c r="CG13" s="596"/>
      <c r="CH13" s="596"/>
      <c r="CI13" s="622"/>
      <c r="CJ13" s="622"/>
      <c r="CK13" s="638"/>
      <c r="CL13" s="596"/>
      <c r="CM13" s="596"/>
      <c r="CN13" s="596"/>
      <c r="CO13" s="596"/>
      <c r="CP13" s="622"/>
      <c r="CQ13" s="622"/>
      <c r="CR13" s="638"/>
      <c r="CS13" s="596"/>
      <c r="CT13" s="596"/>
      <c r="CU13" s="596"/>
      <c r="CV13" s="596"/>
      <c r="CW13" s="622"/>
      <c r="CX13" s="622"/>
      <c r="CY13" s="638"/>
      <c r="CZ13" s="596"/>
      <c r="DA13" s="596"/>
      <c r="DB13" s="596"/>
      <c r="DC13" s="596"/>
      <c r="DD13" s="622"/>
      <c r="DE13" s="623"/>
      <c r="DF13" s="596"/>
      <c r="DG13" s="596"/>
      <c r="DH13" s="597"/>
    </row>
    <row r="14" spans="1:112" ht="16.5" customHeight="1">
      <c r="A14" s="111"/>
      <c r="B14" s="598"/>
      <c r="C14" s="599" t="s">
        <v>1519</v>
      </c>
      <c r="D14" s="600">
        <v>2</v>
      </c>
      <c r="E14" s="601" t="s">
        <v>53</v>
      </c>
      <c r="F14" s="601"/>
      <c r="G14" s="602"/>
      <c r="H14" s="489" t="s">
        <v>53</v>
      </c>
      <c r="I14" s="604" t="s">
        <v>1503</v>
      </c>
      <c r="J14" s="774" t="s">
        <v>1520</v>
      </c>
      <c r="K14" s="603" t="s">
        <v>1518</v>
      </c>
      <c r="L14" s="489"/>
      <c r="M14" s="490"/>
      <c r="N14" s="490"/>
      <c r="O14" s="490"/>
      <c r="P14" s="490"/>
      <c r="Q14" s="136"/>
      <c r="R14" s="136"/>
      <c r="S14" s="490"/>
      <c r="T14" s="490"/>
      <c r="U14" s="490"/>
      <c r="V14" s="490"/>
      <c r="W14" s="490"/>
      <c r="X14" s="136"/>
      <c r="Y14" s="634"/>
      <c r="Z14" s="489"/>
      <c r="AA14" s="490"/>
      <c r="AB14" s="490"/>
      <c r="AC14" s="605"/>
      <c r="AD14" s="605"/>
      <c r="AE14" s="136"/>
      <c r="AF14" s="634"/>
      <c r="AG14" s="639"/>
      <c r="AH14" s="490"/>
      <c r="AI14" s="490"/>
      <c r="AJ14" s="490"/>
      <c r="AK14" s="490"/>
      <c r="AL14" s="136"/>
      <c r="AM14" s="634"/>
      <c r="AN14" s="658"/>
      <c r="AO14" s="490"/>
      <c r="AP14" s="490"/>
      <c r="AQ14" s="490"/>
      <c r="AR14" s="490"/>
      <c r="AS14" s="136"/>
      <c r="AT14" s="136"/>
      <c r="AU14" s="490"/>
      <c r="AV14" s="490"/>
      <c r="AW14" s="490"/>
      <c r="AX14" s="490"/>
      <c r="AY14" s="490"/>
      <c r="AZ14" s="136"/>
      <c r="BA14" s="634"/>
      <c r="BB14" s="690"/>
      <c r="BC14" s="680"/>
      <c r="BD14" s="680"/>
      <c r="BE14" s="490"/>
      <c r="BF14" s="490"/>
      <c r="BG14" s="136"/>
      <c r="BH14" s="136"/>
      <c r="BI14" s="746"/>
      <c r="BJ14" s="136"/>
      <c r="BK14" s="746"/>
      <c r="BL14" s="746"/>
      <c r="BM14" s="746"/>
      <c r="BN14" s="136"/>
      <c r="BO14" s="137"/>
      <c r="BP14" s="490"/>
      <c r="BQ14" s="490"/>
      <c r="BR14" s="490"/>
      <c r="BS14" s="490"/>
      <c r="BT14" s="490"/>
      <c r="BU14" s="136"/>
      <c r="BV14" s="136"/>
      <c r="BW14" s="639"/>
      <c r="BX14" s="490"/>
      <c r="BY14" s="490"/>
      <c r="BZ14" s="490"/>
      <c r="CA14" s="490"/>
      <c r="CB14" s="136"/>
      <c r="CC14" s="634"/>
      <c r="CD14" s="489"/>
      <c r="CE14" s="490"/>
      <c r="CF14" s="490"/>
      <c r="CG14" s="490"/>
      <c r="CH14" s="490"/>
      <c r="CI14" s="136"/>
      <c r="CJ14" s="136"/>
      <c r="CK14" s="639"/>
      <c r="CL14" s="490"/>
      <c r="CM14" s="490"/>
      <c r="CN14" s="490"/>
      <c r="CO14" s="490"/>
      <c r="CP14" s="136"/>
      <c r="CQ14" s="136"/>
      <c r="CR14" s="639"/>
      <c r="CS14" s="490"/>
      <c r="CT14" s="490"/>
      <c r="CU14" s="490"/>
      <c r="CV14" s="490"/>
      <c r="CW14" s="136"/>
      <c r="CX14" s="136"/>
      <c r="CY14" s="639"/>
      <c r="CZ14" s="490"/>
      <c r="DA14" s="490"/>
      <c r="DB14" s="490"/>
      <c r="DC14" s="490"/>
      <c r="DD14" s="136"/>
      <c r="DE14" s="137"/>
      <c r="DF14" s="490"/>
      <c r="DG14" s="490"/>
      <c r="DH14" s="604"/>
    </row>
    <row r="15" spans="1:112" ht="16.5" customHeight="1">
      <c r="A15" s="111"/>
      <c r="B15" s="598"/>
      <c r="C15" s="606"/>
      <c r="D15" s="600">
        <v>3</v>
      </c>
      <c r="E15" s="601" t="s">
        <v>55</v>
      </c>
      <c r="F15" s="601"/>
      <c r="G15" s="602"/>
      <c r="H15" s="489" t="s">
        <v>55</v>
      </c>
      <c r="I15" s="604" t="s">
        <v>401</v>
      </c>
      <c r="J15" s="775" t="s">
        <v>50</v>
      </c>
      <c r="K15" s="603" t="s">
        <v>1518</v>
      </c>
      <c r="L15" s="489"/>
      <c r="M15" s="490"/>
      <c r="N15" s="490"/>
      <c r="O15" s="490"/>
      <c r="P15" s="490"/>
      <c r="Q15" s="136"/>
      <c r="R15" s="136"/>
      <c r="S15" s="490"/>
      <c r="T15" s="490"/>
      <c r="U15" s="490"/>
      <c r="V15" s="490"/>
      <c r="W15" s="490"/>
      <c r="X15" s="136"/>
      <c r="Y15" s="634"/>
      <c r="Z15" s="489"/>
      <c r="AA15" s="490"/>
      <c r="AB15" s="490"/>
      <c r="AC15" s="605"/>
      <c r="AD15" s="605"/>
      <c r="AE15" s="136"/>
      <c r="AF15" s="634"/>
      <c r="AG15" s="639"/>
      <c r="AH15" s="490"/>
      <c r="AI15" s="490"/>
      <c r="AJ15" s="490"/>
      <c r="AK15" s="490"/>
      <c r="AL15" s="136"/>
      <c r="AM15" s="634"/>
      <c r="AN15" s="658"/>
      <c r="AO15" s="490"/>
      <c r="AP15" s="490"/>
      <c r="AQ15" s="490"/>
      <c r="AR15" s="490"/>
      <c r="AS15" s="136"/>
      <c r="AT15" s="136"/>
      <c r="AU15" s="490"/>
      <c r="AV15" s="490"/>
      <c r="AW15" s="490"/>
      <c r="AX15" s="490"/>
      <c r="AY15" s="490"/>
      <c r="AZ15" s="136"/>
      <c r="BA15" s="634"/>
      <c r="BB15" s="690"/>
      <c r="BC15" s="680"/>
      <c r="BD15" s="680"/>
      <c r="BE15" s="490"/>
      <c r="BF15" s="490"/>
      <c r="BG15" s="136"/>
      <c r="BH15" s="136"/>
      <c r="BI15" s="746"/>
      <c r="BJ15" s="136"/>
      <c r="BK15" s="746"/>
      <c r="BL15" s="746"/>
      <c r="BM15" s="746"/>
      <c r="BN15" s="136"/>
      <c r="BO15" s="137"/>
      <c r="BP15" s="490"/>
      <c r="BQ15" s="490"/>
      <c r="BR15" s="490"/>
      <c r="BS15" s="490"/>
      <c r="BT15" s="490"/>
      <c r="BU15" s="136"/>
      <c r="BV15" s="136"/>
      <c r="BW15" s="639"/>
      <c r="BX15" s="490"/>
      <c r="BY15" s="490"/>
      <c r="BZ15" s="490"/>
      <c r="CA15" s="490"/>
      <c r="CB15" s="136"/>
      <c r="CC15" s="634"/>
      <c r="CD15" s="489"/>
      <c r="CE15" s="490"/>
      <c r="CF15" s="490"/>
      <c r="CG15" s="490"/>
      <c r="CH15" s="490"/>
      <c r="CI15" s="136"/>
      <c r="CJ15" s="136"/>
      <c r="CK15" s="639"/>
      <c r="CL15" s="490"/>
      <c r="CM15" s="490"/>
      <c r="CN15" s="490"/>
      <c r="CO15" s="490"/>
      <c r="CP15" s="136"/>
      <c r="CQ15" s="136"/>
      <c r="CR15" s="639"/>
      <c r="CS15" s="490"/>
      <c r="CT15" s="490"/>
      <c r="CU15" s="490"/>
      <c r="CV15" s="490"/>
      <c r="CW15" s="136"/>
      <c r="CX15" s="136"/>
      <c r="CY15" s="639"/>
      <c r="CZ15" s="490"/>
      <c r="DA15" s="490"/>
      <c r="DB15" s="490"/>
      <c r="DC15" s="490"/>
      <c r="DD15" s="136"/>
      <c r="DE15" s="137"/>
      <c r="DF15" s="490"/>
      <c r="DG15" s="490"/>
      <c r="DH15" s="604"/>
    </row>
    <row r="16" spans="1:112" ht="16.5" customHeight="1">
      <c r="A16" s="111"/>
      <c r="B16" s="598"/>
      <c r="C16" s="606"/>
      <c r="D16" s="600">
        <v>4</v>
      </c>
      <c r="E16" s="607" t="s">
        <v>1505</v>
      </c>
      <c r="F16" s="607"/>
      <c r="G16" s="609"/>
      <c r="H16" s="608" t="s">
        <v>49</v>
      </c>
      <c r="I16" s="611" t="s">
        <v>1499</v>
      </c>
      <c r="J16" s="775"/>
      <c r="K16" s="603" t="s">
        <v>1518</v>
      </c>
      <c r="L16" s="608"/>
      <c r="M16" s="610"/>
      <c r="N16" s="610"/>
      <c r="O16" s="610"/>
      <c r="P16" s="610"/>
      <c r="Q16" s="136"/>
      <c r="R16" s="136"/>
      <c r="S16" s="610"/>
      <c r="T16" s="610"/>
      <c r="U16" s="610"/>
      <c r="V16" s="610"/>
      <c r="W16" s="610"/>
      <c r="X16" s="136"/>
      <c r="Y16" s="634"/>
      <c r="Z16" s="608"/>
      <c r="AA16" s="610"/>
      <c r="AB16" s="610"/>
      <c r="AC16" s="610"/>
      <c r="AD16" s="610"/>
      <c r="AE16" s="136"/>
      <c r="AF16" s="634"/>
      <c r="AG16" s="640"/>
      <c r="AH16" s="610"/>
      <c r="AI16" s="610"/>
      <c r="AJ16" s="610"/>
      <c r="AK16" s="610"/>
      <c r="AL16" s="136"/>
      <c r="AM16" s="634"/>
      <c r="AN16" s="658"/>
      <c r="AO16" s="610"/>
      <c r="AP16" s="610"/>
      <c r="AQ16" s="610"/>
      <c r="AR16" s="610"/>
      <c r="AS16" s="136"/>
      <c r="AT16" s="136"/>
      <c r="AU16" s="610"/>
      <c r="AV16" s="610"/>
      <c r="AW16" s="610"/>
      <c r="AX16" s="610"/>
      <c r="AY16" s="610"/>
      <c r="AZ16" s="136"/>
      <c r="BA16" s="634"/>
      <c r="BB16" s="691"/>
      <c r="BC16" s="681"/>
      <c r="BD16" s="681"/>
      <c r="BE16" s="610"/>
      <c r="BF16" s="610"/>
      <c r="BG16" s="136"/>
      <c r="BH16" s="136"/>
      <c r="BI16" s="747"/>
      <c r="BJ16" s="136"/>
      <c r="BK16" s="747"/>
      <c r="BL16" s="747"/>
      <c r="BM16" s="747"/>
      <c r="BN16" s="136"/>
      <c r="BO16" s="137"/>
      <c r="BP16" s="610"/>
      <c r="BQ16" s="610"/>
      <c r="BR16" s="610"/>
      <c r="BS16" s="610"/>
      <c r="BT16" s="610"/>
      <c r="BU16" s="136"/>
      <c r="BV16" s="136"/>
      <c r="BW16" s="640"/>
      <c r="BX16" s="610"/>
      <c r="BY16" s="610"/>
      <c r="BZ16" s="610"/>
      <c r="CA16" s="610"/>
      <c r="CB16" s="136"/>
      <c r="CC16" s="634"/>
      <c r="CD16" s="608"/>
      <c r="CE16" s="610"/>
      <c r="CF16" s="610"/>
      <c r="CG16" s="610"/>
      <c r="CH16" s="610"/>
      <c r="CI16" s="136"/>
      <c r="CJ16" s="136"/>
      <c r="CK16" s="640"/>
      <c r="CL16" s="610"/>
      <c r="CM16" s="610"/>
      <c r="CN16" s="610"/>
      <c r="CO16" s="610"/>
      <c r="CP16" s="136"/>
      <c r="CQ16" s="136"/>
      <c r="CR16" s="640"/>
      <c r="CS16" s="610"/>
      <c r="CT16" s="610"/>
      <c r="CU16" s="610"/>
      <c r="CV16" s="610"/>
      <c r="CW16" s="136"/>
      <c r="CX16" s="136"/>
      <c r="CY16" s="640"/>
      <c r="CZ16" s="610"/>
      <c r="DA16" s="610"/>
      <c r="DB16" s="610"/>
      <c r="DC16" s="610"/>
      <c r="DD16" s="136"/>
      <c r="DE16" s="137"/>
      <c r="DF16" s="610"/>
      <c r="DG16" s="610"/>
      <c r="DH16" s="611"/>
    </row>
    <row r="17" spans="1:112" ht="16.5" customHeight="1">
      <c r="A17" s="111"/>
      <c r="B17" s="598"/>
      <c r="C17" s="606"/>
      <c r="D17" s="600">
        <v>5</v>
      </c>
      <c r="E17" s="607" t="s">
        <v>1507</v>
      </c>
      <c r="F17" s="607"/>
      <c r="G17" s="609"/>
      <c r="H17" s="608" t="s">
        <v>53</v>
      </c>
      <c r="I17" s="611" t="s">
        <v>1503</v>
      </c>
      <c r="J17" s="775"/>
      <c r="K17" s="603" t="s">
        <v>1518</v>
      </c>
      <c r="L17" s="608"/>
      <c r="M17" s="610"/>
      <c r="N17" s="610"/>
      <c r="O17" s="610"/>
      <c r="P17" s="610"/>
      <c r="Q17" s="136"/>
      <c r="R17" s="136"/>
      <c r="S17" s="610"/>
      <c r="T17" s="610"/>
      <c r="U17" s="610"/>
      <c r="V17" s="610"/>
      <c r="W17" s="610"/>
      <c r="X17" s="136"/>
      <c r="Y17" s="634"/>
      <c r="Z17" s="608"/>
      <c r="AA17" s="610"/>
      <c r="AB17" s="610"/>
      <c r="AC17" s="610"/>
      <c r="AD17" s="610"/>
      <c r="AE17" s="136"/>
      <c r="AF17" s="634"/>
      <c r="AG17" s="640"/>
      <c r="AH17" s="610"/>
      <c r="AI17" s="610"/>
      <c r="AJ17" s="610"/>
      <c r="AK17" s="610"/>
      <c r="AL17" s="136"/>
      <c r="AM17" s="634"/>
      <c r="AN17" s="658"/>
      <c r="AO17" s="610"/>
      <c r="AP17" s="610"/>
      <c r="AQ17" s="610"/>
      <c r="AR17" s="610"/>
      <c r="AS17" s="136"/>
      <c r="AT17" s="136"/>
      <c r="AU17" s="610"/>
      <c r="AV17" s="610"/>
      <c r="AW17" s="610"/>
      <c r="AX17" s="610"/>
      <c r="AY17" s="610"/>
      <c r="AZ17" s="136"/>
      <c r="BA17" s="634"/>
      <c r="BB17" s="691"/>
      <c r="BC17" s="681"/>
      <c r="BD17" s="681"/>
      <c r="BE17" s="610"/>
      <c r="BF17" s="610"/>
      <c r="BG17" s="136"/>
      <c r="BH17" s="136"/>
      <c r="BI17" s="747"/>
      <c r="BJ17" s="136"/>
      <c r="BK17" s="747"/>
      <c r="BL17" s="747"/>
      <c r="BM17" s="747"/>
      <c r="BN17" s="136"/>
      <c r="BO17" s="137"/>
      <c r="BP17" s="610"/>
      <c r="BQ17" s="610"/>
      <c r="BR17" s="610"/>
      <c r="BS17" s="610"/>
      <c r="BT17" s="610"/>
      <c r="BU17" s="136"/>
      <c r="BV17" s="136"/>
      <c r="BW17" s="640"/>
      <c r="BX17" s="610"/>
      <c r="BY17" s="610"/>
      <c r="BZ17" s="610"/>
      <c r="CA17" s="610"/>
      <c r="CB17" s="136"/>
      <c r="CC17" s="634"/>
      <c r="CD17" s="608"/>
      <c r="CE17" s="610"/>
      <c r="CF17" s="610"/>
      <c r="CG17" s="610"/>
      <c r="CH17" s="610"/>
      <c r="CI17" s="136"/>
      <c r="CJ17" s="136"/>
      <c r="CK17" s="640"/>
      <c r="CL17" s="610"/>
      <c r="CM17" s="610"/>
      <c r="CN17" s="610"/>
      <c r="CO17" s="610"/>
      <c r="CP17" s="136"/>
      <c r="CQ17" s="136"/>
      <c r="CR17" s="640"/>
      <c r="CS17" s="610"/>
      <c r="CT17" s="610"/>
      <c r="CU17" s="610"/>
      <c r="CV17" s="610"/>
      <c r="CW17" s="136"/>
      <c r="CX17" s="136"/>
      <c r="CY17" s="640"/>
      <c r="CZ17" s="610"/>
      <c r="DA17" s="610"/>
      <c r="DB17" s="610"/>
      <c r="DC17" s="610"/>
      <c r="DD17" s="136"/>
      <c r="DE17" s="137"/>
      <c r="DF17" s="610"/>
      <c r="DG17" s="610"/>
      <c r="DH17" s="611"/>
    </row>
    <row r="18" spans="1:112" ht="16.5" customHeight="1">
      <c r="A18" s="111"/>
      <c r="B18" s="598"/>
      <c r="C18" s="606"/>
      <c r="D18" s="600">
        <v>6</v>
      </c>
      <c r="E18" s="607" t="s">
        <v>1509</v>
      </c>
      <c r="F18" s="607"/>
      <c r="G18" s="609"/>
      <c r="H18" s="608" t="s">
        <v>49</v>
      </c>
      <c r="I18" s="611" t="s">
        <v>1499</v>
      </c>
      <c r="J18" s="775"/>
      <c r="K18" s="612" t="s">
        <v>1518</v>
      </c>
      <c r="L18" s="608"/>
      <c r="M18" s="610"/>
      <c r="N18" s="610"/>
      <c r="O18" s="610"/>
      <c r="P18" s="610"/>
      <c r="Q18" s="136"/>
      <c r="R18" s="136"/>
      <c r="S18" s="610"/>
      <c r="T18" s="610"/>
      <c r="U18" s="610"/>
      <c r="V18" s="610"/>
      <c r="W18" s="610"/>
      <c r="X18" s="136"/>
      <c r="Y18" s="634"/>
      <c r="Z18" s="608"/>
      <c r="AA18" s="610"/>
      <c r="AB18" s="610"/>
      <c r="AC18" s="610"/>
      <c r="AD18" s="610"/>
      <c r="AE18" s="136"/>
      <c r="AF18" s="634"/>
      <c r="AG18" s="640"/>
      <c r="AH18" s="610"/>
      <c r="AI18" s="610"/>
      <c r="AJ18" s="610"/>
      <c r="AK18" s="610"/>
      <c r="AL18" s="136"/>
      <c r="AM18" s="634"/>
      <c r="AN18" s="658"/>
      <c r="AO18" s="610"/>
      <c r="AP18" s="610"/>
      <c r="AQ18" s="610"/>
      <c r="AR18" s="610"/>
      <c r="AS18" s="136"/>
      <c r="AT18" s="136"/>
      <c r="AU18" s="610"/>
      <c r="AV18" s="610"/>
      <c r="AW18" s="610"/>
      <c r="AX18" s="610"/>
      <c r="AY18" s="610"/>
      <c r="AZ18" s="136"/>
      <c r="BA18" s="634"/>
      <c r="BB18" s="691"/>
      <c r="BC18" s="681"/>
      <c r="BD18" s="681"/>
      <c r="BE18" s="610"/>
      <c r="BF18" s="610"/>
      <c r="BG18" s="136"/>
      <c r="BH18" s="136"/>
      <c r="BI18" s="747"/>
      <c r="BJ18" s="136"/>
      <c r="BK18" s="747"/>
      <c r="BL18" s="747"/>
      <c r="BM18" s="747"/>
      <c r="BN18" s="136"/>
      <c r="BO18" s="137"/>
      <c r="BP18" s="610"/>
      <c r="BQ18" s="610"/>
      <c r="BR18" s="610"/>
      <c r="BS18" s="610"/>
      <c r="BT18" s="610"/>
      <c r="BU18" s="136"/>
      <c r="BV18" s="136"/>
      <c r="BW18" s="640"/>
      <c r="BX18" s="610"/>
      <c r="BY18" s="610"/>
      <c r="BZ18" s="610"/>
      <c r="CA18" s="610"/>
      <c r="CB18" s="136"/>
      <c r="CC18" s="634"/>
      <c r="CD18" s="608"/>
      <c r="CE18" s="610"/>
      <c r="CF18" s="610"/>
      <c r="CG18" s="610"/>
      <c r="CH18" s="610"/>
      <c r="CI18" s="136"/>
      <c r="CJ18" s="136"/>
      <c r="CK18" s="640"/>
      <c r="CL18" s="610"/>
      <c r="CM18" s="610"/>
      <c r="CN18" s="610"/>
      <c r="CO18" s="610"/>
      <c r="CP18" s="136"/>
      <c r="CQ18" s="136"/>
      <c r="CR18" s="640"/>
      <c r="CS18" s="610"/>
      <c r="CT18" s="610"/>
      <c r="CU18" s="610"/>
      <c r="CV18" s="610"/>
      <c r="CW18" s="136"/>
      <c r="CX18" s="136"/>
      <c r="CY18" s="640"/>
      <c r="CZ18" s="610"/>
      <c r="DA18" s="610"/>
      <c r="DB18" s="610"/>
      <c r="DC18" s="610"/>
      <c r="DD18" s="136"/>
      <c r="DE18" s="137"/>
      <c r="DF18" s="610"/>
      <c r="DG18" s="610"/>
      <c r="DH18" s="611"/>
    </row>
    <row r="19" spans="1:112" ht="16.5" customHeight="1">
      <c r="A19" s="111"/>
      <c r="B19" s="613"/>
      <c r="C19" s="614"/>
      <c r="D19" s="615">
        <v>7</v>
      </c>
      <c r="E19" s="616" t="s">
        <v>1511</v>
      </c>
      <c r="F19" s="616"/>
      <c r="G19" s="618"/>
      <c r="H19" s="617" t="s">
        <v>53</v>
      </c>
      <c r="I19" s="621" t="s">
        <v>1503</v>
      </c>
      <c r="J19" s="776"/>
      <c r="K19" s="619" t="s">
        <v>1518</v>
      </c>
      <c r="L19" s="617"/>
      <c r="M19" s="620"/>
      <c r="N19" s="620"/>
      <c r="O19" s="620"/>
      <c r="P19" s="620"/>
      <c r="Q19" s="148"/>
      <c r="R19" s="148"/>
      <c r="S19" s="620"/>
      <c r="T19" s="620"/>
      <c r="U19" s="620"/>
      <c r="V19" s="620"/>
      <c r="W19" s="620"/>
      <c r="X19" s="148"/>
      <c r="Y19" s="635"/>
      <c r="Z19" s="617"/>
      <c r="AA19" s="620"/>
      <c r="AB19" s="620"/>
      <c r="AC19" s="620"/>
      <c r="AD19" s="620"/>
      <c r="AE19" s="148"/>
      <c r="AF19" s="635"/>
      <c r="AG19" s="641"/>
      <c r="AH19" s="620"/>
      <c r="AI19" s="620"/>
      <c r="AJ19" s="620"/>
      <c r="AK19" s="620"/>
      <c r="AL19" s="148"/>
      <c r="AM19" s="635"/>
      <c r="AN19" s="659"/>
      <c r="AO19" s="620"/>
      <c r="AP19" s="620"/>
      <c r="AQ19" s="620"/>
      <c r="AR19" s="620"/>
      <c r="AS19" s="148"/>
      <c r="AT19" s="148"/>
      <c r="AU19" s="620"/>
      <c r="AV19" s="620"/>
      <c r="AW19" s="620"/>
      <c r="AX19" s="620"/>
      <c r="AY19" s="620"/>
      <c r="AZ19" s="148"/>
      <c r="BA19" s="635"/>
      <c r="BB19" s="692"/>
      <c r="BC19" s="682"/>
      <c r="BD19" s="682"/>
      <c r="BE19" s="620"/>
      <c r="BF19" s="620"/>
      <c r="BG19" s="148"/>
      <c r="BH19" s="148"/>
      <c r="BI19" s="749"/>
      <c r="BJ19" s="148"/>
      <c r="BK19" s="749"/>
      <c r="BL19" s="749"/>
      <c r="BM19" s="749"/>
      <c r="BN19" s="148"/>
      <c r="BO19" s="149"/>
      <c r="BP19" s="620"/>
      <c r="BQ19" s="620"/>
      <c r="BR19" s="620"/>
      <c r="BS19" s="620"/>
      <c r="BT19" s="620"/>
      <c r="BU19" s="148"/>
      <c r="BV19" s="148"/>
      <c r="BW19" s="641"/>
      <c r="BX19" s="620"/>
      <c r="BY19" s="620"/>
      <c r="BZ19" s="620"/>
      <c r="CA19" s="620"/>
      <c r="CB19" s="148"/>
      <c r="CC19" s="635"/>
      <c r="CD19" s="617"/>
      <c r="CE19" s="620"/>
      <c r="CF19" s="620"/>
      <c r="CG19" s="620"/>
      <c r="CH19" s="620"/>
      <c r="CI19" s="148"/>
      <c r="CJ19" s="148"/>
      <c r="CK19" s="641"/>
      <c r="CL19" s="620"/>
      <c r="CM19" s="620"/>
      <c r="CN19" s="620"/>
      <c r="CO19" s="620"/>
      <c r="CP19" s="148"/>
      <c r="CQ19" s="148"/>
      <c r="CR19" s="641"/>
      <c r="CS19" s="620"/>
      <c r="CT19" s="620"/>
      <c r="CU19" s="620"/>
      <c r="CV19" s="620"/>
      <c r="CW19" s="148"/>
      <c r="CX19" s="148"/>
      <c r="CY19" s="641"/>
      <c r="CZ19" s="620"/>
      <c r="DA19" s="620"/>
      <c r="DB19" s="620"/>
      <c r="DC19" s="620"/>
      <c r="DD19" s="148"/>
      <c r="DE19" s="149"/>
      <c r="DF19" s="620"/>
      <c r="DG19" s="620"/>
      <c r="DH19" s="621"/>
    </row>
    <row r="20" spans="1:112" ht="16.5" customHeight="1">
      <c r="A20" s="111"/>
      <c r="B20" s="113">
        <v>3</v>
      </c>
      <c r="C20" s="112" t="s">
        <v>1521</v>
      </c>
      <c r="D20" s="576">
        <v>1</v>
      </c>
      <c r="E20" s="154" t="s">
        <v>1522</v>
      </c>
      <c r="F20" s="154" t="s">
        <v>1523</v>
      </c>
      <c r="G20" s="155" t="s">
        <v>1524</v>
      </c>
      <c r="H20" s="119" t="s">
        <v>49</v>
      </c>
      <c r="I20" s="764" t="s">
        <v>1525</v>
      </c>
      <c r="J20" s="777" t="s">
        <v>1526</v>
      </c>
      <c r="K20" s="158" t="s">
        <v>1501</v>
      </c>
      <c r="L20" s="119"/>
      <c r="M20" s="121"/>
      <c r="N20" s="121"/>
      <c r="O20" s="121"/>
      <c r="P20" s="121"/>
      <c r="Q20" s="120"/>
      <c r="R20" s="120"/>
      <c r="S20" s="121"/>
      <c r="T20" s="121"/>
      <c r="U20" s="121"/>
      <c r="V20" s="121"/>
      <c r="W20" s="121"/>
      <c r="X20" s="120"/>
      <c r="Y20" s="636"/>
      <c r="Z20" s="119"/>
      <c r="AA20" s="121"/>
      <c r="AB20" s="740"/>
      <c r="AC20" s="740"/>
      <c r="AD20" s="740"/>
      <c r="AE20" s="120"/>
      <c r="AF20" s="636"/>
      <c r="AG20" s="740"/>
      <c r="AH20" s="740"/>
      <c r="AI20" s="740"/>
      <c r="AJ20" s="740"/>
      <c r="AK20" s="740"/>
      <c r="AL20" s="120"/>
      <c r="AM20" s="636"/>
      <c r="AN20" s="654"/>
      <c r="AO20" s="740"/>
      <c r="AP20" s="740"/>
      <c r="AQ20" s="121"/>
      <c r="AR20" s="121"/>
      <c r="AS20" s="120"/>
      <c r="AT20" s="120"/>
      <c r="AU20" s="121"/>
      <c r="AV20" s="121"/>
      <c r="AW20" s="121"/>
      <c r="AX20" s="121"/>
      <c r="AY20" s="121"/>
      <c r="AZ20" s="120"/>
      <c r="BA20" s="636"/>
      <c r="BB20" s="693"/>
      <c r="BC20" s="674"/>
      <c r="BD20" s="674"/>
      <c r="BE20" s="121"/>
      <c r="BF20" s="121"/>
      <c r="BG20" s="120"/>
      <c r="BH20" s="120"/>
      <c r="BI20" s="745"/>
      <c r="BJ20" s="506"/>
      <c r="BK20" s="745"/>
      <c r="BL20" s="745"/>
      <c r="BM20" s="745"/>
      <c r="BN20" s="122"/>
      <c r="BO20" s="123"/>
      <c r="BP20" s="121"/>
      <c r="BQ20" s="121"/>
      <c r="BR20" s="121"/>
      <c r="BS20" s="121"/>
      <c r="BT20" s="121"/>
      <c r="BU20" s="122"/>
      <c r="BV20" s="122"/>
      <c r="BW20" s="648"/>
      <c r="BX20" s="121"/>
      <c r="BY20" s="121"/>
      <c r="BZ20" s="121"/>
      <c r="CA20" s="121"/>
      <c r="CB20" s="122"/>
      <c r="CC20" s="701"/>
      <c r="CD20" s="119"/>
      <c r="CE20" s="121"/>
      <c r="CF20" s="121"/>
      <c r="CG20" s="121"/>
      <c r="CH20" s="121"/>
      <c r="CI20" s="122"/>
      <c r="CJ20" s="122"/>
      <c r="CK20" s="648"/>
      <c r="CL20" s="121"/>
      <c r="CM20" s="121"/>
      <c r="CN20" s="121"/>
      <c r="CO20" s="121"/>
      <c r="CP20" s="122"/>
      <c r="CQ20" s="122"/>
      <c r="CR20" s="648"/>
      <c r="CS20" s="121"/>
      <c r="CT20" s="121"/>
      <c r="CU20" s="121"/>
      <c r="CV20" s="121"/>
      <c r="CW20" s="122"/>
      <c r="CX20" s="122"/>
      <c r="CY20" s="121"/>
      <c r="CZ20" s="121"/>
      <c r="DA20" s="121"/>
      <c r="DB20" s="121"/>
      <c r="DC20" s="121"/>
      <c r="DD20" s="122"/>
      <c r="DE20" s="123"/>
      <c r="DF20" s="121"/>
      <c r="DG20" s="121"/>
      <c r="DH20" s="532"/>
    </row>
    <row r="21" spans="1:112" ht="16.5" customHeight="1">
      <c r="A21" s="111"/>
      <c r="B21" s="113"/>
      <c r="C21" s="112"/>
      <c r="D21" s="576">
        <v>2</v>
      </c>
      <c r="E21" s="156" t="s">
        <v>1527</v>
      </c>
      <c r="F21" s="156" t="s">
        <v>1528</v>
      </c>
      <c r="G21" s="157" t="s">
        <v>1524</v>
      </c>
      <c r="H21" s="126" t="s">
        <v>49</v>
      </c>
      <c r="I21" s="533" t="s">
        <v>1525</v>
      </c>
      <c r="J21" s="778" t="s">
        <v>1529</v>
      </c>
      <c r="K21" s="158" t="s">
        <v>1501</v>
      </c>
      <c r="L21" s="126"/>
      <c r="M21" s="128"/>
      <c r="N21" s="128"/>
      <c r="O21" s="128"/>
      <c r="P21" s="128"/>
      <c r="Q21" s="127"/>
      <c r="R21" s="127"/>
      <c r="S21" s="128"/>
      <c r="T21" s="128"/>
      <c r="U21" s="128"/>
      <c r="V21" s="128"/>
      <c r="W21" s="128"/>
      <c r="X21" s="127"/>
      <c r="Y21" s="637"/>
      <c r="Z21" s="126"/>
      <c r="AA21" s="128"/>
      <c r="AB21" s="741"/>
      <c r="AC21" s="741"/>
      <c r="AD21" s="741"/>
      <c r="AE21" s="127"/>
      <c r="AF21" s="637"/>
      <c r="AG21" s="741"/>
      <c r="AH21" s="741"/>
      <c r="AI21" s="741"/>
      <c r="AJ21" s="741"/>
      <c r="AK21" s="741"/>
      <c r="AL21" s="127"/>
      <c r="AM21" s="637"/>
      <c r="AN21" s="655"/>
      <c r="AO21" s="741"/>
      <c r="AP21" s="741"/>
      <c r="AQ21" s="128"/>
      <c r="AR21" s="128"/>
      <c r="AS21" s="127"/>
      <c r="AT21" s="127"/>
      <c r="AU21" s="128"/>
      <c r="AV21" s="128"/>
      <c r="AW21" s="128"/>
      <c r="AX21" s="128"/>
      <c r="AY21" s="128"/>
      <c r="AZ21" s="127"/>
      <c r="BA21" s="637"/>
      <c r="BB21" s="694"/>
      <c r="BC21" s="676"/>
      <c r="BD21" s="676"/>
      <c r="BE21" s="128"/>
      <c r="BF21" s="128"/>
      <c r="BG21" s="127"/>
      <c r="BH21" s="127"/>
      <c r="BI21" s="746"/>
      <c r="BJ21" s="507"/>
      <c r="BK21" s="746"/>
      <c r="BL21" s="746"/>
      <c r="BM21" s="746"/>
      <c r="BN21" s="129"/>
      <c r="BO21" s="130"/>
      <c r="BP21" s="128"/>
      <c r="BQ21" s="128"/>
      <c r="BR21" s="128"/>
      <c r="BS21" s="128"/>
      <c r="BT21" s="128"/>
      <c r="BU21" s="129"/>
      <c r="BV21" s="129"/>
      <c r="BW21" s="649"/>
      <c r="BX21" s="128"/>
      <c r="BY21" s="128"/>
      <c r="BZ21" s="128"/>
      <c r="CA21" s="128"/>
      <c r="CB21" s="129"/>
      <c r="CC21" s="672"/>
      <c r="CD21" s="126"/>
      <c r="CE21" s="128"/>
      <c r="CF21" s="128"/>
      <c r="CG21" s="128"/>
      <c r="CH21" s="128"/>
      <c r="CI21" s="129"/>
      <c r="CJ21" s="129"/>
      <c r="CK21" s="649"/>
      <c r="CL21" s="128"/>
      <c r="CM21" s="128"/>
      <c r="CN21" s="128"/>
      <c r="CO21" s="128"/>
      <c r="CP21" s="129"/>
      <c r="CQ21" s="129"/>
      <c r="CR21" s="649"/>
      <c r="CS21" s="128"/>
      <c r="CT21" s="128"/>
      <c r="CU21" s="128"/>
      <c r="CV21" s="128"/>
      <c r="CW21" s="129"/>
      <c r="CX21" s="129"/>
      <c r="CY21" s="128"/>
      <c r="CZ21" s="128"/>
      <c r="DA21" s="128"/>
      <c r="DB21" s="128"/>
      <c r="DC21" s="128"/>
      <c r="DD21" s="129"/>
      <c r="DE21" s="130"/>
      <c r="DF21" s="128"/>
      <c r="DG21" s="128"/>
      <c r="DH21" s="533"/>
    </row>
    <row r="22" spans="1:112" ht="16.5" customHeight="1">
      <c r="A22" s="111"/>
      <c r="B22" s="113"/>
      <c r="C22" s="112"/>
      <c r="D22" s="576">
        <v>3</v>
      </c>
      <c r="E22" s="156" t="s">
        <v>1530</v>
      </c>
      <c r="F22" s="156" t="s">
        <v>1528</v>
      </c>
      <c r="G22" s="157" t="s">
        <v>1524</v>
      </c>
      <c r="H22" s="126" t="s">
        <v>49</v>
      </c>
      <c r="I22" s="533" t="s">
        <v>1525</v>
      </c>
      <c r="J22" s="778" t="s">
        <v>1531</v>
      </c>
      <c r="K22" s="158" t="s">
        <v>1501</v>
      </c>
      <c r="L22" s="126"/>
      <c r="M22" s="128"/>
      <c r="N22" s="128"/>
      <c r="O22" s="128"/>
      <c r="P22" s="128"/>
      <c r="Q22" s="127"/>
      <c r="R22" s="127"/>
      <c r="S22" s="128"/>
      <c r="T22" s="128"/>
      <c r="U22" s="128"/>
      <c r="V22" s="128"/>
      <c r="W22" s="128"/>
      <c r="X22" s="127"/>
      <c r="Y22" s="637"/>
      <c r="Z22" s="126"/>
      <c r="AA22" s="128"/>
      <c r="AB22" s="741"/>
      <c r="AC22" s="741"/>
      <c r="AD22" s="741"/>
      <c r="AE22" s="127"/>
      <c r="AF22" s="637"/>
      <c r="AG22" s="741"/>
      <c r="AH22" s="741"/>
      <c r="AI22" s="741"/>
      <c r="AJ22" s="741"/>
      <c r="AK22" s="741"/>
      <c r="AL22" s="127"/>
      <c r="AM22" s="637"/>
      <c r="AN22" s="655"/>
      <c r="AO22" s="741"/>
      <c r="AP22" s="741"/>
      <c r="AQ22" s="128"/>
      <c r="AR22" s="128"/>
      <c r="AS22" s="127"/>
      <c r="AT22" s="127"/>
      <c r="AU22" s="128"/>
      <c r="AV22" s="128"/>
      <c r="AW22" s="128"/>
      <c r="AX22" s="128"/>
      <c r="AY22" s="128"/>
      <c r="AZ22" s="127"/>
      <c r="BA22" s="637"/>
      <c r="BB22" s="694"/>
      <c r="BC22" s="676"/>
      <c r="BD22" s="676"/>
      <c r="BE22" s="128"/>
      <c r="BF22" s="128"/>
      <c r="BG22" s="127"/>
      <c r="BH22" s="127"/>
      <c r="BI22" s="746"/>
      <c r="BJ22" s="507"/>
      <c r="BK22" s="746"/>
      <c r="BL22" s="746"/>
      <c r="BM22" s="746"/>
      <c r="BN22" s="129"/>
      <c r="BO22" s="130"/>
      <c r="BP22" s="128"/>
      <c r="BQ22" s="128"/>
      <c r="BR22" s="128"/>
      <c r="BS22" s="128"/>
      <c r="BT22" s="128"/>
      <c r="BU22" s="129"/>
      <c r="BV22" s="129"/>
      <c r="BW22" s="649"/>
      <c r="BX22" s="128"/>
      <c r="BY22" s="128"/>
      <c r="BZ22" s="128"/>
      <c r="CA22" s="128"/>
      <c r="CB22" s="129"/>
      <c r="CC22" s="672"/>
      <c r="CD22" s="126"/>
      <c r="CE22" s="128"/>
      <c r="CF22" s="128"/>
      <c r="CG22" s="128"/>
      <c r="CH22" s="128"/>
      <c r="CI22" s="129"/>
      <c r="CJ22" s="129"/>
      <c r="CK22" s="649"/>
      <c r="CL22" s="128"/>
      <c r="CM22" s="128"/>
      <c r="CN22" s="128"/>
      <c r="CO22" s="128"/>
      <c r="CP22" s="129"/>
      <c r="CQ22" s="129"/>
      <c r="CR22" s="649"/>
      <c r="CS22" s="128"/>
      <c r="CT22" s="128"/>
      <c r="CU22" s="128"/>
      <c r="CV22" s="128"/>
      <c r="CW22" s="129"/>
      <c r="CX22" s="129"/>
      <c r="CY22" s="128"/>
      <c r="CZ22" s="128"/>
      <c r="DA22" s="128"/>
      <c r="DB22" s="128"/>
      <c r="DC22" s="128"/>
      <c r="DD22" s="129"/>
      <c r="DE22" s="130"/>
      <c r="DF22" s="128"/>
      <c r="DG22" s="128"/>
      <c r="DH22" s="533"/>
    </row>
    <row r="23" spans="1:112" ht="16.5" customHeight="1">
      <c r="A23" s="111"/>
      <c r="B23" s="113"/>
      <c r="C23" s="112"/>
      <c r="D23" s="576">
        <v>4</v>
      </c>
      <c r="E23" s="156" t="s">
        <v>1532</v>
      </c>
      <c r="F23" s="156" t="s">
        <v>1528</v>
      </c>
      <c r="G23" s="157" t="s">
        <v>1524</v>
      </c>
      <c r="H23" s="126" t="s">
        <v>49</v>
      </c>
      <c r="I23" s="533" t="s">
        <v>1525</v>
      </c>
      <c r="J23" s="778" t="s">
        <v>1533</v>
      </c>
      <c r="K23" s="158" t="s">
        <v>1501</v>
      </c>
      <c r="L23" s="126"/>
      <c r="M23" s="128"/>
      <c r="N23" s="128"/>
      <c r="O23" s="128"/>
      <c r="P23" s="128"/>
      <c r="Q23" s="127"/>
      <c r="R23" s="127"/>
      <c r="S23" s="128"/>
      <c r="T23" s="128"/>
      <c r="U23" s="128"/>
      <c r="V23" s="128"/>
      <c r="W23" s="128"/>
      <c r="X23" s="127"/>
      <c r="Y23" s="637"/>
      <c r="Z23" s="126"/>
      <c r="AA23" s="128"/>
      <c r="AB23" s="741"/>
      <c r="AC23" s="741"/>
      <c r="AD23" s="741"/>
      <c r="AE23" s="135"/>
      <c r="AF23" s="135"/>
      <c r="AG23" s="741"/>
      <c r="AH23" s="741"/>
      <c r="AI23" s="741"/>
      <c r="AJ23" s="741"/>
      <c r="AK23" s="741"/>
      <c r="AL23" s="127"/>
      <c r="AM23" s="637"/>
      <c r="AN23" s="655"/>
      <c r="AO23" s="741"/>
      <c r="AP23" s="741"/>
      <c r="AQ23" s="128"/>
      <c r="AR23" s="128"/>
      <c r="AS23" s="127"/>
      <c r="AT23" s="127"/>
      <c r="AU23" s="128"/>
      <c r="AV23" s="128"/>
      <c r="AW23" s="128"/>
      <c r="AX23" s="128"/>
      <c r="AY23" s="128"/>
      <c r="AZ23" s="127"/>
      <c r="BA23" s="637"/>
      <c r="BB23" s="694"/>
      <c r="BC23" s="676"/>
      <c r="BD23" s="676"/>
      <c r="BE23" s="128"/>
      <c r="BF23" s="128"/>
      <c r="BG23" s="127"/>
      <c r="BH23" s="127"/>
      <c r="BI23" s="746"/>
      <c r="BJ23" s="507"/>
      <c r="BK23" s="746"/>
      <c r="BL23" s="746"/>
      <c r="BM23" s="746"/>
      <c r="BN23" s="129"/>
      <c r="BO23" s="130"/>
      <c r="BP23" s="128"/>
      <c r="BQ23" s="128"/>
      <c r="BR23" s="128"/>
      <c r="BS23" s="128"/>
      <c r="BT23" s="128"/>
      <c r="BU23" s="129"/>
      <c r="BV23" s="129"/>
      <c r="BW23" s="649"/>
      <c r="BX23" s="128"/>
      <c r="BY23" s="128"/>
      <c r="BZ23" s="128"/>
      <c r="CA23" s="128"/>
      <c r="CB23" s="129"/>
      <c r="CC23" s="672"/>
      <c r="CD23" s="126"/>
      <c r="CE23" s="128"/>
      <c r="CF23" s="128"/>
      <c r="CG23" s="128"/>
      <c r="CH23" s="128"/>
      <c r="CI23" s="129"/>
      <c r="CJ23" s="129"/>
      <c r="CK23" s="649"/>
      <c r="CL23" s="128"/>
      <c r="CM23" s="128"/>
      <c r="CN23" s="128"/>
      <c r="CO23" s="128"/>
      <c r="CP23" s="129"/>
      <c r="CQ23" s="129"/>
      <c r="CR23" s="649"/>
      <c r="CS23" s="128"/>
      <c r="CT23" s="128"/>
      <c r="CU23" s="128"/>
      <c r="CV23" s="128"/>
      <c r="CW23" s="129"/>
      <c r="CX23" s="129"/>
      <c r="CY23" s="128"/>
      <c r="CZ23" s="128"/>
      <c r="DA23" s="128"/>
      <c r="DB23" s="128"/>
      <c r="DC23" s="128"/>
      <c r="DD23" s="129"/>
      <c r="DE23" s="130"/>
      <c r="DF23" s="128"/>
      <c r="DG23" s="128"/>
      <c r="DH23" s="533"/>
    </row>
    <row r="24" spans="1:112" ht="16.5" customHeight="1">
      <c r="A24" s="111"/>
      <c r="B24" s="113"/>
      <c r="C24" s="112"/>
      <c r="D24" s="576">
        <v>5</v>
      </c>
      <c r="E24" s="156" t="s">
        <v>1534</v>
      </c>
      <c r="F24" s="156" t="s">
        <v>234</v>
      </c>
      <c r="G24" s="155" t="s">
        <v>1524</v>
      </c>
      <c r="H24" s="126" t="s">
        <v>49</v>
      </c>
      <c r="I24" s="533" t="s">
        <v>1525</v>
      </c>
      <c r="J24" s="778" t="s">
        <v>1535</v>
      </c>
      <c r="K24" s="158" t="s">
        <v>1501</v>
      </c>
      <c r="L24" s="126"/>
      <c r="M24" s="128"/>
      <c r="N24" s="128"/>
      <c r="O24" s="128"/>
      <c r="P24" s="128"/>
      <c r="Q24" s="127"/>
      <c r="R24" s="127"/>
      <c r="S24" s="128"/>
      <c r="T24" s="128"/>
      <c r="U24" s="128"/>
      <c r="V24" s="128"/>
      <c r="W24" s="128"/>
      <c r="X24" s="127"/>
      <c r="Y24" s="637"/>
      <c r="Z24" s="126"/>
      <c r="AA24" s="128"/>
      <c r="AB24" s="741"/>
      <c r="AC24" s="741"/>
      <c r="AD24" s="741"/>
      <c r="AE24" s="127"/>
      <c r="AF24" s="127"/>
      <c r="AG24" s="740"/>
      <c r="AH24" s="740"/>
      <c r="AI24" s="740"/>
      <c r="AJ24" s="740"/>
      <c r="AK24" s="740"/>
      <c r="AL24" s="127"/>
      <c r="AM24" s="637"/>
      <c r="AN24" s="655"/>
      <c r="AO24" s="740"/>
      <c r="AP24" s="740"/>
      <c r="AQ24" s="128"/>
      <c r="AR24" s="128"/>
      <c r="AS24" s="127"/>
      <c r="AT24" s="127"/>
      <c r="AU24" s="128"/>
      <c r="AV24" s="128"/>
      <c r="AW24" s="128"/>
      <c r="AX24" s="128"/>
      <c r="AY24" s="128"/>
      <c r="AZ24" s="127"/>
      <c r="BA24" s="637"/>
      <c r="BB24" s="694"/>
      <c r="BC24" s="676"/>
      <c r="BD24" s="676"/>
      <c r="BE24" s="128"/>
      <c r="BF24" s="128"/>
      <c r="BG24" s="127"/>
      <c r="BH24" s="127"/>
      <c r="BI24" s="746"/>
      <c r="BJ24" s="507"/>
      <c r="BK24" s="746"/>
      <c r="BL24" s="746"/>
      <c r="BM24" s="746"/>
      <c r="BN24" s="129"/>
      <c r="BO24" s="130"/>
      <c r="BP24" s="128"/>
      <c r="BQ24" s="128"/>
      <c r="BR24" s="128"/>
      <c r="BS24" s="128"/>
      <c r="BT24" s="128"/>
      <c r="BU24" s="129"/>
      <c r="BV24" s="129"/>
      <c r="BW24" s="649"/>
      <c r="BX24" s="128"/>
      <c r="BY24" s="128"/>
      <c r="BZ24" s="128"/>
      <c r="CA24" s="128"/>
      <c r="CB24" s="129"/>
      <c r="CC24" s="672"/>
      <c r="CD24" s="126"/>
      <c r="CE24" s="128"/>
      <c r="CF24" s="128"/>
      <c r="CG24" s="128"/>
      <c r="CH24" s="128"/>
      <c r="CI24" s="129"/>
      <c r="CJ24" s="129"/>
      <c r="CK24" s="649"/>
      <c r="CL24" s="128"/>
      <c r="CM24" s="128"/>
      <c r="CN24" s="128"/>
      <c r="CO24" s="128"/>
      <c r="CP24" s="129"/>
      <c r="CQ24" s="129"/>
      <c r="CR24" s="649"/>
      <c r="CS24" s="128"/>
      <c r="CT24" s="128"/>
      <c r="CU24" s="128"/>
      <c r="CV24" s="128"/>
      <c r="CW24" s="129"/>
      <c r="CX24" s="129"/>
      <c r="CY24" s="128"/>
      <c r="CZ24" s="128"/>
      <c r="DA24" s="128"/>
      <c r="DB24" s="128"/>
      <c r="DC24" s="128"/>
      <c r="DD24" s="129"/>
      <c r="DE24" s="130"/>
      <c r="DF24" s="128"/>
      <c r="DG24" s="128"/>
      <c r="DH24" s="533"/>
    </row>
    <row r="25" spans="1:112" ht="16.5" customHeight="1">
      <c r="A25" s="111"/>
      <c r="B25" s="113"/>
      <c r="C25" s="112"/>
      <c r="D25" s="576">
        <v>6</v>
      </c>
      <c r="E25" s="156" t="s">
        <v>1536</v>
      </c>
      <c r="F25" s="156" t="s">
        <v>234</v>
      </c>
      <c r="G25" s="157" t="s">
        <v>1524</v>
      </c>
      <c r="H25" s="126" t="s">
        <v>49</v>
      </c>
      <c r="I25" s="533" t="s">
        <v>1525</v>
      </c>
      <c r="J25" s="778" t="s">
        <v>1537</v>
      </c>
      <c r="K25" s="158" t="s">
        <v>1501</v>
      </c>
      <c r="L25" s="126"/>
      <c r="M25" s="128"/>
      <c r="N25" s="128"/>
      <c r="O25" s="128"/>
      <c r="P25" s="128"/>
      <c r="Q25" s="127"/>
      <c r="R25" s="127"/>
      <c r="S25" s="128"/>
      <c r="T25" s="128"/>
      <c r="U25" s="128"/>
      <c r="V25" s="128"/>
      <c r="W25" s="128"/>
      <c r="X25" s="127"/>
      <c r="Y25" s="637"/>
      <c r="Z25" s="126"/>
      <c r="AA25" s="128"/>
      <c r="AB25" s="741"/>
      <c r="AC25" s="741"/>
      <c r="AD25" s="741"/>
      <c r="AE25" s="127"/>
      <c r="AF25" s="127"/>
      <c r="AG25" s="741"/>
      <c r="AH25" s="741"/>
      <c r="AI25" s="741"/>
      <c r="AJ25" s="741"/>
      <c r="AK25" s="741"/>
      <c r="AL25" s="127"/>
      <c r="AM25" s="637"/>
      <c r="AN25" s="655"/>
      <c r="AO25" s="741"/>
      <c r="AP25" s="741"/>
      <c r="AQ25" s="128"/>
      <c r="AR25" s="128"/>
      <c r="AS25" s="127"/>
      <c r="AT25" s="127"/>
      <c r="AU25" s="128"/>
      <c r="AV25" s="128"/>
      <c r="AW25" s="128"/>
      <c r="AX25" s="128"/>
      <c r="AY25" s="128"/>
      <c r="AZ25" s="127"/>
      <c r="BA25" s="637"/>
      <c r="BB25" s="694"/>
      <c r="BC25" s="676"/>
      <c r="BD25" s="676"/>
      <c r="BE25" s="128"/>
      <c r="BF25" s="128"/>
      <c r="BG25" s="127"/>
      <c r="BH25" s="127"/>
      <c r="BI25" s="746"/>
      <c r="BJ25" s="507"/>
      <c r="BK25" s="746"/>
      <c r="BL25" s="746"/>
      <c r="BM25" s="746"/>
      <c r="BN25" s="129"/>
      <c r="BO25" s="130"/>
      <c r="BP25" s="128"/>
      <c r="BQ25" s="128"/>
      <c r="BR25" s="128"/>
      <c r="BS25" s="128"/>
      <c r="BT25" s="128"/>
      <c r="BU25" s="129"/>
      <c r="BV25" s="129"/>
      <c r="BW25" s="649"/>
      <c r="BX25" s="128"/>
      <c r="BY25" s="128"/>
      <c r="BZ25" s="128"/>
      <c r="CA25" s="128"/>
      <c r="CB25" s="129"/>
      <c r="CC25" s="672"/>
      <c r="CD25" s="126"/>
      <c r="CE25" s="128"/>
      <c r="CF25" s="128"/>
      <c r="CG25" s="128"/>
      <c r="CH25" s="128"/>
      <c r="CI25" s="129"/>
      <c r="CJ25" s="129"/>
      <c r="CK25" s="649"/>
      <c r="CL25" s="128"/>
      <c r="CM25" s="128"/>
      <c r="CN25" s="128"/>
      <c r="CO25" s="128"/>
      <c r="CP25" s="129"/>
      <c r="CQ25" s="129"/>
      <c r="CR25" s="649"/>
      <c r="CS25" s="128"/>
      <c r="CT25" s="128"/>
      <c r="CU25" s="128"/>
      <c r="CV25" s="128"/>
      <c r="CW25" s="129"/>
      <c r="CX25" s="129"/>
      <c r="CY25" s="128"/>
      <c r="CZ25" s="128"/>
      <c r="DA25" s="128"/>
      <c r="DB25" s="128"/>
      <c r="DC25" s="128"/>
      <c r="DD25" s="129"/>
      <c r="DE25" s="130"/>
      <c r="DF25" s="128"/>
      <c r="DG25" s="128"/>
      <c r="DH25" s="533"/>
    </row>
    <row r="26" spans="1:112" ht="16.5" customHeight="1">
      <c r="A26" s="111"/>
      <c r="B26" s="113"/>
      <c r="C26" s="112"/>
      <c r="D26" s="576">
        <v>7</v>
      </c>
      <c r="E26" s="156" t="s">
        <v>1538</v>
      </c>
      <c r="F26" s="156" t="s">
        <v>234</v>
      </c>
      <c r="G26" s="157" t="s">
        <v>1524</v>
      </c>
      <c r="H26" s="126" t="s">
        <v>49</v>
      </c>
      <c r="I26" s="533" t="s">
        <v>1525</v>
      </c>
      <c r="J26" s="778" t="s">
        <v>1539</v>
      </c>
      <c r="K26" s="158" t="s">
        <v>1501</v>
      </c>
      <c r="L26" s="126"/>
      <c r="M26" s="128"/>
      <c r="N26" s="128"/>
      <c r="O26" s="128"/>
      <c r="P26" s="128"/>
      <c r="Q26" s="127"/>
      <c r="R26" s="127"/>
      <c r="S26" s="128"/>
      <c r="T26" s="128"/>
      <c r="U26" s="128"/>
      <c r="V26" s="128"/>
      <c r="W26" s="128"/>
      <c r="X26" s="127"/>
      <c r="Y26" s="637"/>
      <c r="Z26" s="126"/>
      <c r="AA26" s="128"/>
      <c r="AB26" s="741"/>
      <c r="AC26" s="741"/>
      <c r="AD26" s="741"/>
      <c r="AE26" s="127"/>
      <c r="AF26" s="127"/>
      <c r="AG26" s="741"/>
      <c r="AH26" s="741"/>
      <c r="AI26" s="741"/>
      <c r="AJ26" s="741"/>
      <c r="AK26" s="741"/>
      <c r="AL26" s="127"/>
      <c r="AM26" s="637"/>
      <c r="AN26" s="655"/>
      <c r="AO26" s="741"/>
      <c r="AP26" s="741"/>
      <c r="AQ26" s="128"/>
      <c r="AR26" s="128"/>
      <c r="AS26" s="127"/>
      <c r="AT26" s="127"/>
      <c r="AU26" s="128"/>
      <c r="AV26" s="128"/>
      <c r="AW26" s="128"/>
      <c r="AX26" s="128"/>
      <c r="AY26" s="128"/>
      <c r="AZ26" s="127"/>
      <c r="BA26" s="637"/>
      <c r="BB26" s="694"/>
      <c r="BC26" s="676"/>
      <c r="BD26" s="676"/>
      <c r="BE26" s="128"/>
      <c r="BF26" s="128"/>
      <c r="BG26" s="127"/>
      <c r="BH26" s="127"/>
      <c r="BI26" s="746"/>
      <c r="BJ26" s="507"/>
      <c r="BK26" s="746"/>
      <c r="BL26" s="746"/>
      <c r="BM26" s="746"/>
      <c r="BN26" s="129"/>
      <c r="BO26" s="130"/>
      <c r="BP26" s="128"/>
      <c r="BQ26" s="128"/>
      <c r="BR26" s="128"/>
      <c r="BS26" s="128"/>
      <c r="BT26" s="128"/>
      <c r="BU26" s="129"/>
      <c r="BV26" s="129"/>
      <c r="BW26" s="649"/>
      <c r="BX26" s="128"/>
      <c r="BY26" s="128"/>
      <c r="BZ26" s="128"/>
      <c r="CA26" s="128"/>
      <c r="CB26" s="129"/>
      <c r="CC26" s="672"/>
      <c r="CD26" s="126"/>
      <c r="CE26" s="128"/>
      <c r="CF26" s="128"/>
      <c r="CG26" s="128"/>
      <c r="CH26" s="128"/>
      <c r="CI26" s="129"/>
      <c r="CJ26" s="129"/>
      <c r="CK26" s="649"/>
      <c r="CL26" s="128"/>
      <c r="CM26" s="128"/>
      <c r="CN26" s="128"/>
      <c r="CO26" s="128"/>
      <c r="CP26" s="129"/>
      <c r="CQ26" s="129"/>
      <c r="CR26" s="649"/>
      <c r="CS26" s="128"/>
      <c r="CT26" s="128"/>
      <c r="CU26" s="128"/>
      <c r="CV26" s="128"/>
      <c r="CW26" s="129"/>
      <c r="CX26" s="129"/>
      <c r="CY26" s="128"/>
      <c r="CZ26" s="128"/>
      <c r="DA26" s="128"/>
      <c r="DB26" s="128"/>
      <c r="DC26" s="128"/>
      <c r="DD26" s="129"/>
      <c r="DE26" s="130"/>
      <c r="DF26" s="128"/>
      <c r="DG26" s="128"/>
      <c r="DH26" s="533"/>
    </row>
    <row r="27" spans="1:112" ht="16.5" customHeight="1">
      <c r="A27" s="111"/>
      <c r="B27" s="113"/>
      <c r="C27" s="112"/>
      <c r="D27" s="576">
        <v>8</v>
      </c>
      <c r="E27" s="156" t="s">
        <v>1540</v>
      </c>
      <c r="F27" s="156" t="s">
        <v>234</v>
      </c>
      <c r="G27" s="157" t="s">
        <v>1524</v>
      </c>
      <c r="H27" s="126" t="s">
        <v>49</v>
      </c>
      <c r="I27" s="533" t="s">
        <v>1525</v>
      </c>
      <c r="J27" s="778" t="s">
        <v>1541</v>
      </c>
      <c r="K27" s="158" t="s">
        <v>1501</v>
      </c>
      <c r="L27" s="126"/>
      <c r="M27" s="128"/>
      <c r="N27" s="128"/>
      <c r="O27" s="128"/>
      <c r="P27" s="128"/>
      <c r="Q27" s="127"/>
      <c r="R27" s="127"/>
      <c r="S27" s="128"/>
      <c r="T27" s="128"/>
      <c r="U27" s="128"/>
      <c r="V27" s="128"/>
      <c r="W27" s="128"/>
      <c r="X27" s="127"/>
      <c r="Y27" s="637"/>
      <c r="Z27" s="126"/>
      <c r="AA27" s="128"/>
      <c r="AB27" s="741"/>
      <c r="AC27" s="741"/>
      <c r="AD27" s="741"/>
      <c r="AE27" s="127"/>
      <c r="AF27" s="127"/>
      <c r="AG27" s="741"/>
      <c r="AH27" s="741"/>
      <c r="AI27" s="741"/>
      <c r="AJ27" s="741"/>
      <c r="AK27" s="741"/>
      <c r="AL27" s="127"/>
      <c r="AM27" s="637"/>
      <c r="AN27" s="655"/>
      <c r="AO27" s="741"/>
      <c r="AP27" s="741"/>
      <c r="AQ27" s="128"/>
      <c r="AR27" s="128"/>
      <c r="AS27" s="127"/>
      <c r="AT27" s="127"/>
      <c r="AU27" s="128"/>
      <c r="AV27" s="128"/>
      <c r="AW27" s="128"/>
      <c r="AX27" s="128"/>
      <c r="AY27" s="128"/>
      <c r="AZ27" s="127"/>
      <c r="BA27" s="637"/>
      <c r="BB27" s="694"/>
      <c r="BC27" s="676"/>
      <c r="BD27" s="676"/>
      <c r="BE27" s="128"/>
      <c r="BF27" s="128"/>
      <c r="BG27" s="127"/>
      <c r="BH27" s="127"/>
      <c r="BI27" s="746"/>
      <c r="BJ27" s="507"/>
      <c r="BK27" s="746"/>
      <c r="BL27" s="746"/>
      <c r="BM27" s="746"/>
      <c r="BN27" s="129"/>
      <c r="BO27" s="130"/>
      <c r="BP27" s="128"/>
      <c r="BQ27" s="128"/>
      <c r="BR27" s="128"/>
      <c r="BS27" s="128"/>
      <c r="BT27" s="128"/>
      <c r="BU27" s="129"/>
      <c r="BV27" s="129"/>
      <c r="BW27" s="649"/>
      <c r="BX27" s="128"/>
      <c r="BY27" s="128"/>
      <c r="BZ27" s="128"/>
      <c r="CA27" s="128"/>
      <c r="CB27" s="129"/>
      <c r="CC27" s="672"/>
      <c r="CD27" s="126"/>
      <c r="CE27" s="128"/>
      <c r="CF27" s="128"/>
      <c r="CG27" s="128"/>
      <c r="CH27" s="128"/>
      <c r="CI27" s="129"/>
      <c r="CJ27" s="129"/>
      <c r="CK27" s="649"/>
      <c r="CL27" s="128"/>
      <c r="CM27" s="128"/>
      <c r="CN27" s="128"/>
      <c r="CO27" s="128"/>
      <c r="CP27" s="129"/>
      <c r="CQ27" s="129"/>
      <c r="CR27" s="649"/>
      <c r="CS27" s="128"/>
      <c r="CT27" s="128"/>
      <c r="CU27" s="128"/>
      <c r="CV27" s="128"/>
      <c r="CW27" s="129"/>
      <c r="CX27" s="129"/>
      <c r="CY27" s="128"/>
      <c r="CZ27" s="128"/>
      <c r="DA27" s="128"/>
      <c r="DB27" s="128"/>
      <c r="DC27" s="128"/>
      <c r="DD27" s="129"/>
      <c r="DE27" s="130"/>
      <c r="DF27" s="128"/>
      <c r="DG27" s="128"/>
      <c r="DH27" s="533"/>
    </row>
    <row r="28" spans="1:112" ht="16.5" customHeight="1">
      <c r="A28" s="111"/>
      <c r="B28" s="113"/>
      <c r="C28" s="112"/>
      <c r="D28" s="576">
        <v>9</v>
      </c>
      <c r="E28" s="156" t="s">
        <v>1542</v>
      </c>
      <c r="F28" s="156" t="s">
        <v>234</v>
      </c>
      <c r="G28" s="157" t="s">
        <v>1524</v>
      </c>
      <c r="H28" s="126" t="s">
        <v>49</v>
      </c>
      <c r="I28" s="533" t="s">
        <v>1525</v>
      </c>
      <c r="J28" s="778" t="s">
        <v>1543</v>
      </c>
      <c r="K28" s="158" t="s">
        <v>1501</v>
      </c>
      <c r="L28" s="126"/>
      <c r="M28" s="128"/>
      <c r="N28" s="128"/>
      <c r="O28" s="128"/>
      <c r="P28" s="128"/>
      <c r="Q28" s="127"/>
      <c r="R28" s="127"/>
      <c r="S28" s="128"/>
      <c r="T28" s="128"/>
      <c r="U28" s="128"/>
      <c r="V28" s="128"/>
      <c r="W28" s="128"/>
      <c r="X28" s="127"/>
      <c r="Y28" s="637"/>
      <c r="Z28" s="126"/>
      <c r="AA28" s="128"/>
      <c r="AB28" s="741"/>
      <c r="AC28" s="741"/>
      <c r="AD28" s="741"/>
      <c r="AE28" s="127"/>
      <c r="AF28" s="127"/>
      <c r="AG28" s="740"/>
      <c r="AH28" s="740"/>
      <c r="AI28" s="740"/>
      <c r="AJ28" s="740"/>
      <c r="AK28" s="740"/>
      <c r="AL28" s="127"/>
      <c r="AM28" s="637"/>
      <c r="AN28" s="655"/>
      <c r="AO28" s="740"/>
      <c r="AP28" s="740"/>
      <c r="AQ28" s="128"/>
      <c r="AR28" s="128"/>
      <c r="AS28" s="127"/>
      <c r="AT28" s="127"/>
      <c r="AU28" s="128"/>
      <c r="AV28" s="128"/>
      <c r="AW28" s="128"/>
      <c r="AX28" s="128"/>
      <c r="AY28" s="128"/>
      <c r="AZ28" s="127"/>
      <c r="BA28" s="637"/>
      <c r="BB28" s="694"/>
      <c r="BC28" s="676"/>
      <c r="BD28" s="676"/>
      <c r="BE28" s="128"/>
      <c r="BF28" s="128"/>
      <c r="BG28" s="127"/>
      <c r="BH28" s="127"/>
      <c r="BI28" s="746"/>
      <c r="BJ28" s="507"/>
      <c r="BK28" s="746"/>
      <c r="BL28" s="746"/>
      <c r="BM28" s="746"/>
      <c r="BN28" s="129"/>
      <c r="BO28" s="130"/>
      <c r="BP28" s="128"/>
      <c r="BQ28" s="128"/>
      <c r="BR28" s="128"/>
      <c r="BS28" s="128"/>
      <c r="BT28" s="128"/>
      <c r="BU28" s="129"/>
      <c r="BV28" s="129"/>
      <c r="BW28" s="649"/>
      <c r="BX28" s="128"/>
      <c r="BY28" s="128"/>
      <c r="BZ28" s="128"/>
      <c r="CA28" s="128"/>
      <c r="CB28" s="129"/>
      <c r="CC28" s="672"/>
      <c r="CD28" s="126"/>
      <c r="CE28" s="128"/>
      <c r="CF28" s="128"/>
      <c r="CG28" s="128"/>
      <c r="CH28" s="128"/>
      <c r="CI28" s="129"/>
      <c r="CJ28" s="129"/>
      <c r="CK28" s="649"/>
      <c r="CL28" s="128"/>
      <c r="CM28" s="128"/>
      <c r="CN28" s="128"/>
      <c r="CO28" s="128"/>
      <c r="CP28" s="129"/>
      <c r="CQ28" s="129"/>
      <c r="CR28" s="649"/>
      <c r="CS28" s="128"/>
      <c r="CT28" s="128"/>
      <c r="CU28" s="128"/>
      <c r="CV28" s="128"/>
      <c r="CW28" s="129"/>
      <c r="CX28" s="129"/>
      <c r="CY28" s="128"/>
      <c r="CZ28" s="128"/>
      <c r="DA28" s="128"/>
      <c r="DB28" s="128"/>
      <c r="DC28" s="128"/>
      <c r="DD28" s="129"/>
      <c r="DE28" s="130"/>
      <c r="DF28" s="128"/>
      <c r="DG28" s="128"/>
      <c r="DH28" s="533"/>
    </row>
    <row r="29" spans="1:112" ht="16.5" customHeight="1">
      <c r="A29" s="111"/>
      <c r="B29" s="113"/>
      <c r="C29" s="112"/>
      <c r="D29" s="576">
        <v>10</v>
      </c>
      <c r="E29" s="156" t="s">
        <v>1544</v>
      </c>
      <c r="F29" s="156" t="s">
        <v>234</v>
      </c>
      <c r="G29" s="157" t="s">
        <v>1524</v>
      </c>
      <c r="H29" s="126" t="s">
        <v>49</v>
      </c>
      <c r="I29" s="533" t="s">
        <v>1525</v>
      </c>
      <c r="J29" s="778" t="s">
        <v>1545</v>
      </c>
      <c r="K29" s="158" t="s">
        <v>1501</v>
      </c>
      <c r="L29" s="126"/>
      <c r="M29" s="128"/>
      <c r="N29" s="128"/>
      <c r="O29" s="128"/>
      <c r="P29" s="128"/>
      <c r="Q29" s="127"/>
      <c r="R29" s="127"/>
      <c r="S29" s="128"/>
      <c r="T29" s="128"/>
      <c r="U29" s="128"/>
      <c r="V29" s="128"/>
      <c r="W29" s="128"/>
      <c r="X29" s="127"/>
      <c r="Y29" s="637"/>
      <c r="Z29" s="126"/>
      <c r="AA29" s="128"/>
      <c r="AB29" s="741"/>
      <c r="AC29" s="741"/>
      <c r="AD29" s="741"/>
      <c r="AE29" s="127"/>
      <c r="AF29" s="127"/>
      <c r="AG29" s="741"/>
      <c r="AH29" s="741"/>
      <c r="AI29" s="741"/>
      <c r="AJ29" s="741"/>
      <c r="AK29" s="741"/>
      <c r="AL29" s="127"/>
      <c r="AM29" s="637"/>
      <c r="AN29" s="655"/>
      <c r="AO29" s="741"/>
      <c r="AP29" s="741"/>
      <c r="AQ29" s="128"/>
      <c r="AR29" s="128"/>
      <c r="AS29" s="127"/>
      <c r="AT29" s="127"/>
      <c r="AU29" s="128"/>
      <c r="AV29" s="128"/>
      <c r="AW29" s="128"/>
      <c r="AX29" s="128"/>
      <c r="AY29" s="128"/>
      <c r="AZ29" s="127"/>
      <c r="BA29" s="637"/>
      <c r="BB29" s="694"/>
      <c r="BC29" s="676"/>
      <c r="BD29" s="676"/>
      <c r="BE29" s="128"/>
      <c r="BF29" s="128"/>
      <c r="BG29" s="127"/>
      <c r="BH29" s="127"/>
      <c r="BI29" s="746"/>
      <c r="BJ29" s="507"/>
      <c r="BK29" s="746"/>
      <c r="BL29" s="746"/>
      <c r="BM29" s="746"/>
      <c r="BN29" s="129"/>
      <c r="BO29" s="130"/>
      <c r="BP29" s="128"/>
      <c r="BQ29" s="128"/>
      <c r="BR29" s="128"/>
      <c r="BS29" s="128"/>
      <c r="BT29" s="128"/>
      <c r="BU29" s="129"/>
      <c r="BV29" s="129"/>
      <c r="BW29" s="649"/>
      <c r="BX29" s="128"/>
      <c r="BY29" s="128"/>
      <c r="BZ29" s="128"/>
      <c r="CA29" s="128"/>
      <c r="CB29" s="129"/>
      <c r="CC29" s="672"/>
      <c r="CD29" s="126"/>
      <c r="CE29" s="128"/>
      <c r="CF29" s="128"/>
      <c r="CG29" s="128"/>
      <c r="CH29" s="128"/>
      <c r="CI29" s="129"/>
      <c r="CJ29" s="129"/>
      <c r="CK29" s="649"/>
      <c r="CL29" s="128"/>
      <c r="CM29" s="128"/>
      <c r="CN29" s="128"/>
      <c r="CO29" s="128"/>
      <c r="CP29" s="129"/>
      <c r="CQ29" s="129"/>
      <c r="CR29" s="649"/>
      <c r="CS29" s="128"/>
      <c r="CT29" s="128"/>
      <c r="CU29" s="128"/>
      <c r="CV29" s="128"/>
      <c r="CW29" s="129"/>
      <c r="CX29" s="129"/>
      <c r="CY29" s="128"/>
      <c r="CZ29" s="128"/>
      <c r="DA29" s="128"/>
      <c r="DB29" s="128"/>
      <c r="DC29" s="128"/>
      <c r="DD29" s="129"/>
      <c r="DE29" s="130"/>
      <c r="DF29" s="128"/>
      <c r="DG29" s="128"/>
      <c r="DH29" s="533"/>
    </row>
    <row r="30" spans="1:112" ht="16.5" customHeight="1">
      <c r="A30" s="111"/>
      <c r="B30" s="113"/>
      <c r="C30" s="112"/>
      <c r="D30" s="576">
        <v>11</v>
      </c>
      <c r="E30" s="156" t="s">
        <v>1546</v>
      </c>
      <c r="F30" s="156" t="s">
        <v>234</v>
      </c>
      <c r="G30" s="157" t="s">
        <v>1524</v>
      </c>
      <c r="H30" s="126" t="s">
        <v>49</v>
      </c>
      <c r="I30" s="533" t="s">
        <v>1525</v>
      </c>
      <c r="J30" s="778" t="s">
        <v>1547</v>
      </c>
      <c r="K30" s="158" t="s">
        <v>1501</v>
      </c>
      <c r="L30" s="126"/>
      <c r="M30" s="128"/>
      <c r="N30" s="128"/>
      <c r="O30" s="128"/>
      <c r="P30" s="128"/>
      <c r="Q30" s="127"/>
      <c r="R30" s="127"/>
      <c r="S30" s="128"/>
      <c r="T30" s="128"/>
      <c r="U30" s="128"/>
      <c r="V30" s="128"/>
      <c r="W30" s="128"/>
      <c r="X30" s="127"/>
      <c r="Y30" s="637"/>
      <c r="Z30" s="126"/>
      <c r="AA30" s="128"/>
      <c r="AB30" s="741"/>
      <c r="AC30" s="741"/>
      <c r="AD30" s="741"/>
      <c r="AE30" s="127"/>
      <c r="AF30" s="127"/>
      <c r="AG30" s="741"/>
      <c r="AH30" s="741"/>
      <c r="AI30" s="741"/>
      <c r="AJ30" s="741"/>
      <c r="AK30" s="741"/>
      <c r="AL30" s="127"/>
      <c r="AM30" s="637"/>
      <c r="AN30" s="655"/>
      <c r="AO30" s="741"/>
      <c r="AP30" s="741"/>
      <c r="AQ30" s="128"/>
      <c r="AR30" s="128"/>
      <c r="AS30" s="127"/>
      <c r="AT30" s="127"/>
      <c r="AU30" s="128"/>
      <c r="AV30" s="128"/>
      <c r="AW30" s="128"/>
      <c r="AX30" s="128"/>
      <c r="AY30" s="128"/>
      <c r="AZ30" s="127"/>
      <c r="BA30" s="637"/>
      <c r="BB30" s="694"/>
      <c r="BC30" s="676"/>
      <c r="BD30" s="676"/>
      <c r="BE30" s="128"/>
      <c r="BF30" s="128"/>
      <c r="BG30" s="127"/>
      <c r="BH30" s="127"/>
      <c r="BI30" s="746"/>
      <c r="BJ30" s="507"/>
      <c r="BK30" s="746"/>
      <c r="BL30" s="746"/>
      <c r="BM30" s="746"/>
      <c r="BN30" s="129"/>
      <c r="BO30" s="130"/>
      <c r="BP30" s="128"/>
      <c r="BQ30" s="128"/>
      <c r="BR30" s="128"/>
      <c r="BS30" s="128"/>
      <c r="BT30" s="128"/>
      <c r="BU30" s="129"/>
      <c r="BV30" s="129"/>
      <c r="BW30" s="649"/>
      <c r="BX30" s="128"/>
      <c r="BY30" s="128"/>
      <c r="BZ30" s="128"/>
      <c r="CA30" s="128"/>
      <c r="CB30" s="129"/>
      <c r="CC30" s="672"/>
      <c r="CD30" s="126"/>
      <c r="CE30" s="128"/>
      <c r="CF30" s="128"/>
      <c r="CG30" s="128"/>
      <c r="CH30" s="128"/>
      <c r="CI30" s="129"/>
      <c r="CJ30" s="129"/>
      <c r="CK30" s="649"/>
      <c r="CL30" s="128"/>
      <c r="CM30" s="128"/>
      <c r="CN30" s="128"/>
      <c r="CO30" s="128"/>
      <c r="CP30" s="129"/>
      <c r="CQ30" s="129"/>
      <c r="CR30" s="649"/>
      <c r="CS30" s="128"/>
      <c r="CT30" s="128"/>
      <c r="CU30" s="128"/>
      <c r="CV30" s="128"/>
      <c r="CW30" s="129"/>
      <c r="CX30" s="129"/>
      <c r="CY30" s="128"/>
      <c r="CZ30" s="128"/>
      <c r="DA30" s="128"/>
      <c r="DB30" s="128"/>
      <c r="DC30" s="128"/>
      <c r="DD30" s="129"/>
      <c r="DE30" s="130"/>
      <c r="DF30" s="128"/>
      <c r="DG30" s="128"/>
      <c r="DH30" s="533"/>
    </row>
    <row r="31" spans="1:112" ht="16.5" customHeight="1">
      <c r="A31" s="111"/>
      <c r="B31" s="113"/>
      <c r="C31" s="112"/>
      <c r="D31" s="576">
        <v>12</v>
      </c>
      <c r="E31" s="156" t="s">
        <v>1548</v>
      </c>
      <c r="F31" s="156" t="s">
        <v>234</v>
      </c>
      <c r="G31" s="157" t="s">
        <v>1524</v>
      </c>
      <c r="H31" s="126" t="s">
        <v>49</v>
      </c>
      <c r="I31" s="533" t="s">
        <v>1525</v>
      </c>
      <c r="J31" s="778" t="s">
        <v>1549</v>
      </c>
      <c r="K31" s="158" t="s">
        <v>1501</v>
      </c>
      <c r="L31" s="126"/>
      <c r="M31" s="128"/>
      <c r="N31" s="128"/>
      <c r="O31" s="128"/>
      <c r="P31" s="128"/>
      <c r="Q31" s="127"/>
      <c r="R31" s="127"/>
      <c r="S31" s="128"/>
      <c r="T31" s="128"/>
      <c r="U31" s="128"/>
      <c r="V31" s="128"/>
      <c r="W31" s="128"/>
      <c r="X31" s="127"/>
      <c r="Y31" s="637"/>
      <c r="Z31" s="126"/>
      <c r="AA31" s="128"/>
      <c r="AB31" s="741"/>
      <c r="AC31" s="741"/>
      <c r="AD31" s="741"/>
      <c r="AE31" s="127"/>
      <c r="AF31" s="127"/>
      <c r="AG31" s="741"/>
      <c r="AH31" s="741"/>
      <c r="AI31" s="741"/>
      <c r="AJ31" s="741"/>
      <c r="AK31" s="741"/>
      <c r="AL31" s="127"/>
      <c r="AM31" s="637"/>
      <c r="AN31" s="655"/>
      <c r="AO31" s="741"/>
      <c r="AP31" s="741"/>
      <c r="AQ31" s="128"/>
      <c r="AR31" s="128"/>
      <c r="AS31" s="127"/>
      <c r="AT31" s="127"/>
      <c r="AU31" s="128"/>
      <c r="AV31" s="128"/>
      <c r="AW31" s="128"/>
      <c r="AX31" s="128"/>
      <c r="AY31" s="128"/>
      <c r="AZ31" s="127"/>
      <c r="BA31" s="637"/>
      <c r="BB31" s="694"/>
      <c r="BC31" s="676"/>
      <c r="BD31" s="676"/>
      <c r="BE31" s="128"/>
      <c r="BF31" s="128"/>
      <c r="BG31" s="127"/>
      <c r="BH31" s="127"/>
      <c r="BI31" s="746"/>
      <c r="BJ31" s="507"/>
      <c r="BK31" s="746"/>
      <c r="BL31" s="746"/>
      <c r="BM31" s="746"/>
      <c r="BN31" s="129"/>
      <c r="BO31" s="130"/>
      <c r="BP31" s="128"/>
      <c r="BQ31" s="128"/>
      <c r="BR31" s="128"/>
      <c r="BS31" s="128"/>
      <c r="BT31" s="128"/>
      <c r="BU31" s="129"/>
      <c r="BV31" s="129"/>
      <c r="BW31" s="649"/>
      <c r="BX31" s="128"/>
      <c r="BY31" s="128"/>
      <c r="BZ31" s="128"/>
      <c r="CA31" s="128"/>
      <c r="CB31" s="129"/>
      <c r="CC31" s="672"/>
      <c r="CD31" s="126"/>
      <c r="CE31" s="128"/>
      <c r="CF31" s="128"/>
      <c r="CG31" s="128"/>
      <c r="CH31" s="128"/>
      <c r="CI31" s="129"/>
      <c r="CJ31" s="129"/>
      <c r="CK31" s="649"/>
      <c r="CL31" s="128"/>
      <c r="CM31" s="128"/>
      <c r="CN31" s="128"/>
      <c r="CO31" s="128"/>
      <c r="CP31" s="129"/>
      <c r="CQ31" s="129"/>
      <c r="CR31" s="649"/>
      <c r="CS31" s="128"/>
      <c r="CT31" s="128"/>
      <c r="CU31" s="128"/>
      <c r="CV31" s="128"/>
      <c r="CW31" s="129"/>
      <c r="CX31" s="129"/>
      <c r="CY31" s="128"/>
      <c r="CZ31" s="128"/>
      <c r="DA31" s="128"/>
      <c r="DB31" s="128"/>
      <c r="DC31" s="128"/>
      <c r="DD31" s="129"/>
      <c r="DE31" s="130"/>
      <c r="DF31" s="128"/>
      <c r="DG31" s="128"/>
      <c r="DH31" s="533"/>
    </row>
    <row r="32" spans="1:112" ht="16.5" customHeight="1">
      <c r="A32" s="111"/>
      <c r="B32" s="113"/>
      <c r="C32" s="112"/>
      <c r="D32" s="576">
        <v>13</v>
      </c>
      <c r="E32" s="156" t="s">
        <v>1550</v>
      </c>
      <c r="F32" s="156" t="s">
        <v>262</v>
      </c>
      <c r="G32" s="157" t="s">
        <v>1524</v>
      </c>
      <c r="H32" s="126" t="s">
        <v>49</v>
      </c>
      <c r="I32" s="533" t="s">
        <v>1525</v>
      </c>
      <c r="J32" s="778" t="s">
        <v>1551</v>
      </c>
      <c r="K32" s="158" t="s">
        <v>1501</v>
      </c>
      <c r="L32" s="126"/>
      <c r="M32" s="128"/>
      <c r="N32" s="128"/>
      <c r="O32" s="128"/>
      <c r="P32" s="128"/>
      <c r="Q32" s="127"/>
      <c r="R32" s="127"/>
      <c r="S32" s="128"/>
      <c r="T32" s="128"/>
      <c r="U32" s="128"/>
      <c r="V32" s="128"/>
      <c r="W32" s="128"/>
      <c r="X32" s="127"/>
      <c r="Y32" s="637"/>
      <c r="Z32" s="126"/>
      <c r="AA32" s="128"/>
      <c r="AB32" s="741"/>
      <c r="AC32" s="741"/>
      <c r="AD32" s="741"/>
      <c r="AE32" s="127"/>
      <c r="AF32" s="127"/>
      <c r="AG32" s="741"/>
      <c r="AH32" s="741"/>
      <c r="AI32" s="741"/>
      <c r="AJ32" s="741"/>
      <c r="AK32" s="741"/>
      <c r="AL32" s="127"/>
      <c r="AM32" s="637"/>
      <c r="AN32" s="655"/>
      <c r="AO32" s="741"/>
      <c r="AP32" s="741"/>
      <c r="AQ32" s="741"/>
      <c r="AR32" s="741"/>
      <c r="AS32" s="127"/>
      <c r="AT32" s="127"/>
      <c r="AU32" s="741"/>
      <c r="AV32" s="741"/>
      <c r="AW32" s="741"/>
      <c r="AX32" s="741"/>
      <c r="AY32" s="741"/>
      <c r="AZ32" s="127"/>
      <c r="BA32" s="637"/>
      <c r="BB32" s="694"/>
      <c r="BC32" s="676"/>
      <c r="BD32" s="676"/>
      <c r="BE32" s="128"/>
      <c r="BF32" s="128"/>
      <c r="BG32" s="127"/>
      <c r="BH32" s="127"/>
      <c r="BI32" s="746"/>
      <c r="BJ32" s="507"/>
      <c r="BK32" s="746"/>
      <c r="BL32" s="746"/>
      <c r="BM32" s="746"/>
      <c r="BN32" s="129"/>
      <c r="BO32" s="130"/>
      <c r="BP32" s="128"/>
      <c r="BQ32" s="128"/>
      <c r="BR32" s="128"/>
      <c r="BS32" s="128"/>
      <c r="BT32" s="128"/>
      <c r="BU32" s="129"/>
      <c r="BV32" s="129"/>
      <c r="BW32" s="649"/>
      <c r="BX32" s="128"/>
      <c r="BY32" s="128"/>
      <c r="BZ32" s="128"/>
      <c r="CA32" s="128"/>
      <c r="CB32" s="129"/>
      <c r="CC32" s="672"/>
      <c r="CD32" s="126"/>
      <c r="CE32" s="128"/>
      <c r="CF32" s="128"/>
      <c r="CG32" s="128"/>
      <c r="CH32" s="128"/>
      <c r="CI32" s="129"/>
      <c r="CJ32" s="129"/>
      <c r="CK32" s="649"/>
      <c r="CL32" s="128"/>
      <c r="CM32" s="128"/>
      <c r="CN32" s="128"/>
      <c r="CO32" s="128"/>
      <c r="CP32" s="129"/>
      <c r="CQ32" s="129"/>
      <c r="CR32" s="649"/>
      <c r="CS32" s="128"/>
      <c r="CT32" s="128"/>
      <c r="CU32" s="128"/>
      <c r="CV32" s="128"/>
      <c r="CW32" s="129"/>
      <c r="CX32" s="129"/>
      <c r="CY32" s="649"/>
      <c r="CZ32" s="128"/>
      <c r="DA32" s="128"/>
      <c r="DB32" s="128"/>
      <c r="DC32" s="128"/>
      <c r="DD32" s="129"/>
      <c r="DE32" s="130"/>
      <c r="DF32" s="128"/>
      <c r="DG32" s="128"/>
      <c r="DH32" s="533"/>
    </row>
    <row r="33" spans="1:112" ht="16.5" customHeight="1">
      <c r="A33" s="111"/>
      <c r="B33" s="113"/>
      <c r="C33" s="112"/>
      <c r="D33" s="576">
        <v>14</v>
      </c>
      <c r="E33" s="156" t="s">
        <v>1552</v>
      </c>
      <c r="F33" s="156" t="s">
        <v>234</v>
      </c>
      <c r="G33" s="157" t="s">
        <v>1524</v>
      </c>
      <c r="H33" s="126" t="s">
        <v>49</v>
      </c>
      <c r="I33" s="533" t="s">
        <v>1525</v>
      </c>
      <c r="J33" s="778" t="s">
        <v>1553</v>
      </c>
      <c r="K33" s="158" t="s">
        <v>1501</v>
      </c>
      <c r="L33" s="126"/>
      <c r="M33" s="128"/>
      <c r="N33" s="128"/>
      <c r="O33" s="128"/>
      <c r="P33" s="128"/>
      <c r="Q33" s="127"/>
      <c r="R33" s="127"/>
      <c r="S33" s="128"/>
      <c r="T33" s="128"/>
      <c r="U33" s="128"/>
      <c r="V33" s="128"/>
      <c r="W33" s="128"/>
      <c r="X33" s="127"/>
      <c r="Y33" s="637"/>
      <c r="Z33" s="126"/>
      <c r="AA33" s="128"/>
      <c r="AB33" s="741"/>
      <c r="AC33" s="741"/>
      <c r="AD33" s="741"/>
      <c r="AE33" s="127"/>
      <c r="AF33" s="127"/>
      <c r="AG33" s="741"/>
      <c r="AH33" s="741"/>
      <c r="AI33" s="741"/>
      <c r="AJ33" s="741"/>
      <c r="AK33" s="741"/>
      <c r="AL33" s="127"/>
      <c r="AM33" s="637"/>
      <c r="AN33" s="655"/>
      <c r="AO33" s="741"/>
      <c r="AP33" s="741"/>
      <c r="AQ33" s="128"/>
      <c r="AR33" s="128"/>
      <c r="AS33" s="127"/>
      <c r="AT33" s="127"/>
      <c r="AU33" s="128"/>
      <c r="AV33" s="128"/>
      <c r="AW33" s="128"/>
      <c r="AX33" s="128"/>
      <c r="AY33" s="128"/>
      <c r="AZ33" s="127"/>
      <c r="BA33" s="637"/>
      <c r="BB33" s="694"/>
      <c r="BC33" s="676"/>
      <c r="BD33" s="676"/>
      <c r="BE33" s="128"/>
      <c r="BF33" s="128"/>
      <c r="BG33" s="127"/>
      <c r="BH33" s="127"/>
      <c r="BI33" s="746"/>
      <c r="BJ33" s="507"/>
      <c r="BK33" s="746"/>
      <c r="BL33" s="746"/>
      <c r="BM33" s="746"/>
      <c r="BN33" s="129"/>
      <c r="BO33" s="130"/>
      <c r="BP33" s="128"/>
      <c r="BQ33" s="128"/>
      <c r="BR33" s="128"/>
      <c r="BS33" s="128"/>
      <c r="BT33" s="128"/>
      <c r="BU33" s="129"/>
      <c r="BV33" s="129"/>
      <c r="BW33" s="649"/>
      <c r="BX33" s="128"/>
      <c r="BY33" s="128"/>
      <c r="BZ33" s="128"/>
      <c r="CA33" s="128"/>
      <c r="CB33" s="129"/>
      <c r="CC33" s="672"/>
      <c r="CD33" s="126"/>
      <c r="CE33" s="128"/>
      <c r="CF33" s="128"/>
      <c r="CG33" s="128"/>
      <c r="CH33" s="128"/>
      <c r="CI33" s="129"/>
      <c r="CJ33" s="129"/>
      <c r="CK33" s="649"/>
      <c r="CL33" s="128"/>
      <c r="CM33" s="128"/>
      <c r="CN33" s="128"/>
      <c r="CO33" s="128"/>
      <c r="CP33" s="129"/>
      <c r="CQ33" s="129"/>
      <c r="CR33" s="649"/>
      <c r="CS33" s="128"/>
      <c r="CT33" s="128"/>
      <c r="CU33" s="128"/>
      <c r="CV33" s="128"/>
      <c r="CW33" s="129"/>
      <c r="CX33" s="129"/>
      <c r="CY33" s="649"/>
      <c r="CZ33" s="128"/>
      <c r="DA33" s="128"/>
      <c r="DB33" s="128"/>
      <c r="DC33" s="128"/>
      <c r="DD33" s="129"/>
      <c r="DE33" s="130"/>
      <c r="DF33" s="128"/>
      <c r="DG33" s="128"/>
      <c r="DH33" s="533"/>
    </row>
    <row r="34" spans="1:112" ht="16.5" customHeight="1">
      <c r="A34" s="111"/>
      <c r="B34" s="113"/>
      <c r="C34" s="112"/>
      <c r="D34" s="790">
        <v>15</v>
      </c>
      <c r="E34" s="914" t="s">
        <v>284</v>
      </c>
      <c r="F34" s="914"/>
      <c r="G34" s="915"/>
      <c r="H34" s="916" t="s">
        <v>49</v>
      </c>
      <c r="I34" s="794" t="s">
        <v>1525</v>
      </c>
      <c r="J34" s="795" t="s">
        <v>1554</v>
      </c>
      <c r="K34" s="158" t="s">
        <v>1518</v>
      </c>
      <c r="L34" s="126"/>
      <c r="M34" s="128"/>
      <c r="N34" s="128"/>
      <c r="O34" s="128"/>
      <c r="P34" s="128"/>
      <c r="Q34" s="127"/>
      <c r="R34" s="127"/>
      <c r="S34" s="128"/>
      <c r="T34" s="128"/>
      <c r="U34" s="128"/>
      <c r="V34" s="128"/>
      <c r="W34" s="128"/>
      <c r="X34" s="127"/>
      <c r="Y34" s="637"/>
      <c r="Z34" s="126"/>
      <c r="AA34" s="128"/>
      <c r="AB34" s="128"/>
      <c r="AC34" s="128"/>
      <c r="AD34" s="128"/>
      <c r="AE34" s="127"/>
      <c r="AF34" s="127"/>
      <c r="AG34" s="493"/>
      <c r="AH34" s="493"/>
      <c r="AI34" s="493"/>
      <c r="AJ34" s="493"/>
      <c r="AK34" s="493"/>
      <c r="AL34" s="127"/>
      <c r="AM34" s="637"/>
      <c r="AN34" s="655"/>
      <c r="AO34" s="493"/>
      <c r="AP34" s="493"/>
      <c r="AQ34" s="128"/>
      <c r="AR34" s="128"/>
      <c r="AS34" s="127"/>
      <c r="AT34" s="127"/>
      <c r="AU34" s="128"/>
      <c r="AV34" s="128"/>
      <c r="AW34" s="128"/>
      <c r="AX34" s="128"/>
      <c r="AY34" s="128"/>
      <c r="AZ34" s="127"/>
      <c r="BA34" s="637"/>
      <c r="BB34" s="694"/>
      <c r="BC34" s="676"/>
      <c r="BD34" s="676"/>
      <c r="BE34" s="128"/>
      <c r="BF34" s="128"/>
      <c r="BG34" s="127"/>
      <c r="BH34" s="127"/>
      <c r="BI34" s="746"/>
      <c r="BJ34" s="507"/>
      <c r="BK34" s="746"/>
      <c r="BL34" s="746"/>
      <c r="BM34" s="746"/>
      <c r="BN34" s="129"/>
      <c r="BO34" s="130"/>
      <c r="BP34" s="128"/>
      <c r="BQ34" s="128"/>
      <c r="BR34" s="128"/>
      <c r="BS34" s="128"/>
      <c r="BT34" s="128"/>
      <c r="BU34" s="129"/>
      <c r="BV34" s="129"/>
      <c r="BW34" s="649"/>
      <c r="BX34" s="128"/>
      <c r="BY34" s="128"/>
      <c r="BZ34" s="128"/>
      <c r="CA34" s="128"/>
      <c r="CB34" s="129"/>
      <c r="CC34" s="672"/>
      <c r="CD34" s="126"/>
      <c r="CE34" s="128"/>
      <c r="CF34" s="128"/>
      <c r="CG34" s="128"/>
      <c r="CH34" s="128"/>
      <c r="CI34" s="129"/>
      <c r="CJ34" s="129"/>
      <c r="CK34" s="649"/>
      <c r="CL34" s="128"/>
      <c r="CM34" s="128"/>
      <c r="CN34" s="128"/>
      <c r="CO34" s="128"/>
      <c r="CP34" s="129"/>
      <c r="CQ34" s="129"/>
      <c r="CR34" s="649"/>
      <c r="CS34" s="128"/>
      <c r="CT34" s="128"/>
      <c r="CU34" s="128"/>
      <c r="CV34" s="128"/>
      <c r="CW34" s="129"/>
      <c r="CX34" s="129"/>
      <c r="CY34" s="649"/>
      <c r="CZ34" s="128"/>
      <c r="DA34" s="128"/>
      <c r="DB34" s="128"/>
      <c r="DC34" s="128"/>
      <c r="DD34" s="129"/>
      <c r="DE34" s="130"/>
      <c r="DF34" s="128"/>
      <c r="DG34" s="128"/>
      <c r="DH34" s="533"/>
    </row>
    <row r="35" spans="1:112" ht="16.5" customHeight="1">
      <c r="A35" s="111"/>
      <c r="B35" s="113"/>
      <c r="C35" s="112"/>
      <c r="D35" s="576">
        <v>16</v>
      </c>
      <c r="E35" s="156" t="s">
        <v>1555</v>
      </c>
      <c r="F35" s="156" t="s">
        <v>1556</v>
      </c>
      <c r="G35" s="157" t="s">
        <v>1524</v>
      </c>
      <c r="H35" s="126" t="s">
        <v>53</v>
      </c>
      <c r="I35" s="533" t="s">
        <v>1525</v>
      </c>
      <c r="J35" s="778" t="s">
        <v>1557</v>
      </c>
      <c r="K35" s="158" t="s">
        <v>1515</v>
      </c>
      <c r="L35" s="126"/>
      <c r="M35" s="128"/>
      <c r="N35" s="128"/>
      <c r="O35" s="128"/>
      <c r="P35" s="128"/>
      <c r="Q35" s="127"/>
      <c r="R35" s="127"/>
      <c r="S35" s="128"/>
      <c r="T35" s="128"/>
      <c r="U35" s="128"/>
      <c r="V35" s="128"/>
      <c r="W35" s="128"/>
      <c r="X35" s="127"/>
      <c r="Y35" s="637"/>
      <c r="Z35" s="126"/>
      <c r="AA35" s="128"/>
      <c r="AB35" s="128"/>
      <c r="AC35" s="128"/>
      <c r="AD35" s="128"/>
      <c r="AE35" s="127"/>
      <c r="AF35" s="127"/>
      <c r="AG35" s="128"/>
      <c r="AH35" s="128"/>
      <c r="AI35" s="128"/>
      <c r="AJ35" s="128"/>
      <c r="AK35" s="128"/>
      <c r="AL35" s="127"/>
      <c r="AM35" s="637"/>
      <c r="AN35" s="655"/>
      <c r="AO35" s="128"/>
      <c r="AP35" s="128"/>
      <c r="AQ35" s="493"/>
      <c r="AR35" s="493"/>
      <c r="AS35" s="127"/>
      <c r="AT35" s="127"/>
      <c r="AU35" s="493"/>
      <c r="AV35" s="493"/>
      <c r="AW35" s="493"/>
      <c r="AX35" s="493"/>
      <c r="AY35" s="493"/>
      <c r="AZ35" s="127"/>
      <c r="BA35" s="637"/>
      <c r="BB35" s="695"/>
      <c r="BC35" s="683"/>
      <c r="BD35" s="683"/>
      <c r="BE35" s="683"/>
      <c r="BF35" s="683"/>
      <c r="BG35" s="127"/>
      <c r="BH35" s="127"/>
      <c r="BI35" s="746"/>
      <c r="BJ35" s="507"/>
      <c r="BK35" s="746"/>
      <c r="BL35" s="746"/>
      <c r="BM35" s="746"/>
      <c r="BN35" s="129"/>
      <c r="BO35" s="130"/>
      <c r="BP35" s="695"/>
      <c r="BQ35" s="683"/>
      <c r="BR35" s="683"/>
      <c r="BS35" s="683"/>
      <c r="BT35" s="683"/>
      <c r="BU35" s="129"/>
      <c r="BV35" s="129"/>
      <c r="BW35" s="649"/>
      <c r="BX35" s="128"/>
      <c r="BY35" s="128"/>
      <c r="BZ35" s="128"/>
      <c r="CA35" s="128"/>
      <c r="CB35" s="129"/>
      <c r="CC35" s="672"/>
      <c r="CD35" s="126"/>
      <c r="CE35" s="128"/>
      <c r="CF35" s="128"/>
      <c r="CG35" s="128"/>
      <c r="CH35" s="128"/>
      <c r="CI35" s="129"/>
      <c r="CJ35" s="129"/>
      <c r="CK35" s="649"/>
      <c r="CL35" s="128"/>
      <c r="CM35" s="128"/>
      <c r="CN35" s="128"/>
      <c r="CO35" s="128"/>
      <c r="CP35" s="129"/>
      <c r="CQ35" s="129"/>
      <c r="CR35" s="649"/>
      <c r="CS35" s="128"/>
      <c r="CT35" s="128"/>
      <c r="CU35" s="128"/>
      <c r="CV35" s="128"/>
      <c r="CW35" s="129"/>
      <c r="CX35" s="129"/>
      <c r="CY35" s="649"/>
      <c r="CZ35" s="128"/>
      <c r="DA35" s="128"/>
      <c r="DB35" s="128"/>
      <c r="DC35" s="128"/>
      <c r="DD35" s="129"/>
      <c r="DE35" s="130"/>
      <c r="DF35" s="128"/>
      <c r="DG35" s="128"/>
      <c r="DH35" s="533"/>
    </row>
    <row r="36" spans="1:112" ht="16.5" customHeight="1">
      <c r="A36" s="111"/>
      <c r="B36" s="113"/>
      <c r="C36" s="112"/>
      <c r="D36" s="576">
        <v>17</v>
      </c>
      <c r="E36" s="156" t="s">
        <v>1558</v>
      </c>
      <c r="F36" s="156" t="s">
        <v>1556</v>
      </c>
      <c r="G36" s="157" t="s">
        <v>1524</v>
      </c>
      <c r="H36" s="126" t="s">
        <v>53</v>
      </c>
      <c r="I36" s="533" t="s">
        <v>1525</v>
      </c>
      <c r="J36" s="778" t="s">
        <v>1559</v>
      </c>
      <c r="K36" s="158" t="s">
        <v>1515</v>
      </c>
      <c r="L36" s="126"/>
      <c r="M36" s="128"/>
      <c r="N36" s="128"/>
      <c r="O36" s="128"/>
      <c r="P36" s="128"/>
      <c r="Q36" s="127"/>
      <c r="R36" s="127"/>
      <c r="S36" s="128"/>
      <c r="T36" s="128"/>
      <c r="U36" s="128"/>
      <c r="V36" s="128"/>
      <c r="W36" s="128"/>
      <c r="X36" s="127"/>
      <c r="Y36" s="637"/>
      <c r="Z36" s="126"/>
      <c r="AA36" s="128"/>
      <c r="AB36" s="128"/>
      <c r="AC36" s="128"/>
      <c r="AD36" s="128"/>
      <c r="AE36" s="127"/>
      <c r="AF36" s="127"/>
      <c r="AG36" s="128"/>
      <c r="AH36" s="128"/>
      <c r="AI36" s="128"/>
      <c r="AJ36" s="128"/>
      <c r="AK36" s="128"/>
      <c r="AL36" s="127"/>
      <c r="AM36" s="637"/>
      <c r="AN36" s="655"/>
      <c r="AO36" s="128"/>
      <c r="AP36" s="128"/>
      <c r="AQ36" s="493"/>
      <c r="AR36" s="493"/>
      <c r="AS36" s="127"/>
      <c r="AT36" s="127"/>
      <c r="AU36" s="493"/>
      <c r="AV36" s="493"/>
      <c r="AW36" s="493"/>
      <c r="AX36" s="493"/>
      <c r="AY36" s="493"/>
      <c r="AZ36" s="127"/>
      <c r="BA36" s="637"/>
      <c r="BB36" s="695"/>
      <c r="BC36" s="683"/>
      <c r="BD36" s="683"/>
      <c r="BE36" s="683"/>
      <c r="BF36" s="683"/>
      <c r="BG36" s="127"/>
      <c r="BH36" s="127"/>
      <c r="BI36" s="746"/>
      <c r="BJ36" s="507"/>
      <c r="BK36" s="746"/>
      <c r="BL36" s="746"/>
      <c r="BM36" s="746"/>
      <c r="BN36" s="129"/>
      <c r="BO36" s="130"/>
      <c r="BP36" s="695"/>
      <c r="BQ36" s="683"/>
      <c r="BR36" s="683"/>
      <c r="BS36" s="683"/>
      <c r="BT36" s="683"/>
      <c r="BU36" s="129"/>
      <c r="BV36" s="129"/>
      <c r="BW36" s="649"/>
      <c r="BX36" s="128"/>
      <c r="BY36" s="128"/>
      <c r="BZ36" s="128"/>
      <c r="CA36" s="128"/>
      <c r="CB36" s="129"/>
      <c r="CC36" s="672"/>
      <c r="CD36" s="126"/>
      <c r="CE36" s="128"/>
      <c r="CF36" s="128"/>
      <c r="CG36" s="128"/>
      <c r="CH36" s="128"/>
      <c r="CI36" s="129"/>
      <c r="CJ36" s="129"/>
      <c r="CK36" s="649"/>
      <c r="CL36" s="128"/>
      <c r="CM36" s="128"/>
      <c r="CN36" s="128"/>
      <c r="CO36" s="128"/>
      <c r="CP36" s="129"/>
      <c r="CQ36" s="129"/>
      <c r="CR36" s="649"/>
      <c r="CS36" s="128"/>
      <c r="CT36" s="128"/>
      <c r="CU36" s="128"/>
      <c r="CV36" s="128"/>
      <c r="CW36" s="129"/>
      <c r="CX36" s="129"/>
      <c r="CY36" s="649"/>
      <c r="CZ36" s="128"/>
      <c r="DA36" s="128"/>
      <c r="DB36" s="128"/>
      <c r="DC36" s="128"/>
      <c r="DD36" s="129"/>
      <c r="DE36" s="130"/>
      <c r="DF36" s="128"/>
      <c r="DG36" s="128"/>
      <c r="DH36" s="533"/>
    </row>
    <row r="37" spans="1:112" ht="16.5" customHeight="1">
      <c r="A37" s="111"/>
      <c r="B37" s="113"/>
      <c r="C37" s="112"/>
      <c r="D37" s="576">
        <v>18</v>
      </c>
      <c r="E37" s="156" t="s">
        <v>1560</v>
      </c>
      <c r="F37" s="156" t="s">
        <v>1556</v>
      </c>
      <c r="G37" s="157" t="s">
        <v>1524</v>
      </c>
      <c r="H37" s="126" t="s">
        <v>53</v>
      </c>
      <c r="I37" s="533" t="s">
        <v>1525</v>
      </c>
      <c r="J37" s="778" t="s">
        <v>1561</v>
      </c>
      <c r="K37" s="158" t="s">
        <v>1515</v>
      </c>
      <c r="L37" s="126"/>
      <c r="M37" s="128"/>
      <c r="N37" s="128"/>
      <c r="O37" s="128"/>
      <c r="P37" s="128"/>
      <c r="Q37" s="127"/>
      <c r="R37" s="127"/>
      <c r="S37" s="128"/>
      <c r="T37" s="128"/>
      <c r="U37" s="128"/>
      <c r="V37" s="128"/>
      <c r="W37" s="128"/>
      <c r="X37" s="127"/>
      <c r="Y37" s="637"/>
      <c r="Z37" s="126"/>
      <c r="AA37" s="128"/>
      <c r="AB37" s="128"/>
      <c r="AC37" s="128"/>
      <c r="AD37" s="128"/>
      <c r="AE37" s="127"/>
      <c r="AF37" s="127"/>
      <c r="AG37" s="128"/>
      <c r="AH37" s="128"/>
      <c r="AI37" s="128"/>
      <c r="AJ37" s="128"/>
      <c r="AK37" s="128"/>
      <c r="AL37" s="127"/>
      <c r="AM37" s="637"/>
      <c r="AN37" s="655"/>
      <c r="AO37" s="128"/>
      <c r="AP37" s="128"/>
      <c r="AQ37" s="493"/>
      <c r="AR37" s="493"/>
      <c r="AS37" s="127"/>
      <c r="AT37" s="127"/>
      <c r="AU37" s="493"/>
      <c r="AV37" s="493"/>
      <c r="AW37" s="493"/>
      <c r="AX37" s="493"/>
      <c r="AY37" s="493"/>
      <c r="AZ37" s="127"/>
      <c r="BA37" s="637"/>
      <c r="BB37" s="695"/>
      <c r="BC37" s="683"/>
      <c r="BD37" s="683"/>
      <c r="BE37" s="683"/>
      <c r="BF37" s="683"/>
      <c r="BG37" s="127"/>
      <c r="BH37" s="127"/>
      <c r="BI37" s="746"/>
      <c r="BJ37" s="507"/>
      <c r="BK37" s="746"/>
      <c r="BL37" s="746"/>
      <c r="BM37" s="746"/>
      <c r="BN37" s="129"/>
      <c r="BO37" s="130"/>
      <c r="BP37" s="695"/>
      <c r="BQ37" s="683"/>
      <c r="BR37" s="683"/>
      <c r="BS37" s="683"/>
      <c r="BT37" s="683"/>
      <c r="BU37" s="129"/>
      <c r="BV37" s="129"/>
      <c r="BW37" s="649"/>
      <c r="BX37" s="128"/>
      <c r="BY37" s="128"/>
      <c r="BZ37" s="128"/>
      <c r="CA37" s="128"/>
      <c r="CB37" s="129"/>
      <c r="CC37" s="672"/>
      <c r="CD37" s="126"/>
      <c r="CE37" s="128"/>
      <c r="CF37" s="128"/>
      <c r="CG37" s="128"/>
      <c r="CH37" s="128"/>
      <c r="CI37" s="129"/>
      <c r="CJ37" s="129"/>
      <c r="CK37" s="649"/>
      <c r="CL37" s="128"/>
      <c r="CM37" s="128"/>
      <c r="CN37" s="128"/>
      <c r="CO37" s="128"/>
      <c r="CP37" s="129"/>
      <c r="CQ37" s="129"/>
      <c r="CR37" s="649"/>
      <c r="CS37" s="128"/>
      <c r="CT37" s="128"/>
      <c r="CU37" s="128"/>
      <c r="CV37" s="128"/>
      <c r="CW37" s="129"/>
      <c r="CX37" s="129"/>
      <c r="CY37" s="649"/>
      <c r="CZ37" s="128"/>
      <c r="DA37" s="128"/>
      <c r="DB37" s="128"/>
      <c r="DC37" s="128"/>
      <c r="DD37" s="129"/>
      <c r="DE37" s="130"/>
      <c r="DF37" s="128"/>
      <c r="DG37" s="128"/>
      <c r="DH37" s="533"/>
    </row>
    <row r="38" spans="1:112" ht="16.5" customHeight="1">
      <c r="A38" s="111"/>
      <c r="B38" s="113"/>
      <c r="C38" s="112"/>
      <c r="D38" s="576">
        <v>19</v>
      </c>
      <c r="E38" s="156" t="s">
        <v>1562</v>
      </c>
      <c r="F38" s="156" t="s">
        <v>123</v>
      </c>
      <c r="G38" s="157" t="s">
        <v>1524</v>
      </c>
      <c r="H38" s="126" t="s">
        <v>53</v>
      </c>
      <c r="I38" s="533" t="s">
        <v>1525</v>
      </c>
      <c r="J38" s="778" t="s">
        <v>1563</v>
      </c>
      <c r="K38" s="158" t="s">
        <v>1501</v>
      </c>
      <c r="L38" s="126"/>
      <c r="M38" s="128"/>
      <c r="N38" s="128"/>
      <c r="O38" s="128"/>
      <c r="P38" s="128"/>
      <c r="Q38" s="127"/>
      <c r="R38" s="127"/>
      <c r="S38" s="128"/>
      <c r="T38" s="128"/>
      <c r="U38" s="128"/>
      <c r="V38" s="128"/>
      <c r="W38" s="128"/>
      <c r="X38" s="127"/>
      <c r="Y38" s="637"/>
      <c r="Z38" s="126"/>
      <c r="AA38" s="128"/>
      <c r="AB38" s="128"/>
      <c r="AC38" s="128"/>
      <c r="AD38" s="128"/>
      <c r="AE38" s="127"/>
      <c r="AF38" s="127"/>
      <c r="AG38" s="128"/>
      <c r="AH38" s="128"/>
      <c r="AI38" s="128"/>
      <c r="AJ38" s="128"/>
      <c r="AK38" s="128"/>
      <c r="AL38" s="127"/>
      <c r="AM38" s="637"/>
      <c r="AN38" s="655"/>
      <c r="AO38" s="128"/>
      <c r="AP38" s="128"/>
      <c r="AQ38" s="741"/>
      <c r="AR38" s="741"/>
      <c r="AS38" s="127"/>
      <c r="AT38" s="127"/>
      <c r="AU38" s="741"/>
      <c r="AV38" s="741"/>
      <c r="AW38" s="741"/>
      <c r="AX38" s="741"/>
      <c r="AY38" s="741"/>
      <c r="AZ38" s="127"/>
      <c r="BA38" s="637"/>
      <c r="BB38" s="128"/>
      <c r="BC38" s="128"/>
      <c r="BD38" s="128"/>
      <c r="BE38" s="128"/>
      <c r="BF38" s="128"/>
      <c r="BG38" s="127"/>
      <c r="BH38" s="127"/>
      <c r="BI38" s="746"/>
      <c r="BJ38" s="507"/>
      <c r="BK38" s="746"/>
      <c r="BL38" s="746"/>
      <c r="BM38" s="746"/>
      <c r="BN38" s="129"/>
      <c r="BO38" s="130"/>
      <c r="BP38" s="128"/>
      <c r="BQ38" s="128"/>
      <c r="BR38" s="128"/>
      <c r="BS38" s="128"/>
      <c r="BT38" s="128"/>
      <c r="BU38" s="129"/>
      <c r="BV38" s="129"/>
      <c r="BW38" s="649"/>
      <c r="BX38" s="128"/>
      <c r="BY38" s="128"/>
      <c r="BZ38" s="128"/>
      <c r="CA38" s="128"/>
      <c r="CB38" s="129"/>
      <c r="CC38" s="672"/>
      <c r="CD38" s="126"/>
      <c r="CE38" s="128"/>
      <c r="CF38" s="128"/>
      <c r="CG38" s="128"/>
      <c r="CH38" s="128"/>
      <c r="CI38" s="129"/>
      <c r="CJ38" s="129"/>
      <c r="CK38" s="649"/>
      <c r="CL38" s="128"/>
      <c r="CM38" s="128"/>
      <c r="CN38" s="128"/>
      <c r="CO38" s="128"/>
      <c r="CP38" s="129"/>
      <c r="CQ38" s="129"/>
      <c r="CR38" s="649"/>
      <c r="CS38" s="128"/>
      <c r="CT38" s="128"/>
      <c r="CU38" s="128"/>
      <c r="CV38" s="128"/>
      <c r="CW38" s="129"/>
      <c r="CX38" s="129"/>
      <c r="CY38" s="649"/>
      <c r="CZ38" s="128"/>
      <c r="DA38" s="128"/>
      <c r="DB38" s="128"/>
      <c r="DC38" s="128"/>
      <c r="DD38" s="129"/>
      <c r="DE38" s="130"/>
      <c r="DF38" s="128"/>
      <c r="DG38" s="128"/>
      <c r="DH38" s="533"/>
    </row>
    <row r="39" spans="1:112" ht="16.5" customHeight="1">
      <c r="A39" s="111"/>
      <c r="B39" s="113"/>
      <c r="C39" s="112"/>
      <c r="D39" s="576">
        <v>20</v>
      </c>
      <c r="E39" s="156" t="s">
        <v>1564</v>
      </c>
      <c r="F39" s="156" t="s">
        <v>123</v>
      </c>
      <c r="G39" s="157" t="s">
        <v>1524</v>
      </c>
      <c r="H39" s="126" t="s">
        <v>53</v>
      </c>
      <c r="I39" s="533" t="s">
        <v>1525</v>
      </c>
      <c r="J39" s="778" t="s">
        <v>1565</v>
      </c>
      <c r="K39" s="158" t="s">
        <v>1501</v>
      </c>
      <c r="L39" s="126"/>
      <c r="M39" s="128"/>
      <c r="N39" s="128"/>
      <c r="O39" s="128"/>
      <c r="P39" s="128"/>
      <c r="Q39" s="127"/>
      <c r="R39" s="127"/>
      <c r="S39" s="128"/>
      <c r="T39" s="128"/>
      <c r="U39" s="128"/>
      <c r="V39" s="128"/>
      <c r="W39" s="128"/>
      <c r="X39" s="127"/>
      <c r="Y39" s="637"/>
      <c r="Z39" s="126"/>
      <c r="AA39" s="128"/>
      <c r="AB39" s="128"/>
      <c r="AC39" s="128"/>
      <c r="AD39" s="128"/>
      <c r="AE39" s="127"/>
      <c r="AF39" s="127"/>
      <c r="AG39" s="128"/>
      <c r="AH39" s="128"/>
      <c r="AI39" s="128"/>
      <c r="AJ39" s="128"/>
      <c r="AK39" s="128"/>
      <c r="AL39" s="127"/>
      <c r="AM39" s="637"/>
      <c r="AN39" s="655"/>
      <c r="AO39" s="128"/>
      <c r="AP39" s="128"/>
      <c r="AQ39" s="741"/>
      <c r="AR39" s="741"/>
      <c r="AS39" s="127"/>
      <c r="AT39" s="127"/>
      <c r="AU39" s="741"/>
      <c r="AV39" s="741"/>
      <c r="AW39" s="741"/>
      <c r="AX39" s="741"/>
      <c r="AY39" s="741"/>
      <c r="AZ39" s="127"/>
      <c r="BA39" s="637"/>
      <c r="BB39" s="128"/>
      <c r="BC39" s="128"/>
      <c r="BD39" s="128"/>
      <c r="BE39" s="128"/>
      <c r="BF39" s="128"/>
      <c r="BG39" s="127"/>
      <c r="BH39" s="127"/>
      <c r="BI39" s="746"/>
      <c r="BJ39" s="507"/>
      <c r="BK39" s="746"/>
      <c r="BL39" s="746"/>
      <c r="BM39" s="746"/>
      <c r="BN39" s="129"/>
      <c r="BO39" s="130"/>
      <c r="BP39" s="128"/>
      <c r="BQ39" s="128"/>
      <c r="BR39" s="128"/>
      <c r="BS39" s="128"/>
      <c r="BT39" s="128"/>
      <c r="BU39" s="129"/>
      <c r="BV39" s="129"/>
      <c r="BW39" s="649"/>
      <c r="BX39" s="128"/>
      <c r="BY39" s="128"/>
      <c r="BZ39" s="128"/>
      <c r="CA39" s="128"/>
      <c r="CB39" s="129"/>
      <c r="CC39" s="672"/>
      <c r="CD39" s="126"/>
      <c r="CE39" s="128"/>
      <c r="CF39" s="128"/>
      <c r="CG39" s="128"/>
      <c r="CH39" s="128"/>
      <c r="CI39" s="129"/>
      <c r="CJ39" s="129"/>
      <c r="CK39" s="649"/>
      <c r="CL39" s="128"/>
      <c r="CM39" s="128"/>
      <c r="CN39" s="128"/>
      <c r="CO39" s="128"/>
      <c r="CP39" s="129"/>
      <c r="CQ39" s="129"/>
      <c r="CR39" s="649"/>
      <c r="CS39" s="128"/>
      <c r="CT39" s="128"/>
      <c r="CU39" s="128"/>
      <c r="CV39" s="128"/>
      <c r="CW39" s="129"/>
      <c r="CX39" s="129"/>
      <c r="CY39" s="649"/>
      <c r="CZ39" s="128"/>
      <c r="DA39" s="128"/>
      <c r="DB39" s="128"/>
      <c r="DC39" s="128"/>
      <c r="DD39" s="129"/>
      <c r="DE39" s="130"/>
      <c r="DF39" s="128"/>
      <c r="DG39" s="128"/>
      <c r="DH39" s="533"/>
    </row>
    <row r="40" spans="1:112" ht="16.5" customHeight="1">
      <c r="A40" s="111"/>
      <c r="B40" s="113"/>
      <c r="C40" s="112"/>
      <c r="D40" s="576">
        <v>21</v>
      </c>
      <c r="E40" s="156" t="s">
        <v>364</v>
      </c>
      <c r="F40" s="156" t="s">
        <v>123</v>
      </c>
      <c r="G40" s="157" t="s">
        <v>1524</v>
      </c>
      <c r="H40" s="126" t="s">
        <v>53</v>
      </c>
      <c r="I40" s="533" t="s">
        <v>1525</v>
      </c>
      <c r="J40" s="778" t="s">
        <v>1566</v>
      </c>
      <c r="K40" s="158" t="s">
        <v>1501</v>
      </c>
      <c r="L40" s="126"/>
      <c r="M40" s="128"/>
      <c r="N40" s="128"/>
      <c r="O40" s="128"/>
      <c r="P40" s="128"/>
      <c r="Q40" s="127"/>
      <c r="R40" s="127"/>
      <c r="S40" s="128"/>
      <c r="T40" s="128"/>
      <c r="U40" s="128"/>
      <c r="V40" s="128"/>
      <c r="W40" s="128"/>
      <c r="X40" s="127"/>
      <c r="Y40" s="637"/>
      <c r="Z40" s="126"/>
      <c r="AA40" s="128"/>
      <c r="AB40" s="128"/>
      <c r="AC40" s="128"/>
      <c r="AD40" s="128"/>
      <c r="AE40" s="127"/>
      <c r="AF40" s="127"/>
      <c r="AG40" s="128"/>
      <c r="AH40" s="128"/>
      <c r="AI40" s="128"/>
      <c r="AJ40" s="128"/>
      <c r="AK40" s="128"/>
      <c r="AL40" s="127"/>
      <c r="AM40" s="637"/>
      <c r="AN40" s="655"/>
      <c r="AO40" s="128"/>
      <c r="AP40" s="128"/>
      <c r="AQ40" s="741"/>
      <c r="AR40" s="741"/>
      <c r="AS40" s="127"/>
      <c r="AT40" s="127"/>
      <c r="AU40" s="741"/>
      <c r="AV40" s="741"/>
      <c r="AW40" s="741"/>
      <c r="AX40" s="741"/>
      <c r="AY40" s="741"/>
      <c r="AZ40" s="127"/>
      <c r="BA40" s="637"/>
      <c r="BB40" s="128"/>
      <c r="BC40" s="128"/>
      <c r="BD40" s="128"/>
      <c r="BE40" s="128"/>
      <c r="BF40" s="128"/>
      <c r="BG40" s="127"/>
      <c r="BH40" s="127"/>
      <c r="BI40" s="746"/>
      <c r="BJ40" s="507"/>
      <c r="BK40" s="746"/>
      <c r="BL40" s="746"/>
      <c r="BM40" s="746"/>
      <c r="BN40" s="129"/>
      <c r="BO40" s="130"/>
      <c r="BP40" s="128"/>
      <c r="BQ40" s="128"/>
      <c r="BR40" s="128"/>
      <c r="BS40" s="128"/>
      <c r="BT40" s="128"/>
      <c r="BU40" s="129"/>
      <c r="BV40" s="129"/>
      <c r="BW40" s="649"/>
      <c r="BX40" s="128"/>
      <c r="BY40" s="128"/>
      <c r="BZ40" s="128"/>
      <c r="CA40" s="128"/>
      <c r="CB40" s="129"/>
      <c r="CC40" s="672"/>
      <c r="CD40" s="126"/>
      <c r="CE40" s="128"/>
      <c r="CF40" s="128"/>
      <c r="CG40" s="128"/>
      <c r="CH40" s="128"/>
      <c r="CI40" s="129"/>
      <c r="CJ40" s="129"/>
      <c r="CK40" s="649"/>
      <c r="CL40" s="128"/>
      <c r="CM40" s="128"/>
      <c r="CN40" s="128"/>
      <c r="CO40" s="128"/>
      <c r="CP40" s="129"/>
      <c r="CQ40" s="129"/>
      <c r="CR40" s="649"/>
      <c r="CS40" s="128"/>
      <c r="CT40" s="128"/>
      <c r="CU40" s="128"/>
      <c r="CV40" s="128"/>
      <c r="CW40" s="129"/>
      <c r="CX40" s="129"/>
      <c r="CY40" s="649"/>
      <c r="CZ40" s="128"/>
      <c r="DA40" s="128"/>
      <c r="DB40" s="128"/>
      <c r="DC40" s="128"/>
      <c r="DD40" s="129"/>
      <c r="DE40" s="130"/>
      <c r="DF40" s="128"/>
      <c r="DG40" s="128"/>
      <c r="DH40" s="533"/>
    </row>
    <row r="41" spans="1:112" ht="16.5" customHeight="1">
      <c r="A41" s="111"/>
      <c r="B41" s="113"/>
      <c r="C41" s="112"/>
      <c r="D41" s="790">
        <v>22</v>
      </c>
      <c r="E41" s="914" t="s">
        <v>385</v>
      </c>
      <c r="F41" s="914" t="s">
        <v>234</v>
      </c>
      <c r="G41" s="915" t="s">
        <v>1524</v>
      </c>
      <c r="H41" s="916"/>
      <c r="I41" s="794"/>
      <c r="J41" s="795" t="s">
        <v>1567</v>
      </c>
      <c r="K41" s="158" t="s">
        <v>1518</v>
      </c>
      <c r="L41" s="126"/>
      <c r="M41" s="128"/>
      <c r="N41" s="128"/>
      <c r="O41" s="128"/>
      <c r="P41" s="128"/>
      <c r="Q41" s="127"/>
      <c r="R41" s="127"/>
      <c r="S41" s="128"/>
      <c r="T41" s="128"/>
      <c r="U41" s="128"/>
      <c r="V41" s="128"/>
      <c r="W41" s="128"/>
      <c r="X41" s="127"/>
      <c r="Y41" s="637"/>
      <c r="Z41" s="126"/>
      <c r="AA41" s="128"/>
      <c r="AB41" s="128"/>
      <c r="AC41" s="128"/>
      <c r="AD41" s="128"/>
      <c r="AE41" s="127"/>
      <c r="AF41" s="127"/>
      <c r="AG41" s="128"/>
      <c r="AH41" s="128"/>
      <c r="AI41" s="128"/>
      <c r="AJ41" s="128"/>
      <c r="AK41" s="128"/>
      <c r="AL41" s="127"/>
      <c r="AM41" s="637"/>
      <c r="AN41" s="655"/>
      <c r="AO41" s="128"/>
      <c r="AP41" s="128"/>
      <c r="AQ41" s="128"/>
      <c r="AR41" s="128"/>
      <c r="AS41" s="127"/>
      <c r="AT41" s="127"/>
      <c r="AU41" s="128"/>
      <c r="AV41" s="128"/>
      <c r="AW41" s="128"/>
      <c r="AX41" s="128"/>
      <c r="AY41" s="128"/>
      <c r="AZ41" s="127"/>
      <c r="BA41" s="637"/>
      <c r="BB41" s="694"/>
      <c r="BC41" s="676"/>
      <c r="BD41" s="676"/>
      <c r="BE41" s="128"/>
      <c r="BF41" s="128"/>
      <c r="BG41" s="127"/>
      <c r="BH41" s="127"/>
      <c r="BI41" s="746"/>
      <c r="BJ41" s="507"/>
      <c r="BK41" s="746"/>
      <c r="BL41" s="746"/>
      <c r="BM41" s="746"/>
      <c r="BN41" s="129"/>
      <c r="BO41" s="130"/>
      <c r="BP41" s="128"/>
      <c r="BQ41" s="128"/>
      <c r="BR41" s="128"/>
      <c r="BS41" s="128"/>
      <c r="BT41" s="128"/>
      <c r="BU41" s="129"/>
      <c r="BV41" s="129"/>
      <c r="BW41" s="649"/>
      <c r="BX41" s="128"/>
      <c r="BY41" s="128"/>
      <c r="BZ41" s="128"/>
      <c r="CA41" s="128"/>
      <c r="CB41" s="129"/>
      <c r="CC41" s="672"/>
      <c r="CD41" s="126"/>
      <c r="CE41" s="128"/>
      <c r="CF41" s="128"/>
      <c r="CG41" s="128"/>
      <c r="CH41" s="128"/>
      <c r="CI41" s="129"/>
      <c r="CJ41" s="129"/>
      <c r="CK41" s="649"/>
      <c r="CL41" s="128"/>
      <c r="CM41" s="128"/>
      <c r="CN41" s="128"/>
      <c r="CO41" s="128"/>
      <c r="CP41" s="129"/>
      <c r="CQ41" s="129"/>
      <c r="CR41" s="649"/>
      <c r="CS41" s="128"/>
      <c r="CT41" s="128"/>
      <c r="CU41" s="128"/>
      <c r="CV41" s="128"/>
      <c r="CW41" s="129"/>
      <c r="CX41" s="129"/>
      <c r="CY41" s="649"/>
      <c r="CZ41" s="128"/>
      <c r="DA41" s="128"/>
      <c r="DB41" s="128"/>
      <c r="DC41" s="128"/>
      <c r="DD41" s="129"/>
      <c r="DE41" s="130"/>
      <c r="DF41" s="128"/>
      <c r="DG41" s="128"/>
      <c r="DH41" s="533"/>
    </row>
    <row r="42" spans="1:112" ht="16.5" customHeight="1">
      <c r="A42" s="111"/>
      <c r="B42" s="113"/>
      <c r="C42" s="112"/>
      <c r="D42" s="790">
        <v>23</v>
      </c>
      <c r="E42" s="914" t="s">
        <v>392</v>
      </c>
      <c r="F42" s="914" t="s">
        <v>234</v>
      </c>
      <c r="G42" s="915" t="s">
        <v>1524</v>
      </c>
      <c r="H42" s="916"/>
      <c r="I42" s="794"/>
      <c r="J42" s="795" t="s">
        <v>1568</v>
      </c>
      <c r="K42" s="158" t="s">
        <v>1518</v>
      </c>
      <c r="L42" s="126"/>
      <c r="M42" s="128"/>
      <c r="N42" s="128"/>
      <c r="O42" s="128"/>
      <c r="P42" s="128"/>
      <c r="Q42" s="127"/>
      <c r="R42" s="127"/>
      <c r="S42" s="128"/>
      <c r="T42" s="128"/>
      <c r="U42" s="128"/>
      <c r="V42" s="128"/>
      <c r="W42" s="128"/>
      <c r="X42" s="127"/>
      <c r="Y42" s="637"/>
      <c r="Z42" s="126"/>
      <c r="AA42" s="128"/>
      <c r="AB42" s="128"/>
      <c r="AC42" s="128"/>
      <c r="AD42" s="128"/>
      <c r="AE42" s="127"/>
      <c r="AF42" s="127"/>
      <c r="AG42" s="128"/>
      <c r="AH42" s="128"/>
      <c r="AI42" s="128"/>
      <c r="AJ42" s="128"/>
      <c r="AK42" s="128"/>
      <c r="AL42" s="127"/>
      <c r="AM42" s="637"/>
      <c r="AN42" s="655"/>
      <c r="AO42" s="128"/>
      <c r="AP42" s="128"/>
      <c r="AQ42" s="128"/>
      <c r="AR42" s="128"/>
      <c r="AS42" s="127"/>
      <c r="AT42" s="127"/>
      <c r="AU42" s="128"/>
      <c r="AV42" s="128"/>
      <c r="AW42" s="128"/>
      <c r="AX42" s="128"/>
      <c r="AY42" s="128"/>
      <c r="AZ42" s="127"/>
      <c r="BA42" s="637"/>
      <c r="BB42" s="694"/>
      <c r="BC42" s="676"/>
      <c r="BD42" s="676"/>
      <c r="BE42" s="128"/>
      <c r="BF42" s="128"/>
      <c r="BG42" s="127"/>
      <c r="BH42" s="127"/>
      <c r="BI42" s="746"/>
      <c r="BJ42" s="507"/>
      <c r="BK42" s="746"/>
      <c r="BL42" s="746"/>
      <c r="BM42" s="746"/>
      <c r="BN42" s="129"/>
      <c r="BO42" s="130"/>
      <c r="BP42" s="128"/>
      <c r="BQ42" s="128"/>
      <c r="BR42" s="128"/>
      <c r="BS42" s="128"/>
      <c r="BT42" s="128"/>
      <c r="BU42" s="129"/>
      <c r="BV42" s="129"/>
      <c r="BW42" s="649"/>
      <c r="BX42" s="128"/>
      <c r="BY42" s="128"/>
      <c r="BZ42" s="128"/>
      <c r="CA42" s="128"/>
      <c r="CB42" s="129"/>
      <c r="CC42" s="672"/>
      <c r="CD42" s="126"/>
      <c r="CE42" s="128"/>
      <c r="CF42" s="128"/>
      <c r="CG42" s="128"/>
      <c r="CH42" s="128"/>
      <c r="CI42" s="129"/>
      <c r="CJ42" s="129"/>
      <c r="CK42" s="649"/>
      <c r="CL42" s="128"/>
      <c r="CM42" s="128"/>
      <c r="CN42" s="128"/>
      <c r="CO42" s="128"/>
      <c r="CP42" s="129"/>
      <c r="CQ42" s="129"/>
      <c r="CR42" s="649"/>
      <c r="CS42" s="128"/>
      <c r="CT42" s="128"/>
      <c r="CU42" s="128"/>
      <c r="CV42" s="128"/>
      <c r="CW42" s="129"/>
      <c r="CX42" s="129"/>
      <c r="CY42" s="649"/>
      <c r="CZ42" s="128"/>
      <c r="DA42" s="128"/>
      <c r="DB42" s="128"/>
      <c r="DC42" s="128"/>
      <c r="DD42" s="129"/>
      <c r="DE42" s="130"/>
      <c r="DF42" s="128"/>
      <c r="DG42" s="128"/>
      <c r="DH42" s="533"/>
    </row>
    <row r="43" spans="1:112" ht="16.5" customHeight="1">
      <c r="A43" s="111"/>
      <c r="B43" s="113"/>
      <c r="C43" s="112"/>
      <c r="D43" s="576">
        <v>24</v>
      </c>
      <c r="E43" s="159" t="s">
        <v>371</v>
      </c>
      <c r="F43" s="156" t="s">
        <v>123</v>
      </c>
      <c r="G43" s="160"/>
      <c r="H43" s="133" t="s">
        <v>53</v>
      </c>
      <c r="I43" s="533" t="s">
        <v>1569</v>
      </c>
      <c r="J43" s="778" t="s">
        <v>1570</v>
      </c>
      <c r="K43" s="158" t="s">
        <v>1515</v>
      </c>
      <c r="L43" s="133"/>
      <c r="M43" s="134"/>
      <c r="N43" s="134"/>
      <c r="O43" s="134"/>
      <c r="P43" s="134"/>
      <c r="Q43" s="135"/>
      <c r="R43" s="135"/>
      <c r="S43" s="134"/>
      <c r="T43" s="134"/>
      <c r="U43" s="134"/>
      <c r="V43" s="134"/>
      <c r="W43" s="134"/>
      <c r="X43" s="135"/>
      <c r="Y43" s="665"/>
      <c r="Z43" s="133"/>
      <c r="AA43" s="134"/>
      <c r="AB43" s="134"/>
      <c r="AC43" s="134"/>
      <c r="AD43" s="134"/>
      <c r="AE43" s="135"/>
      <c r="AF43" s="135"/>
      <c r="AG43" s="134"/>
      <c r="AH43" s="134"/>
      <c r="AI43" s="134"/>
      <c r="AJ43" s="134"/>
      <c r="AK43" s="134"/>
      <c r="AL43" s="135"/>
      <c r="AM43" s="665"/>
      <c r="AN43" s="656"/>
      <c r="AO43" s="134"/>
      <c r="AP43" s="134"/>
      <c r="AQ43" s="134"/>
      <c r="AR43" s="134"/>
      <c r="AS43" s="135"/>
      <c r="AT43" s="665"/>
      <c r="AU43" s="134"/>
      <c r="AV43" s="134"/>
      <c r="AW43" s="134"/>
      <c r="AX43" s="134"/>
      <c r="AY43" s="134"/>
      <c r="AZ43" s="135"/>
      <c r="BA43" s="665"/>
      <c r="BB43" s="783"/>
      <c r="BC43" s="784"/>
      <c r="BD43" s="784"/>
      <c r="BE43" s="491"/>
      <c r="BF43" s="491"/>
      <c r="BG43" s="135"/>
      <c r="BH43" s="665"/>
      <c r="BI43" s="747"/>
      <c r="BJ43" s="508"/>
      <c r="BK43" s="747"/>
      <c r="BL43" s="747"/>
      <c r="BM43" s="747"/>
      <c r="BN43" s="136"/>
      <c r="BO43" s="137"/>
      <c r="BP43" s="491"/>
      <c r="BQ43" s="491"/>
      <c r="BR43" s="491"/>
      <c r="BS43" s="491"/>
      <c r="BT43" s="491"/>
      <c r="BU43" s="136"/>
      <c r="BV43" s="136"/>
      <c r="BW43" s="647"/>
      <c r="BX43" s="134"/>
      <c r="BY43" s="134"/>
      <c r="BZ43" s="134"/>
      <c r="CA43" s="134"/>
      <c r="CB43" s="136"/>
      <c r="CC43" s="634"/>
      <c r="CD43" s="133"/>
      <c r="CE43" s="134"/>
      <c r="CF43" s="134"/>
      <c r="CG43" s="134"/>
      <c r="CH43" s="134"/>
      <c r="CI43" s="136"/>
      <c r="CJ43" s="136"/>
      <c r="CK43" s="647"/>
      <c r="CL43" s="134"/>
      <c r="CM43" s="134"/>
      <c r="CN43" s="134"/>
      <c r="CO43" s="134"/>
      <c r="CP43" s="136"/>
      <c r="CQ43" s="136"/>
      <c r="CR43" s="647"/>
      <c r="CS43" s="134"/>
      <c r="CT43" s="134"/>
      <c r="CU43" s="134"/>
      <c r="CV43" s="134"/>
      <c r="CW43" s="136"/>
      <c r="CX43" s="136"/>
      <c r="CY43" s="647"/>
      <c r="CZ43" s="134"/>
      <c r="DA43" s="134"/>
      <c r="DB43" s="134"/>
      <c r="DC43" s="134"/>
      <c r="DD43" s="136"/>
      <c r="DE43" s="137"/>
      <c r="DF43" s="134"/>
      <c r="DG43" s="134"/>
      <c r="DH43" s="534"/>
    </row>
    <row r="44" spans="1:112" ht="16.5" customHeight="1">
      <c r="A44" s="111"/>
      <c r="B44" s="113"/>
      <c r="C44" s="112"/>
      <c r="D44" s="576">
        <v>25</v>
      </c>
      <c r="E44" s="159" t="s">
        <v>1571</v>
      </c>
      <c r="F44" s="159"/>
      <c r="G44" s="160"/>
      <c r="H44" s="126" t="s">
        <v>49</v>
      </c>
      <c r="I44" s="533" t="s">
        <v>1525</v>
      </c>
      <c r="J44" s="778" t="s">
        <v>1572</v>
      </c>
      <c r="K44" s="158" t="s">
        <v>1515</v>
      </c>
      <c r="L44" s="133"/>
      <c r="M44" s="134"/>
      <c r="N44" s="134"/>
      <c r="O44" s="134"/>
      <c r="P44" s="134"/>
      <c r="Q44" s="135"/>
      <c r="R44" s="135"/>
      <c r="S44" s="134"/>
      <c r="T44" s="134"/>
      <c r="U44" s="134"/>
      <c r="V44" s="134"/>
      <c r="W44" s="134"/>
      <c r="X44" s="135"/>
      <c r="Y44" s="665"/>
      <c r="Z44" s="133"/>
      <c r="AA44" s="134"/>
      <c r="AB44" s="134"/>
      <c r="AC44" s="134"/>
      <c r="AD44" s="134"/>
      <c r="AE44" s="135"/>
      <c r="AF44" s="135"/>
      <c r="AG44" s="134"/>
      <c r="AH44" s="134"/>
      <c r="AI44" s="134"/>
      <c r="AJ44" s="134"/>
      <c r="AK44" s="134"/>
      <c r="AL44" s="135"/>
      <c r="AM44" s="665"/>
      <c r="AN44" s="656"/>
      <c r="AO44" s="134"/>
      <c r="AP44" s="134"/>
      <c r="AQ44" s="134"/>
      <c r="AR44" s="134"/>
      <c r="AS44" s="135"/>
      <c r="AT44" s="665"/>
      <c r="AU44" s="134"/>
      <c r="AV44" s="134"/>
      <c r="AW44" s="134"/>
      <c r="AX44" s="134"/>
      <c r="AY44" s="134"/>
      <c r="AZ44" s="135"/>
      <c r="BA44" s="665"/>
      <c r="BB44" s="783"/>
      <c r="BC44" s="784"/>
      <c r="BD44" s="784"/>
      <c r="BE44" s="491"/>
      <c r="BF44" s="491"/>
      <c r="BG44" s="135"/>
      <c r="BH44" s="665"/>
      <c r="BI44" s="747"/>
      <c r="BJ44" s="508"/>
      <c r="BK44" s="747"/>
      <c r="BL44" s="747"/>
      <c r="BM44" s="747"/>
      <c r="BN44" s="136"/>
      <c r="BO44" s="137"/>
      <c r="BP44" s="491"/>
      <c r="BQ44" s="491"/>
      <c r="BR44" s="491"/>
      <c r="BS44" s="491"/>
      <c r="BT44" s="491"/>
      <c r="BU44" s="136"/>
      <c r="BV44" s="136"/>
      <c r="BW44" s="647"/>
      <c r="BX44" s="134"/>
      <c r="BY44" s="134"/>
      <c r="BZ44" s="134"/>
      <c r="CA44" s="134"/>
      <c r="CB44" s="136"/>
      <c r="CC44" s="634"/>
      <c r="CD44" s="133"/>
      <c r="CE44" s="134"/>
      <c r="CF44" s="134"/>
      <c r="CG44" s="134"/>
      <c r="CH44" s="134"/>
      <c r="CI44" s="136"/>
      <c r="CJ44" s="136"/>
      <c r="CK44" s="647"/>
      <c r="CL44" s="134"/>
      <c r="CM44" s="134"/>
      <c r="CN44" s="134"/>
      <c r="CO44" s="134"/>
      <c r="CP44" s="136"/>
      <c r="CQ44" s="136"/>
      <c r="CR44" s="647"/>
      <c r="CS44" s="134"/>
      <c r="CT44" s="134"/>
      <c r="CU44" s="134"/>
      <c r="CV44" s="134"/>
      <c r="CW44" s="136"/>
      <c r="CX44" s="136"/>
      <c r="CY44" s="647"/>
      <c r="CZ44" s="134"/>
      <c r="DA44" s="134"/>
      <c r="DB44" s="134"/>
      <c r="DC44" s="134"/>
      <c r="DD44" s="136"/>
      <c r="DE44" s="137"/>
      <c r="DF44" s="134"/>
      <c r="DG44" s="134"/>
      <c r="DH44" s="534"/>
    </row>
    <row r="45" spans="1:112" ht="16.5" customHeight="1">
      <c r="A45" s="111"/>
      <c r="B45" s="113"/>
      <c r="C45" s="112"/>
      <c r="D45" s="576">
        <v>26</v>
      </c>
      <c r="E45" s="159" t="s">
        <v>1573</v>
      </c>
      <c r="F45" s="159"/>
      <c r="G45" s="160"/>
      <c r="H45" s="133" t="s">
        <v>53</v>
      </c>
      <c r="I45" s="533" t="s">
        <v>1525</v>
      </c>
      <c r="J45" s="778" t="s">
        <v>1574</v>
      </c>
      <c r="K45" s="158" t="s">
        <v>1515</v>
      </c>
      <c r="L45" s="133"/>
      <c r="M45" s="134"/>
      <c r="N45" s="134"/>
      <c r="O45" s="134"/>
      <c r="P45" s="134"/>
      <c r="Q45" s="135"/>
      <c r="R45" s="135"/>
      <c r="S45" s="134"/>
      <c r="T45" s="134"/>
      <c r="U45" s="134"/>
      <c r="V45" s="134"/>
      <c r="W45" s="134"/>
      <c r="X45" s="135"/>
      <c r="Y45" s="665"/>
      <c r="Z45" s="133"/>
      <c r="AA45" s="134"/>
      <c r="AB45" s="134"/>
      <c r="AC45" s="134"/>
      <c r="AD45" s="134"/>
      <c r="AE45" s="135"/>
      <c r="AF45" s="135"/>
      <c r="AG45" s="134"/>
      <c r="AH45" s="134"/>
      <c r="AI45" s="134"/>
      <c r="AJ45" s="134"/>
      <c r="AK45" s="134"/>
      <c r="AL45" s="135"/>
      <c r="AM45" s="665"/>
      <c r="AN45" s="656"/>
      <c r="AO45" s="134"/>
      <c r="AP45" s="134"/>
      <c r="AQ45" s="134"/>
      <c r="AR45" s="134"/>
      <c r="AS45" s="135"/>
      <c r="AT45" s="665"/>
      <c r="AU45" s="134"/>
      <c r="AV45" s="134"/>
      <c r="AW45" s="134"/>
      <c r="AX45" s="134"/>
      <c r="AY45" s="134"/>
      <c r="AZ45" s="135"/>
      <c r="BA45" s="665"/>
      <c r="BB45" s="783"/>
      <c r="BC45" s="784"/>
      <c r="BD45" s="784"/>
      <c r="BE45" s="491"/>
      <c r="BF45" s="491"/>
      <c r="BG45" s="135"/>
      <c r="BH45" s="665"/>
      <c r="BI45" s="747"/>
      <c r="BJ45" s="508"/>
      <c r="BK45" s="747"/>
      <c r="BL45" s="747"/>
      <c r="BM45" s="747"/>
      <c r="BN45" s="136"/>
      <c r="BO45" s="137"/>
      <c r="BP45" s="491"/>
      <c r="BQ45" s="491"/>
      <c r="BR45" s="491"/>
      <c r="BS45" s="491"/>
      <c r="BT45" s="491"/>
      <c r="BU45" s="136"/>
      <c r="BV45" s="136"/>
      <c r="BW45" s="647"/>
      <c r="BX45" s="134"/>
      <c r="BY45" s="134"/>
      <c r="BZ45" s="134"/>
      <c r="CA45" s="134"/>
      <c r="CB45" s="136"/>
      <c r="CC45" s="634"/>
      <c r="CD45" s="133"/>
      <c r="CE45" s="134"/>
      <c r="CF45" s="134"/>
      <c r="CG45" s="134"/>
      <c r="CH45" s="134"/>
      <c r="CI45" s="136"/>
      <c r="CJ45" s="136"/>
      <c r="CK45" s="647"/>
      <c r="CL45" s="134"/>
      <c r="CM45" s="134"/>
      <c r="CN45" s="134"/>
      <c r="CO45" s="134"/>
      <c r="CP45" s="136"/>
      <c r="CQ45" s="136"/>
      <c r="CR45" s="647"/>
      <c r="CS45" s="134"/>
      <c r="CT45" s="134"/>
      <c r="CU45" s="134"/>
      <c r="CV45" s="134"/>
      <c r="CW45" s="136"/>
      <c r="CX45" s="136"/>
      <c r="CY45" s="647"/>
      <c r="CZ45" s="134"/>
      <c r="DA45" s="134"/>
      <c r="DB45" s="134"/>
      <c r="DC45" s="134"/>
      <c r="DD45" s="136"/>
      <c r="DE45" s="137"/>
      <c r="DF45" s="134"/>
      <c r="DG45" s="134"/>
      <c r="DH45" s="534"/>
    </row>
    <row r="46" spans="1:112" ht="16.5" customHeight="1">
      <c r="A46" s="111"/>
      <c r="B46" s="113"/>
      <c r="C46" s="112"/>
      <c r="D46" s="790">
        <v>27</v>
      </c>
      <c r="E46" s="791" t="s">
        <v>1575</v>
      </c>
      <c r="F46" s="791"/>
      <c r="G46" s="792"/>
      <c r="H46" s="793" t="s">
        <v>53</v>
      </c>
      <c r="I46" s="794" t="s">
        <v>1525</v>
      </c>
      <c r="J46" s="795" t="s">
        <v>1576</v>
      </c>
      <c r="K46" s="158" t="s">
        <v>1501</v>
      </c>
      <c r="L46" s="133"/>
      <c r="M46" s="134"/>
      <c r="N46" s="134"/>
      <c r="O46" s="134"/>
      <c r="P46" s="134"/>
      <c r="Q46" s="135"/>
      <c r="R46" s="135"/>
      <c r="S46" s="134"/>
      <c r="T46" s="134"/>
      <c r="U46" s="134"/>
      <c r="V46" s="134"/>
      <c r="W46" s="134"/>
      <c r="X46" s="135"/>
      <c r="Y46" s="665"/>
      <c r="Z46" s="133"/>
      <c r="AA46" s="134"/>
      <c r="AB46" s="134"/>
      <c r="AC46" s="134"/>
      <c r="AD46" s="134"/>
      <c r="AE46" s="135"/>
      <c r="AF46" s="135"/>
      <c r="AG46" s="134"/>
      <c r="AH46" s="134"/>
      <c r="AI46" s="134"/>
      <c r="AJ46" s="134"/>
      <c r="AK46" s="134"/>
      <c r="AL46" s="135"/>
      <c r="AM46" s="665"/>
      <c r="AN46" s="656"/>
      <c r="AO46" s="134"/>
      <c r="AP46" s="134"/>
      <c r="AQ46" s="134"/>
      <c r="AR46" s="134"/>
      <c r="AS46" s="135"/>
      <c r="AT46" s="665"/>
      <c r="AU46" s="134"/>
      <c r="AV46" s="134"/>
      <c r="AW46" s="134"/>
      <c r="AX46" s="134"/>
      <c r="AY46" s="134"/>
      <c r="AZ46" s="135"/>
      <c r="BA46" s="665"/>
      <c r="BB46" s="783"/>
      <c r="BC46" s="784"/>
      <c r="BD46" s="784"/>
      <c r="BE46" s="491"/>
      <c r="BF46" s="491"/>
      <c r="BG46" s="135"/>
      <c r="BH46" s="665"/>
      <c r="BI46" s="747"/>
      <c r="BJ46" s="508"/>
      <c r="BK46" s="747"/>
      <c r="BL46" s="747"/>
      <c r="BM46" s="747"/>
      <c r="BN46" s="136"/>
      <c r="BO46" s="137"/>
      <c r="BP46" s="491"/>
      <c r="BQ46" s="491"/>
      <c r="BR46" s="491"/>
      <c r="BS46" s="491"/>
      <c r="BT46" s="491"/>
      <c r="BU46" s="136"/>
      <c r="BV46" s="136"/>
      <c r="BW46" s="647"/>
      <c r="BX46" s="134"/>
      <c r="BY46" s="134"/>
      <c r="BZ46" s="134"/>
      <c r="CA46" s="134"/>
      <c r="CB46" s="136"/>
      <c r="CC46" s="634"/>
      <c r="CD46" s="133"/>
      <c r="CE46" s="134"/>
      <c r="CF46" s="134"/>
      <c r="CG46" s="134"/>
      <c r="CH46" s="134"/>
      <c r="CI46" s="136"/>
      <c r="CJ46" s="136"/>
      <c r="CK46" s="647"/>
      <c r="CL46" s="134"/>
      <c r="CM46" s="134"/>
      <c r="CN46" s="134"/>
      <c r="CO46" s="134"/>
      <c r="CP46" s="136"/>
      <c r="CQ46" s="136"/>
      <c r="CR46" s="647"/>
      <c r="CS46" s="134"/>
      <c r="CT46" s="134"/>
      <c r="CU46" s="134"/>
      <c r="CV46" s="134"/>
      <c r="CW46" s="136"/>
      <c r="CX46" s="136"/>
      <c r="CY46" s="647"/>
      <c r="CZ46" s="134"/>
      <c r="DA46" s="134"/>
      <c r="DB46" s="134"/>
      <c r="DC46" s="134"/>
      <c r="DD46" s="136"/>
      <c r="DE46" s="137"/>
      <c r="DF46" s="134"/>
      <c r="DG46" s="134"/>
      <c r="DH46" s="534"/>
    </row>
    <row r="47" spans="1:112" ht="16.5" customHeight="1">
      <c r="A47" s="111"/>
      <c r="B47" s="113"/>
      <c r="C47" s="112"/>
      <c r="D47" s="576">
        <v>28</v>
      </c>
      <c r="E47" s="159"/>
      <c r="F47" s="159"/>
      <c r="G47" s="160"/>
      <c r="H47" s="133"/>
      <c r="I47" s="534"/>
      <c r="J47" s="779"/>
      <c r="K47" s="158" t="s">
        <v>1518</v>
      </c>
      <c r="L47" s="133"/>
      <c r="M47" s="134"/>
      <c r="N47" s="134"/>
      <c r="O47" s="134"/>
      <c r="P47" s="134"/>
      <c r="Q47" s="135"/>
      <c r="R47" s="135"/>
      <c r="S47" s="134"/>
      <c r="T47" s="134"/>
      <c r="U47" s="134"/>
      <c r="V47" s="134"/>
      <c r="W47" s="134"/>
      <c r="X47" s="136"/>
      <c r="Y47" s="634"/>
      <c r="Z47" s="133"/>
      <c r="AA47" s="134"/>
      <c r="AB47" s="134"/>
      <c r="AC47" s="134"/>
      <c r="AD47" s="134"/>
      <c r="AE47" s="135"/>
      <c r="AF47" s="135"/>
      <c r="AG47" s="134"/>
      <c r="AH47" s="134"/>
      <c r="AI47" s="134"/>
      <c r="AJ47" s="134"/>
      <c r="AK47" s="134"/>
      <c r="AL47" s="508"/>
      <c r="AM47" s="666"/>
      <c r="AN47" s="660"/>
      <c r="AO47" s="134"/>
      <c r="AP47" s="134"/>
      <c r="AQ47" s="134"/>
      <c r="AR47" s="134"/>
      <c r="AS47" s="136"/>
      <c r="AT47" s="137"/>
      <c r="AU47" s="134"/>
      <c r="AV47" s="134"/>
      <c r="AW47" s="134"/>
      <c r="AX47" s="134"/>
      <c r="AY47" s="134"/>
      <c r="AZ47" s="136"/>
      <c r="BA47" s="634"/>
      <c r="BB47" s="688"/>
      <c r="BC47" s="678"/>
      <c r="BD47" s="678"/>
      <c r="BE47" s="134"/>
      <c r="BF47" s="134"/>
      <c r="BG47" s="136"/>
      <c r="BH47" s="137"/>
      <c r="BI47" s="747"/>
      <c r="BJ47" s="508"/>
      <c r="BK47" s="747"/>
      <c r="BL47" s="747"/>
      <c r="BM47" s="747"/>
      <c r="BN47" s="136"/>
      <c r="BO47" s="137"/>
      <c r="BP47" s="134"/>
      <c r="BQ47" s="134"/>
      <c r="BR47" s="134"/>
      <c r="BS47" s="134"/>
      <c r="BT47" s="134"/>
      <c r="BU47" s="136"/>
      <c r="BV47" s="136"/>
      <c r="BW47" s="647"/>
      <c r="BX47" s="134"/>
      <c r="BY47" s="134"/>
      <c r="BZ47" s="134"/>
      <c r="CA47" s="134"/>
      <c r="CB47" s="136"/>
      <c r="CC47" s="634"/>
      <c r="CD47" s="133"/>
      <c r="CE47" s="134"/>
      <c r="CF47" s="134"/>
      <c r="CG47" s="134"/>
      <c r="CH47" s="134"/>
      <c r="CI47" s="136"/>
      <c r="CJ47" s="136"/>
      <c r="CK47" s="647"/>
      <c r="CL47" s="134"/>
      <c r="CM47" s="134"/>
      <c r="CN47" s="134"/>
      <c r="CO47" s="134"/>
      <c r="CP47" s="136"/>
      <c r="CQ47" s="136"/>
      <c r="CR47" s="647"/>
      <c r="CS47" s="134"/>
      <c r="CT47" s="134"/>
      <c r="CU47" s="134"/>
      <c r="CV47" s="134"/>
      <c r="CW47" s="136"/>
      <c r="CX47" s="136"/>
      <c r="CY47" s="647"/>
      <c r="CZ47" s="134"/>
      <c r="DA47" s="134"/>
      <c r="DB47" s="134"/>
      <c r="DC47" s="134"/>
      <c r="DD47" s="136"/>
      <c r="DE47" s="137"/>
      <c r="DF47" s="134"/>
      <c r="DG47" s="134"/>
      <c r="DH47" s="534"/>
    </row>
    <row r="48" spans="1:112" ht="16.5" customHeight="1">
      <c r="A48" s="111"/>
      <c r="B48" s="108">
        <v>4</v>
      </c>
      <c r="C48" s="106" t="s">
        <v>1577</v>
      </c>
      <c r="D48" s="575">
        <v>1</v>
      </c>
      <c r="E48" s="162" t="s">
        <v>49</v>
      </c>
      <c r="F48" s="162"/>
      <c r="G48" s="163"/>
      <c r="H48" s="139" t="s">
        <v>49</v>
      </c>
      <c r="I48" s="764" t="s">
        <v>1499</v>
      </c>
      <c r="J48" s="780" t="s">
        <v>1578</v>
      </c>
      <c r="K48" s="164" t="s">
        <v>1501</v>
      </c>
      <c r="L48" s="495"/>
      <c r="M48" s="496"/>
      <c r="N48" s="496"/>
      <c r="O48" s="496"/>
      <c r="P48" s="496"/>
      <c r="Q48" s="141"/>
      <c r="R48" s="141"/>
      <c r="S48" s="496"/>
      <c r="T48" s="496"/>
      <c r="U48" s="496"/>
      <c r="V48" s="496"/>
      <c r="W48" s="496"/>
      <c r="X48" s="142"/>
      <c r="Y48" s="671"/>
      <c r="Z48" s="495"/>
      <c r="AA48" s="496"/>
      <c r="AB48" s="151"/>
      <c r="AC48" s="151"/>
      <c r="AD48" s="151"/>
      <c r="AE48" s="141"/>
      <c r="AF48" s="141"/>
      <c r="AG48" s="151"/>
      <c r="AH48" s="151"/>
      <c r="AI48" s="151"/>
      <c r="AJ48" s="151"/>
      <c r="AK48" s="151"/>
      <c r="AL48" s="509"/>
      <c r="AM48" s="667"/>
      <c r="AN48" s="661"/>
      <c r="AO48" s="151"/>
      <c r="AP48" s="151"/>
      <c r="AQ48" s="151"/>
      <c r="AR48" s="151"/>
      <c r="AS48" s="142"/>
      <c r="AT48" s="143"/>
      <c r="AU48" s="151"/>
      <c r="AV48" s="151"/>
      <c r="AW48" s="151"/>
      <c r="AX48" s="151"/>
      <c r="AY48" s="151"/>
      <c r="AZ48" s="142"/>
      <c r="BA48" s="671"/>
      <c r="BB48" s="696"/>
      <c r="BC48" s="684"/>
      <c r="BD48" s="684"/>
      <c r="BE48" s="151"/>
      <c r="BF48" s="151"/>
      <c r="BG48" s="142"/>
      <c r="BH48" s="143"/>
      <c r="BI48" s="747"/>
      <c r="BJ48" s="509"/>
      <c r="BK48" s="748"/>
      <c r="BL48" s="748"/>
      <c r="BM48" s="748"/>
      <c r="BN48" s="142"/>
      <c r="BO48" s="143"/>
      <c r="BP48" s="151"/>
      <c r="BQ48" s="151"/>
      <c r="BR48" s="151"/>
      <c r="BS48" s="151"/>
      <c r="BT48" s="151"/>
      <c r="BU48" s="142"/>
      <c r="BV48" s="142"/>
      <c r="BW48" s="650"/>
      <c r="BX48" s="151"/>
      <c r="BY48" s="151"/>
      <c r="BZ48" s="151"/>
      <c r="CA48" s="151"/>
      <c r="CB48" s="142"/>
      <c r="CC48" s="671"/>
      <c r="CD48" s="150"/>
      <c r="CE48" s="151"/>
      <c r="CF48" s="151"/>
      <c r="CG48" s="151"/>
      <c r="CH48" s="151"/>
      <c r="CI48" s="142"/>
      <c r="CJ48" s="142"/>
      <c r="CK48" s="650"/>
      <c r="CL48" s="151"/>
      <c r="CM48" s="151"/>
      <c r="CN48" s="151"/>
      <c r="CO48" s="151"/>
      <c r="CP48" s="142"/>
      <c r="CQ48" s="142"/>
      <c r="CR48" s="650"/>
      <c r="CS48" s="151"/>
      <c r="CT48" s="151"/>
      <c r="CU48" s="151"/>
      <c r="CV48" s="151"/>
      <c r="CW48" s="142"/>
      <c r="CX48" s="142"/>
      <c r="CY48" s="650"/>
      <c r="CZ48" s="151"/>
      <c r="DA48" s="151"/>
      <c r="DB48" s="151"/>
      <c r="DC48" s="151"/>
      <c r="DD48" s="142"/>
      <c r="DE48" s="143"/>
      <c r="DF48" s="151"/>
      <c r="DG48" s="151"/>
      <c r="DH48" s="537"/>
    </row>
    <row r="49" spans="1:112" ht="16.5" customHeight="1">
      <c r="A49" s="111"/>
      <c r="B49" s="113"/>
      <c r="C49" s="112"/>
      <c r="D49" s="576">
        <v>2</v>
      </c>
      <c r="E49" s="156" t="s">
        <v>53</v>
      </c>
      <c r="F49" s="156"/>
      <c r="G49" s="157"/>
      <c r="H49" s="126" t="s">
        <v>53</v>
      </c>
      <c r="I49" s="533" t="s">
        <v>1503</v>
      </c>
      <c r="J49" s="770" t="s">
        <v>1579</v>
      </c>
      <c r="K49" s="158" t="s">
        <v>1501</v>
      </c>
      <c r="L49" s="497"/>
      <c r="M49" s="498"/>
      <c r="N49" s="498"/>
      <c r="O49" s="498"/>
      <c r="P49" s="498"/>
      <c r="Q49" s="127"/>
      <c r="R49" s="127"/>
      <c r="S49" s="498"/>
      <c r="T49" s="498"/>
      <c r="U49" s="498"/>
      <c r="V49" s="498"/>
      <c r="W49" s="498"/>
      <c r="X49" s="129"/>
      <c r="Y49" s="672"/>
      <c r="Z49" s="497"/>
      <c r="AA49" s="498"/>
      <c r="AB49" s="132"/>
      <c r="AC49" s="132"/>
      <c r="AD49" s="132"/>
      <c r="AE49" s="127"/>
      <c r="AF49" s="127"/>
      <c r="AG49" s="132"/>
      <c r="AH49" s="132"/>
      <c r="AI49" s="132"/>
      <c r="AJ49" s="132"/>
      <c r="AK49" s="132"/>
      <c r="AL49" s="507"/>
      <c r="AM49" s="589"/>
      <c r="AN49" s="588"/>
      <c r="AO49" s="132"/>
      <c r="AP49" s="132"/>
      <c r="AQ49" s="132"/>
      <c r="AR49" s="132"/>
      <c r="AS49" s="129"/>
      <c r="AT49" s="130"/>
      <c r="AU49" s="132"/>
      <c r="AV49" s="132"/>
      <c r="AW49" s="132"/>
      <c r="AX49" s="132"/>
      <c r="AY49" s="132"/>
      <c r="AZ49" s="129"/>
      <c r="BA49" s="672"/>
      <c r="BB49" s="686"/>
      <c r="BC49" s="675"/>
      <c r="BD49" s="675"/>
      <c r="BE49" s="132"/>
      <c r="BF49" s="132"/>
      <c r="BG49" s="129"/>
      <c r="BH49" s="130"/>
      <c r="BI49" s="747"/>
      <c r="BJ49" s="507"/>
      <c r="BK49" s="746"/>
      <c r="BL49" s="746"/>
      <c r="BM49" s="746"/>
      <c r="BN49" s="129"/>
      <c r="BO49" s="130"/>
      <c r="BP49" s="132"/>
      <c r="BQ49" s="132"/>
      <c r="BR49" s="132"/>
      <c r="BS49" s="132"/>
      <c r="BT49" s="132"/>
      <c r="BU49" s="129"/>
      <c r="BV49" s="129"/>
      <c r="BW49" s="645"/>
      <c r="BX49" s="132"/>
      <c r="BY49" s="132"/>
      <c r="BZ49" s="132"/>
      <c r="CA49" s="132"/>
      <c r="CB49" s="129"/>
      <c r="CC49" s="672"/>
      <c r="CD49" s="131"/>
      <c r="CE49" s="132"/>
      <c r="CF49" s="132"/>
      <c r="CG49" s="132"/>
      <c r="CH49" s="132"/>
      <c r="CI49" s="129"/>
      <c r="CJ49" s="129"/>
      <c r="CK49" s="645"/>
      <c r="CL49" s="132"/>
      <c r="CM49" s="132"/>
      <c r="CN49" s="132"/>
      <c r="CO49" s="132"/>
      <c r="CP49" s="129"/>
      <c r="CQ49" s="129"/>
      <c r="CR49" s="645"/>
      <c r="CS49" s="132"/>
      <c r="CT49" s="132"/>
      <c r="CU49" s="132"/>
      <c r="CV49" s="132"/>
      <c r="CW49" s="129"/>
      <c r="CX49" s="129"/>
      <c r="CY49" s="645"/>
      <c r="CZ49" s="132"/>
      <c r="DA49" s="132"/>
      <c r="DB49" s="132"/>
      <c r="DC49" s="132"/>
      <c r="DD49" s="129"/>
      <c r="DE49" s="130"/>
      <c r="DF49" s="132"/>
      <c r="DG49" s="132"/>
      <c r="DH49" s="535"/>
    </row>
    <row r="50" spans="1:112" ht="16.5" customHeight="1">
      <c r="A50" s="111"/>
      <c r="B50" s="113"/>
      <c r="C50" s="112"/>
      <c r="D50" s="576">
        <v>3</v>
      </c>
      <c r="E50" s="156" t="s">
        <v>55</v>
      </c>
      <c r="F50" s="156"/>
      <c r="G50" s="157"/>
      <c r="H50" s="126" t="s">
        <v>55</v>
      </c>
      <c r="I50" s="533" t="s">
        <v>401</v>
      </c>
      <c r="J50" s="771" t="s">
        <v>50</v>
      </c>
      <c r="K50" s="158" t="s">
        <v>1501</v>
      </c>
      <c r="L50" s="489"/>
      <c r="M50" s="490"/>
      <c r="N50" s="490"/>
      <c r="O50" s="490"/>
      <c r="P50" s="493"/>
      <c r="Q50" s="127"/>
      <c r="R50" s="127"/>
      <c r="S50" s="128"/>
      <c r="T50" s="128"/>
      <c r="U50" s="128"/>
      <c r="V50" s="128"/>
      <c r="W50" s="128"/>
      <c r="X50" s="129"/>
      <c r="Y50" s="672"/>
      <c r="Z50" s="131"/>
      <c r="AA50" s="132"/>
      <c r="AB50" s="132"/>
      <c r="AC50" s="132"/>
      <c r="AD50" s="132"/>
      <c r="AE50" s="127"/>
      <c r="AF50" s="127"/>
      <c r="AG50" s="132"/>
      <c r="AH50" s="132"/>
      <c r="AI50" s="132"/>
      <c r="AJ50" s="132"/>
      <c r="AK50" s="132"/>
      <c r="AL50" s="507"/>
      <c r="AM50" s="589"/>
      <c r="AN50" s="588"/>
      <c r="AO50" s="132"/>
      <c r="AP50" s="132"/>
      <c r="AQ50" s="132"/>
      <c r="AR50" s="132"/>
      <c r="AS50" s="129"/>
      <c r="AT50" s="130"/>
      <c r="AU50" s="132"/>
      <c r="AV50" s="132"/>
      <c r="AW50" s="132"/>
      <c r="AX50" s="132"/>
      <c r="AY50" s="132"/>
      <c r="AZ50" s="129"/>
      <c r="BA50" s="672"/>
      <c r="BB50" s="686"/>
      <c r="BC50" s="675"/>
      <c r="BD50" s="675"/>
      <c r="BE50" s="132"/>
      <c r="BF50" s="132"/>
      <c r="BG50" s="129"/>
      <c r="BH50" s="130"/>
      <c r="BI50" s="747"/>
      <c r="BJ50" s="507"/>
      <c r="BK50" s="746"/>
      <c r="BL50" s="746"/>
      <c r="BM50" s="746"/>
      <c r="BN50" s="129"/>
      <c r="BO50" s="130"/>
      <c r="BP50" s="132"/>
      <c r="BQ50" s="132"/>
      <c r="BR50" s="132"/>
      <c r="BS50" s="132"/>
      <c r="BT50" s="132"/>
      <c r="BU50" s="129"/>
      <c r="BV50" s="129"/>
      <c r="BW50" s="645"/>
      <c r="BX50" s="132"/>
      <c r="BY50" s="132"/>
      <c r="BZ50" s="132"/>
      <c r="CA50" s="132"/>
      <c r="CB50" s="129"/>
      <c r="CC50" s="672"/>
      <c r="CD50" s="131"/>
      <c r="CE50" s="132"/>
      <c r="CF50" s="132"/>
      <c r="CG50" s="132"/>
      <c r="CH50" s="132"/>
      <c r="CI50" s="129"/>
      <c r="CJ50" s="129"/>
      <c r="CK50" s="645"/>
      <c r="CL50" s="132"/>
      <c r="CM50" s="132"/>
      <c r="CN50" s="132"/>
      <c r="CO50" s="132"/>
      <c r="CP50" s="129"/>
      <c r="CQ50" s="129"/>
      <c r="CR50" s="645"/>
      <c r="CS50" s="132"/>
      <c r="CT50" s="132"/>
      <c r="CU50" s="132"/>
      <c r="CV50" s="132"/>
      <c r="CW50" s="129"/>
      <c r="CX50" s="129"/>
      <c r="CY50" s="645"/>
      <c r="CZ50" s="132"/>
      <c r="DA50" s="132"/>
      <c r="DB50" s="132"/>
      <c r="DC50" s="132"/>
      <c r="DD50" s="129"/>
      <c r="DE50" s="130"/>
      <c r="DF50" s="132"/>
      <c r="DG50" s="132"/>
      <c r="DH50" s="535"/>
    </row>
    <row r="51" spans="1:112" ht="16.5" customHeight="1">
      <c r="A51" s="111"/>
      <c r="B51" s="113"/>
      <c r="C51" s="112"/>
      <c r="D51" s="576">
        <v>4</v>
      </c>
      <c r="E51" s="159" t="s">
        <v>1505</v>
      </c>
      <c r="F51" s="159"/>
      <c r="G51" s="160"/>
      <c r="H51" s="133" t="s">
        <v>49</v>
      </c>
      <c r="I51" s="534" t="s">
        <v>1580</v>
      </c>
      <c r="J51" s="770" t="s">
        <v>1581</v>
      </c>
      <c r="K51" s="158" t="s">
        <v>1515</v>
      </c>
      <c r="L51" s="133"/>
      <c r="M51" s="134"/>
      <c r="N51" s="134"/>
      <c r="O51" s="134"/>
      <c r="P51" s="134"/>
      <c r="Q51" s="127"/>
      <c r="R51" s="127"/>
      <c r="S51" s="128"/>
      <c r="T51" s="128"/>
      <c r="U51" s="128"/>
      <c r="V51" s="128"/>
      <c r="W51" s="128"/>
      <c r="X51" s="129"/>
      <c r="Y51" s="672"/>
      <c r="Z51" s="131"/>
      <c r="AA51" s="132"/>
      <c r="AB51" s="494"/>
      <c r="AC51" s="494"/>
      <c r="AD51" s="494"/>
      <c r="AE51" s="127"/>
      <c r="AF51" s="127"/>
      <c r="AG51" s="494"/>
      <c r="AH51" s="494"/>
      <c r="AI51" s="132"/>
      <c r="AJ51" s="132"/>
      <c r="AK51" s="132"/>
      <c r="AL51" s="507"/>
      <c r="AM51" s="589"/>
      <c r="AN51" s="588"/>
      <c r="AO51" s="132"/>
      <c r="AP51" s="132"/>
      <c r="AQ51" s="132"/>
      <c r="AR51" s="132"/>
      <c r="AS51" s="129"/>
      <c r="AT51" s="130"/>
      <c r="AU51" s="132"/>
      <c r="AV51" s="132"/>
      <c r="AW51" s="132"/>
      <c r="AX51" s="132"/>
      <c r="AY51" s="132"/>
      <c r="AZ51" s="129"/>
      <c r="BA51" s="672"/>
      <c r="BB51" s="686"/>
      <c r="BC51" s="675"/>
      <c r="BD51" s="675"/>
      <c r="BE51" s="132"/>
      <c r="BF51" s="132"/>
      <c r="BG51" s="129"/>
      <c r="BH51" s="130"/>
      <c r="BI51" s="747"/>
      <c r="BJ51" s="507"/>
      <c r="BK51" s="746"/>
      <c r="BL51" s="746"/>
      <c r="BM51" s="746"/>
      <c r="BN51" s="129"/>
      <c r="BO51" s="130"/>
      <c r="BP51" s="132"/>
      <c r="BQ51" s="132"/>
      <c r="BR51" s="132"/>
      <c r="BS51" s="132"/>
      <c r="BT51" s="132"/>
      <c r="BU51" s="129"/>
      <c r="BV51" s="129"/>
      <c r="BW51" s="645"/>
      <c r="BX51" s="132"/>
      <c r="BY51" s="132"/>
      <c r="BZ51" s="132"/>
      <c r="CA51" s="132"/>
      <c r="CB51" s="129"/>
      <c r="CC51" s="672"/>
      <c r="CD51" s="131"/>
      <c r="CE51" s="132"/>
      <c r="CF51" s="132"/>
      <c r="CG51" s="132"/>
      <c r="CH51" s="132"/>
      <c r="CI51" s="129"/>
      <c r="CJ51" s="129"/>
      <c r="CK51" s="645"/>
      <c r="CL51" s="132"/>
      <c r="CM51" s="132"/>
      <c r="CN51" s="132"/>
      <c r="CO51" s="132"/>
      <c r="CP51" s="129"/>
      <c r="CQ51" s="129"/>
      <c r="CR51" s="645"/>
      <c r="CS51" s="132"/>
      <c r="CT51" s="132"/>
      <c r="CU51" s="132"/>
      <c r="CV51" s="132"/>
      <c r="CW51" s="129"/>
      <c r="CX51" s="129"/>
      <c r="CY51" s="645"/>
      <c r="CZ51" s="132"/>
      <c r="DA51" s="132"/>
      <c r="DB51" s="132"/>
      <c r="DC51" s="132"/>
      <c r="DD51" s="129"/>
      <c r="DE51" s="130"/>
      <c r="DF51" s="132"/>
      <c r="DG51" s="132"/>
      <c r="DH51" s="535"/>
    </row>
    <row r="52" spans="1:112" ht="16.5" customHeight="1">
      <c r="A52" s="111"/>
      <c r="B52" s="113"/>
      <c r="C52" s="112"/>
      <c r="D52" s="576">
        <v>5</v>
      </c>
      <c r="E52" s="159" t="s">
        <v>1507</v>
      </c>
      <c r="F52" s="159"/>
      <c r="G52" s="160"/>
      <c r="H52" s="133" t="s">
        <v>53</v>
      </c>
      <c r="I52" s="534" t="s">
        <v>1580</v>
      </c>
      <c r="J52" s="770" t="s">
        <v>1582</v>
      </c>
      <c r="K52" s="158" t="s">
        <v>1515</v>
      </c>
      <c r="L52" s="133"/>
      <c r="M52" s="134"/>
      <c r="N52" s="134"/>
      <c r="O52" s="134"/>
      <c r="P52" s="134"/>
      <c r="Q52" s="127"/>
      <c r="R52" s="127"/>
      <c r="S52" s="128"/>
      <c r="T52" s="128"/>
      <c r="U52" s="128"/>
      <c r="V52" s="128"/>
      <c r="W52" s="128"/>
      <c r="X52" s="129"/>
      <c r="Y52" s="672"/>
      <c r="Z52" s="131"/>
      <c r="AA52" s="132"/>
      <c r="AB52" s="494"/>
      <c r="AC52" s="494"/>
      <c r="AD52" s="494"/>
      <c r="AE52" s="127"/>
      <c r="AF52" s="127"/>
      <c r="AG52" s="494"/>
      <c r="AH52" s="494"/>
      <c r="AI52" s="132"/>
      <c r="AJ52" s="132"/>
      <c r="AK52" s="132"/>
      <c r="AL52" s="507"/>
      <c r="AM52" s="589"/>
      <c r="AN52" s="588"/>
      <c r="AO52" s="132"/>
      <c r="AP52" s="132"/>
      <c r="AQ52" s="132"/>
      <c r="AR52" s="132"/>
      <c r="AS52" s="129"/>
      <c r="AT52" s="130"/>
      <c r="AU52" s="132"/>
      <c r="AV52" s="132"/>
      <c r="AW52" s="132"/>
      <c r="AX52" s="132"/>
      <c r="AY52" s="132"/>
      <c r="AZ52" s="129"/>
      <c r="BA52" s="672"/>
      <c r="BB52" s="686"/>
      <c r="BC52" s="675"/>
      <c r="BD52" s="675"/>
      <c r="BE52" s="132"/>
      <c r="BF52" s="132"/>
      <c r="BG52" s="129"/>
      <c r="BH52" s="130"/>
      <c r="BI52" s="747"/>
      <c r="BJ52" s="507"/>
      <c r="BK52" s="746"/>
      <c r="BL52" s="746"/>
      <c r="BM52" s="746"/>
      <c r="BN52" s="129"/>
      <c r="BO52" s="130"/>
      <c r="BP52" s="132"/>
      <c r="BQ52" s="132"/>
      <c r="BR52" s="132"/>
      <c r="BS52" s="132"/>
      <c r="BT52" s="132"/>
      <c r="BU52" s="129"/>
      <c r="BV52" s="129"/>
      <c r="BW52" s="645"/>
      <c r="BX52" s="132"/>
      <c r="BY52" s="132"/>
      <c r="BZ52" s="132"/>
      <c r="CA52" s="132"/>
      <c r="CB52" s="129"/>
      <c r="CC52" s="672"/>
      <c r="CD52" s="131"/>
      <c r="CE52" s="132"/>
      <c r="CF52" s="132"/>
      <c r="CG52" s="132"/>
      <c r="CH52" s="132"/>
      <c r="CI52" s="129"/>
      <c r="CJ52" s="129"/>
      <c r="CK52" s="645"/>
      <c r="CL52" s="132"/>
      <c r="CM52" s="132"/>
      <c r="CN52" s="132"/>
      <c r="CO52" s="132"/>
      <c r="CP52" s="129"/>
      <c r="CQ52" s="129"/>
      <c r="CR52" s="645"/>
      <c r="CS52" s="132"/>
      <c r="CT52" s="132"/>
      <c r="CU52" s="132"/>
      <c r="CV52" s="132"/>
      <c r="CW52" s="129"/>
      <c r="CX52" s="129"/>
      <c r="CY52" s="645"/>
      <c r="CZ52" s="132"/>
      <c r="DA52" s="132"/>
      <c r="DB52" s="132"/>
      <c r="DC52" s="132"/>
      <c r="DD52" s="129"/>
      <c r="DE52" s="130"/>
      <c r="DF52" s="132"/>
      <c r="DG52" s="132"/>
      <c r="DH52" s="535"/>
    </row>
    <row r="53" spans="1:112" ht="16.5" customHeight="1">
      <c r="A53" s="111"/>
      <c r="B53" s="113"/>
      <c r="C53" s="112"/>
      <c r="D53" s="576">
        <v>6</v>
      </c>
      <c r="E53" s="159" t="s">
        <v>1509</v>
      </c>
      <c r="F53" s="159"/>
      <c r="G53" s="160"/>
      <c r="H53" s="133" t="s">
        <v>49</v>
      </c>
      <c r="I53" s="534" t="s">
        <v>1580</v>
      </c>
      <c r="J53" s="770" t="s">
        <v>1583</v>
      </c>
      <c r="K53" s="158" t="s">
        <v>1515</v>
      </c>
      <c r="L53" s="133"/>
      <c r="M53" s="134"/>
      <c r="N53" s="134"/>
      <c r="O53" s="134"/>
      <c r="P53" s="134"/>
      <c r="Q53" s="127"/>
      <c r="R53" s="127"/>
      <c r="S53" s="128"/>
      <c r="T53" s="128"/>
      <c r="U53" s="128"/>
      <c r="V53" s="128"/>
      <c r="W53" s="128"/>
      <c r="X53" s="129"/>
      <c r="Y53" s="672"/>
      <c r="Z53" s="131"/>
      <c r="AA53" s="132"/>
      <c r="AB53" s="494"/>
      <c r="AC53" s="494"/>
      <c r="AD53" s="494"/>
      <c r="AE53" s="127"/>
      <c r="AF53" s="127"/>
      <c r="AG53" s="494"/>
      <c r="AH53" s="494"/>
      <c r="AI53" s="132"/>
      <c r="AJ53" s="132"/>
      <c r="AK53" s="132"/>
      <c r="AL53" s="507"/>
      <c r="AM53" s="589"/>
      <c r="AN53" s="588"/>
      <c r="AO53" s="132"/>
      <c r="AP53" s="132"/>
      <c r="AQ53" s="132"/>
      <c r="AR53" s="132"/>
      <c r="AS53" s="129"/>
      <c r="AT53" s="130"/>
      <c r="AU53" s="132"/>
      <c r="AV53" s="132"/>
      <c r="AW53" s="132"/>
      <c r="AX53" s="132"/>
      <c r="AY53" s="132"/>
      <c r="AZ53" s="129"/>
      <c r="BA53" s="672"/>
      <c r="BB53" s="686"/>
      <c r="BC53" s="675"/>
      <c r="BD53" s="675"/>
      <c r="BE53" s="132"/>
      <c r="BF53" s="132"/>
      <c r="BG53" s="129"/>
      <c r="BH53" s="130"/>
      <c r="BI53" s="747"/>
      <c r="BJ53" s="507"/>
      <c r="BK53" s="746"/>
      <c r="BL53" s="746"/>
      <c r="BM53" s="746"/>
      <c r="BN53" s="129"/>
      <c r="BO53" s="130"/>
      <c r="BP53" s="132"/>
      <c r="BQ53" s="132"/>
      <c r="BR53" s="132"/>
      <c r="BS53" s="132"/>
      <c r="BT53" s="132"/>
      <c r="BU53" s="129"/>
      <c r="BV53" s="129"/>
      <c r="BW53" s="645"/>
      <c r="BX53" s="132"/>
      <c r="BY53" s="132"/>
      <c r="BZ53" s="132"/>
      <c r="CA53" s="132"/>
      <c r="CB53" s="129"/>
      <c r="CC53" s="672"/>
      <c r="CD53" s="131"/>
      <c r="CE53" s="132"/>
      <c r="CF53" s="132"/>
      <c r="CG53" s="132"/>
      <c r="CH53" s="132"/>
      <c r="CI53" s="129"/>
      <c r="CJ53" s="129"/>
      <c r="CK53" s="645"/>
      <c r="CL53" s="132"/>
      <c r="CM53" s="132"/>
      <c r="CN53" s="132"/>
      <c r="CO53" s="132"/>
      <c r="CP53" s="129"/>
      <c r="CQ53" s="129"/>
      <c r="CR53" s="645"/>
      <c r="CS53" s="132"/>
      <c r="CT53" s="132"/>
      <c r="CU53" s="132"/>
      <c r="CV53" s="132"/>
      <c r="CW53" s="129"/>
      <c r="CX53" s="129"/>
      <c r="CY53" s="645"/>
      <c r="CZ53" s="132"/>
      <c r="DA53" s="132"/>
      <c r="DB53" s="132"/>
      <c r="DC53" s="132"/>
      <c r="DD53" s="129"/>
      <c r="DE53" s="130"/>
      <c r="DF53" s="132"/>
      <c r="DG53" s="132"/>
      <c r="DH53" s="535"/>
    </row>
    <row r="54" spans="1:112" ht="16.5" customHeight="1">
      <c r="A54" s="111"/>
      <c r="B54" s="113"/>
      <c r="C54" s="144"/>
      <c r="D54" s="578">
        <v>7</v>
      </c>
      <c r="E54" s="159" t="s">
        <v>1511</v>
      </c>
      <c r="F54" s="159"/>
      <c r="G54" s="160"/>
      <c r="H54" s="133" t="s">
        <v>53</v>
      </c>
      <c r="I54" s="765" t="s">
        <v>1580</v>
      </c>
      <c r="J54" s="781" t="s">
        <v>1584</v>
      </c>
      <c r="K54" s="161" t="s">
        <v>1515</v>
      </c>
      <c r="L54" s="133"/>
      <c r="M54" s="134"/>
      <c r="N54" s="134"/>
      <c r="O54" s="134"/>
      <c r="P54" s="134"/>
      <c r="Q54" s="135"/>
      <c r="R54" s="135"/>
      <c r="S54" s="134"/>
      <c r="T54" s="134"/>
      <c r="U54" s="134"/>
      <c r="V54" s="134"/>
      <c r="W54" s="134"/>
      <c r="X54" s="136"/>
      <c r="Y54" s="634"/>
      <c r="Z54" s="133"/>
      <c r="AA54" s="134"/>
      <c r="AB54" s="491"/>
      <c r="AC54" s="491"/>
      <c r="AD54" s="491"/>
      <c r="AE54" s="135"/>
      <c r="AF54" s="135"/>
      <c r="AG54" s="491"/>
      <c r="AH54" s="491"/>
      <c r="AI54" s="138"/>
      <c r="AJ54" s="138"/>
      <c r="AK54" s="138"/>
      <c r="AL54" s="508"/>
      <c r="AM54" s="666"/>
      <c r="AN54" s="660"/>
      <c r="AO54" s="138"/>
      <c r="AP54" s="138"/>
      <c r="AQ54" s="138"/>
      <c r="AR54" s="138"/>
      <c r="AS54" s="136"/>
      <c r="AT54" s="137"/>
      <c r="AU54" s="138"/>
      <c r="AV54" s="138"/>
      <c r="AW54" s="138"/>
      <c r="AX54" s="138"/>
      <c r="AY54" s="138"/>
      <c r="AZ54" s="136"/>
      <c r="BA54" s="634"/>
      <c r="BB54" s="687"/>
      <c r="BC54" s="677"/>
      <c r="BD54" s="677"/>
      <c r="BE54" s="138"/>
      <c r="BF54" s="138"/>
      <c r="BG54" s="136"/>
      <c r="BH54" s="137"/>
      <c r="BI54" s="747"/>
      <c r="BJ54" s="508"/>
      <c r="BK54" s="747"/>
      <c r="BL54" s="747"/>
      <c r="BM54" s="747"/>
      <c r="BN54" s="136"/>
      <c r="BO54" s="137"/>
      <c r="BP54" s="138"/>
      <c r="BQ54" s="138"/>
      <c r="BR54" s="138"/>
      <c r="BS54" s="138"/>
      <c r="BT54" s="138"/>
      <c r="BU54" s="136"/>
      <c r="BV54" s="136"/>
      <c r="BW54" s="646"/>
      <c r="BX54" s="138"/>
      <c r="BY54" s="138"/>
      <c r="BZ54" s="138"/>
      <c r="CA54" s="138"/>
      <c r="CB54" s="136"/>
      <c r="CC54" s="634"/>
      <c r="CD54" s="700"/>
      <c r="CE54" s="138"/>
      <c r="CF54" s="138"/>
      <c r="CG54" s="138"/>
      <c r="CH54" s="138"/>
      <c r="CI54" s="136"/>
      <c r="CJ54" s="136"/>
      <c r="CK54" s="646"/>
      <c r="CL54" s="138"/>
      <c r="CM54" s="138"/>
      <c r="CN54" s="138"/>
      <c r="CO54" s="138"/>
      <c r="CP54" s="136"/>
      <c r="CQ54" s="136"/>
      <c r="CR54" s="646"/>
      <c r="CS54" s="138"/>
      <c r="CT54" s="138"/>
      <c r="CU54" s="138"/>
      <c r="CV54" s="138"/>
      <c r="CW54" s="136"/>
      <c r="CX54" s="136"/>
      <c r="CY54" s="646"/>
      <c r="CZ54" s="138"/>
      <c r="DA54" s="138"/>
      <c r="DB54" s="138"/>
      <c r="DC54" s="138"/>
      <c r="DD54" s="136"/>
      <c r="DE54" s="137"/>
      <c r="DF54" s="138"/>
      <c r="DG54" s="138"/>
      <c r="DH54" s="536"/>
    </row>
    <row r="55" spans="1:112" ht="16.5" customHeight="1">
      <c r="A55" s="111"/>
      <c r="B55" s="108">
        <v>5</v>
      </c>
      <c r="C55" s="112" t="s">
        <v>1585</v>
      </c>
      <c r="D55" s="576">
        <v>1</v>
      </c>
      <c r="E55" s="162" t="s">
        <v>1586</v>
      </c>
      <c r="F55" s="162"/>
      <c r="G55" s="163"/>
      <c r="H55" s="139" t="s">
        <v>55</v>
      </c>
      <c r="I55" s="764" t="s">
        <v>401</v>
      </c>
      <c r="J55" s="777" t="s">
        <v>1587</v>
      </c>
      <c r="K55" s="164" t="s">
        <v>1501</v>
      </c>
      <c r="L55" s="139"/>
      <c r="M55" s="140"/>
      <c r="N55" s="140"/>
      <c r="O55" s="140"/>
      <c r="P55" s="140"/>
      <c r="Q55" s="141"/>
      <c r="R55" s="141"/>
      <c r="S55" s="140"/>
      <c r="T55" s="140"/>
      <c r="U55" s="140"/>
      <c r="V55" s="140"/>
      <c r="W55" s="140"/>
      <c r="X55" s="142"/>
      <c r="Y55" s="671"/>
      <c r="Z55" s="139"/>
      <c r="AA55" s="140"/>
      <c r="AB55" s="140"/>
      <c r="AC55" s="140"/>
      <c r="AD55" s="140"/>
      <c r="AE55" s="141"/>
      <c r="AF55" s="141"/>
      <c r="AG55" s="140"/>
      <c r="AH55" s="140"/>
      <c r="AI55" s="140"/>
      <c r="AJ55" s="151"/>
      <c r="AK55" s="151"/>
      <c r="AL55" s="509"/>
      <c r="AM55" s="667"/>
      <c r="AN55" s="661"/>
      <c r="AO55" s="151"/>
      <c r="AP55" s="151"/>
      <c r="AQ55" s="151"/>
      <c r="AR55" s="151"/>
      <c r="AS55" s="142"/>
      <c r="AT55" s="143"/>
      <c r="AU55" s="151"/>
      <c r="AV55" s="151"/>
      <c r="AW55" s="151"/>
      <c r="AX55" s="151"/>
      <c r="AY55" s="151"/>
      <c r="AZ55" s="142"/>
      <c r="BA55" s="671"/>
      <c r="BB55" s="696"/>
      <c r="BC55" s="684"/>
      <c r="BD55" s="684"/>
      <c r="BE55" s="151"/>
      <c r="BF55" s="151"/>
      <c r="BG55" s="142"/>
      <c r="BH55" s="143"/>
      <c r="BI55" s="747"/>
      <c r="BJ55" s="509"/>
      <c r="BK55" s="748"/>
      <c r="BL55" s="748"/>
      <c r="BM55" s="748"/>
      <c r="BN55" s="142"/>
      <c r="BO55" s="143"/>
      <c r="BP55" s="151"/>
      <c r="BQ55" s="151"/>
      <c r="BR55" s="151"/>
      <c r="BS55" s="151"/>
      <c r="BT55" s="151"/>
      <c r="BU55" s="142"/>
      <c r="BV55" s="142"/>
      <c r="BW55" s="650"/>
      <c r="BX55" s="151"/>
      <c r="BY55" s="151"/>
      <c r="BZ55" s="151"/>
      <c r="CA55" s="151"/>
      <c r="CB55" s="142"/>
      <c r="CC55" s="671"/>
      <c r="CD55" s="150"/>
      <c r="CE55" s="151"/>
      <c r="CF55" s="151"/>
      <c r="CG55" s="151"/>
      <c r="CH55" s="151"/>
      <c r="CI55" s="142"/>
      <c r="CJ55" s="142"/>
      <c r="CK55" s="650"/>
      <c r="CL55" s="151"/>
      <c r="CM55" s="151"/>
      <c r="CN55" s="151"/>
      <c r="CO55" s="151"/>
      <c r="CP55" s="142"/>
      <c r="CQ55" s="142"/>
      <c r="CR55" s="650"/>
      <c r="CS55" s="151"/>
      <c r="CT55" s="151"/>
      <c r="CU55" s="151"/>
      <c r="CV55" s="151"/>
      <c r="CW55" s="142"/>
      <c r="CX55" s="142"/>
      <c r="CY55" s="650"/>
      <c r="CZ55" s="151"/>
      <c r="DA55" s="151"/>
      <c r="DB55" s="151"/>
      <c r="DC55" s="151"/>
      <c r="DD55" s="142"/>
      <c r="DE55" s="143"/>
      <c r="DF55" s="151"/>
      <c r="DG55" s="151"/>
      <c r="DH55" s="537"/>
    </row>
    <row r="56" spans="1:112" ht="16.5" customHeight="1">
      <c r="A56" s="111"/>
      <c r="B56" s="113"/>
      <c r="C56" s="112"/>
      <c r="D56" s="576">
        <v>2</v>
      </c>
      <c r="E56" s="156" t="s">
        <v>1588</v>
      </c>
      <c r="F56" s="156"/>
      <c r="G56" s="157"/>
      <c r="H56" s="126" t="s">
        <v>55</v>
      </c>
      <c r="I56" s="533" t="s">
        <v>401</v>
      </c>
      <c r="J56" s="778" t="s">
        <v>1589</v>
      </c>
      <c r="K56" s="158" t="s">
        <v>1501</v>
      </c>
      <c r="L56" s="126"/>
      <c r="M56" s="128"/>
      <c r="N56" s="128"/>
      <c r="O56" s="128"/>
      <c r="P56" s="128"/>
      <c r="Q56" s="127"/>
      <c r="R56" s="127"/>
      <c r="S56" s="128"/>
      <c r="T56" s="128"/>
      <c r="U56" s="128"/>
      <c r="V56" s="128"/>
      <c r="W56" s="128"/>
      <c r="X56" s="129"/>
      <c r="Y56" s="672"/>
      <c r="Z56" s="126"/>
      <c r="AA56" s="128"/>
      <c r="AB56" s="128"/>
      <c r="AC56" s="128"/>
      <c r="AD56" s="128"/>
      <c r="AE56" s="127"/>
      <c r="AF56" s="127"/>
      <c r="AG56" s="128"/>
      <c r="AH56" s="128"/>
      <c r="AI56" s="128"/>
      <c r="AJ56" s="132"/>
      <c r="AK56" s="132"/>
      <c r="AL56" s="507"/>
      <c r="AM56" s="589"/>
      <c r="AN56" s="588"/>
      <c r="AO56" s="132"/>
      <c r="AP56" s="132"/>
      <c r="AQ56" s="132"/>
      <c r="AR56" s="132"/>
      <c r="AS56" s="129"/>
      <c r="AT56" s="130"/>
      <c r="AU56" s="132"/>
      <c r="AV56" s="132"/>
      <c r="AW56" s="132"/>
      <c r="AX56" s="132"/>
      <c r="AY56" s="132"/>
      <c r="AZ56" s="129"/>
      <c r="BA56" s="672"/>
      <c r="BB56" s="686"/>
      <c r="BC56" s="675"/>
      <c r="BD56" s="675"/>
      <c r="BE56" s="132"/>
      <c r="BF56" s="132"/>
      <c r="BG56" s="129"/>
      <c r="BH56" s="130"/>
      <c r="BI56" s="747"/>
      <c r="BJ56" s="507"/>
      <c r="BK56" s="746"/>
      <c r="BL56" s="746"/>
      <c r="BM56" s="746"/>
      <c r="BN56" s="129"/>
      <c r="BO56" s="130"/>
      <c r="BP56" s="132"/>
      <c r="BQ56" s="132"/>
      <c r="BR56" s="132"/>
      <c r="BS56" s="132"/>
      <c r="BT56" s="132"/>
      <c r="BU56" s="129"/>
      <c r="BV56" s="129"/>
      <c r="BW56" s="645"/>
      <c r="BX56" s="132"/>
      <c r="BY56" s="132"/>
      <c r="BZ56" s="132"/>
      <c r="CA56" s="132"/>
      <c r="CB56" s="129"/>
      <c r="CC56" s="672"/>
      <c r="CD56" s="131"/>
      <c r="CE56" s="132"/>
      <c r="CF56" s="132"/>
      <c r="CG56" s="132"/>
      <c r="CH56" s="132"/>
      <c r="CI56" s="129"/>
      <c r="CJ56" s="129"/>
      <c r="CK56" s="645"/>
      <c r="CL56" s="132"/>
      <c r="CM56" s="132"/>
      <c r="CN56" s="132"/>
      <c r="CO56" s="132"/>
      <c r="CP56" s="129"/>
      <c r="CQ56" s="129"/>
      <c r="CR56" s="645"/>
      <c r="CS56" s="132"/>
      <c r="CT56" s="132"/>
      <c r="CU56" s="132"/>
      <c r="CV56" s="132"/>
      <c r="CW56" s="129"/>
      <c r="CX56" s="129"/>
      <c r="CY56" s="645"/>
      <c r="CZ56" s="132"/>
      <c r="DA56" s="132"/>
      <c r="DB56" s="132"/>
      <c r="DC56" s="132"/>
      <c r="DD56" s="129"/>
      <c r="DE56" s="130"/>
      <c r="DF56" s="132"/>
      <c r="DG56" s="132"/>
      <c r="DH56" s="535"/>
    </row>
    <row r="57" spans="1:112" ht="16.5" customHeight="1">
      <c r="A57" s="111"/>
      <c r="B57" s="113"/>
      <c r="C57" s="112"/>
      <c r="D57" s="576">
        <v>3</v>
      </c>
      <c r="E57" s="156" t="s">
        <v>1590</v>
      </c>
      <c r="F57" s="156"/>
      <c r="G57" s="157"/>
      <c r="H57" s="126" t="s">
        <v>55</v>
      </c>
      <c r="I57" s="533" t="s">
        <v>401</v>
      </c>
      <c r="J57" s="778" t="s">
        <v>1591</v>
      </c>
      <c r="K57" s="158" t="s">
        <v>1501</v>
      </c>
      <c r="L57" s="126"/>
      <c r="M57" s="128"/>
      <c r="N57" s="128"/>
      <c r="O57" s="128"/>
      <c r="P57" s="128"/>
      <c r="Q57" s="127"/>
      <c r="R57" s="127"/>
      <c r="S57" s="128"/>
      <c r="T57" s="128"/>
      <c r="U57" s="128"/>
      <c r="V57" s="128"/>
      <c r="W57" s="128"/>
      <c r="X57" s="129"/>
      <c r="Y57" s="672"/>
      <c r="Z57" s="126"/>
      <c r="AA57" s="128"/>
      <c r="AB57" s="128"/>
      <c r="AC57" s="128"/>
      <c r="AD57" s="128"/>
      <c r="AE57" s="127"/>
      <c r="AF57" s="127"/>
      <c r="AG57" s="128"/>
      <c r="AH57" s="128"/>
      <c r="AI57" s="128"/>
      <c r="AJ57" s="132"/>
      <c r="AK57" s="132"/>
      <c r="AL57" s="507"/>
      <c r="AM57" s="589"/>
      <c r="AN57" s="588"/>
      <c r="AO57" s="132"/>
      <c r="AP57" s="132"/>
      <c r="AQ57" s="132"/>
      <c r="AR57" s="132"/>
      <c r="AS57" s="129"/>
      <c r="AT57" s="130"/>
      <c r="AU57" s="132"/>
      <c r="AV57" s="132"/>
      <c r="AW57" s="132"/>
      <c r="AX57" s="132"/>
      <c r="AY57" s="132"/>
      <c r="AZ57" s="129"/>
      <c r="BA57" s="672"/>
      <c r="BB57" s="686"/>
      <c r="BC57" s="675"/>
      <c r="BD57" s="675"/>
      <c r="BE57" s="132"/>
      <c r="BF57" s="132"/>
      <c r="BG57" s="129"/>
      <c r="BH57" s="130"/>
      <c r="BI57" s="747"/>
      <c r="BJ57" s="507"/>
      <c r="BK57" s="746"/>
      <c r="BL57" s="746"/>
      <c r="BM57" s="746"/>
      <c r="BN57" s="129"/>
      <c r="BO57" s="130"/>
      <c r="BP57" s="132"/>
      <c r="BQ57" s="132"/>
      <c r="BR57" s="132"/>
      <c r="BS57" s="132"/>
      <c r="BT57" s="132"/>
      <c r="BU57" s="129"/>
      <c r="BV57" s="129"/>
      <c r="BW57" s="645"/>
      <c r="BX57" s="132"/>
      <c r="BY57" s="132"/>
      <c r="BZ57" s="132"/>
      <c r="CA57" s="132"/>
      <c r="CB57" s="129"/>
      <c r="CC57" s="672"/>
      <c r="CD57" s="131"/>
      <c r="CE57" s="132"/>
      <c r="CF57" s="132"/>
      <c r="CG57" s="132"/>
      <c r="CH57" s="132"/>
      <c r="CI57" s="129"/>
      <c r="CJ57" s="129"/>
      <c r="CK57" s="645"/>
      <c r="CL57" s="132"/>
      <c r="CM57" s="132"/>
      <c r="CN57" s="132"/>
      <c r="CO57" s="132"/>
      <c r="CP57" s="129"/>
      <c r="CQ57" s="129"/>
      <c r="CR57" s="645"/>
      <c r="CS57" s="132"/>
      <c r="CT57" s="132"/>
      <c r="CU57" s="132"/>
      <c r="CV57" s="132"/>
      <c r="CW57" s="129"/>
      <c r="CX57" s="129"/>
      <c r="CY57" s="645"/>
      <c r="CZ57" s="132"/>
      <c r="DA57" s="132"/>
      <c r="DB57" s="132"/>
      <c r="DC57" s="132"/>
      <c r="DD57" s="129"/>
      <c r="DE57" s="130"/>
      <c r="DF57" s="132"/>
      <c r="DG57" s="132"/>
      <c r="DH57" s="535"/>
    </row>
    <row r="58" spans="1:112" ht="16.5" customHeight="1">
      <c r="A58" s="111"/>
      <c r="B58" s="113"/>
      <c r="C58" s="112"/>
      <c r="D58" s="576">
        <v>4</v>
      </c>
      <c r="E58" s="156" t="s">
        <v>1592</v>
      </c>
      <c r="F58" s="156"/>
      <c r="G58" s="157"/>
      <c r="H58" s="126" t="s">
        <v>55</v>
      </c>
      <c r="I58" s="533" t="s">
        <v>401</v>
      </c>
      <c r="J58" s="778" t="s">
        <v>1593</v>
      </c>
      <c r="K58" s="158" t="s">
        <v>1501</v>
      </c>
      <c r="L58" s="126"/>
      <c r="M58" s="128"/>
      <c r="N58" s="128"/>
      <c r="O58" s="128"/>
      <c r="P58" s="128"/>
      <c r="Q58" s="127"/>
      <c r="R58" s="127"/>
      <c r="S58" s="128"/>
      <c r="T58" s="128"/>
      <c r="U58" s="128"/>
      <c r="V58" s="128"/>
      <c r="W58" s="128"/>
      <c r="X58" s="129"/>
      <c r="Y58" s="672"/>
      <c r="Z58" s="126"/>
      <c r="AA58" s="128"/>
      <c r="AB58" s="128"/>
      <c r="AC58" s="128"/>
      <c r="AD58" s="128"/>
      <c r="AE58" s="127"/>
      <c r="AF58" s="127"/>
      <c r="AG58" s="128"/>
      <c r="AH58" s="128"/>
      <c r="AI58" s="128"/>
      <c r="AJ58" s="132"/>
      <c r="AK58" s="132"/>
      <c r="AL58" s="507"/>
      <c r="AM58" s="589"/>
      <c r="AN58" s="588"/>
      <c r="AO58" s="132"/>
      <c r="AP58" s="132"/>
      <c r="AQ58" s="132"/>
      <c r="AR58" s="132"/>
      <c r="AS58" s="129"/>
      <c r="AT58" s="130"/>
      <c r="AU58" s="132"/>
      <c r="AV58" s="132"/>
      <c r="AW58" s="132"/>
      <c r="AX58" s="132"/>
      <c r="AY58" s="132"/>
      <c r="AZ58" s="129"/>
      <c r="BA58" s="672"/>
      <c r="BB58" s="686"/>
      <c r="BC58" s="675"/>
      <c r="BD58" s="675"/>
      <c r="BE58" s="132"/>
      <c r="BF58" s="132"/>
      <c r="BG58" s="129"/>
      <c r="BH58" s="130"/>
      <c r="BI58" s="747"/>
      <c r="BJ58" s="507"/>
      <c r="BK58" s="746"/>
      <c r="BL58" s="746"/>
      <c r="BM58" s="746"/>
      <c r="BN58" s="129"/>
      <c r="BO58" s="130"/>
      <c r="BP58" s="132"/>
      <c r="BQ58" s="132"/>
      <c r="BR58" s="132"/>
      <c r="BS58" s="132"/>
      <c r="BT58" s="132"/>
      <c r="BU58" s="129"/>
      <c r="BV58" s="129"/>
      <c r="BW58" s="645"/>
      <c r="BX58" s="132"/>
      <c r="BY58" s="132"/>
      <c r="BZ58" s="132"/>
      <c r="CA58" s="132"/>
      <c r="CB58" s="129"/>
      <c r="CC58" s="672"/>
      <c r="CD58" s="131"/>
      <c r="CE58" s="132"/>
      <c r="CF58" s="132"/>
      <c r="CG58" s="132"/>
      <c r="CH58" s="132"/>
      <c r="CI58" s="129"/>
      <c r="CJ58" s="129"/>
      <c r="CK58" s="645"/>
      <c r="CL58" s="132"/>
      <c r="CM58" s="132"/>
      <c r="CN58" s="132"/>
      <c r="CO58" s="132"/>
      <c r="CP58" s="129"/>
      <c r="CQ58" s="129"/>
      <c r="CR58" s="645"/>
      <c r="CS58" s="132"/>
      <c r="CT58" s="132"/>
      <c r="CU58" s="132"/>
      <c r="CV58" s="132"/>
      <c r="CW58" s="129"/>
      <c r="CX58" s="129"/>
      <c r="CY58" s="645"/>
      <c r="CZ58" s="132"/>
      <c r="DA58" s="132"/>
      <c r="DB58" s="132"/>
      <c r="DC58" s="132"/>
      <c r="DD58" s="129"/>
      <c r="DE58" s="130"/>
      <c r="DF58" s="132"/>
      <c r="DG58" s="132"/>
      <c r="DH58" s="535"/>
    </row>
    <row r="59" spans="1:112" ht="16.5" customHeight="1">
      <c r="A59" s="111"/>
      <c r="B59" s="113"/>
      <c r="C59" s="112"/>
      <c r="D59" s="576">
        <v>5</v>
      </c>
      <c r="E59" s="156" t="s">
        <v>1594</v>
      </c>
      <c r="F59" s="156"/>
      <c r="G59" s="157"/>
      <c r="H59" s="126" t="s">
        <v>55</v>
      </c>
      <c r="I59" s="533" t="s">
        <v>401</v>
      </c>
      <c r="J59" s="778" t="s">
        <v>1595</v>
      </c>
      <c r="K59" s="158" t="s">
        <v>1515</v>
      </c>
      <c r="L59" s="126"/>
      <c r="M59" s="128"/>
      <c r="N59" s="128"/>
      <c r="O59" s="128"/>
      <c r="P59" s="128"/>
      <c r="Q59" s="127"/>
      <c r="R59" s="127"/>
      <c r="S59" s="128"/>
      <c r="T59" s="128"/>
      <c r="U59" s="128"/>
      <c r="V59" s="128"/>
      <c r="W59" s="128"/>
      <c r="X59" s="129"/>
      <c r="Y59" s="672"/>
      <c r="Z59" s="126"/>
      <c r="AA59" s="128"/>
      <c r="AB59" s="128"/>
      <c r="AC59" s="128"/>
      <c r="AD59" s="128"/>
      <c r="AE59" s="127"/>
      <c r="AF59" s="127"/>
      <c r="AG59" s="128"/>
      <c r="AH59" s="128"/>
      <c r="AI59" s="128"/>
      <c r="AJ59" s="132"/>
      <c r="AK59" s="132"/>
      <c r="AL59" s="507"/>
      <c r="AM59" s="589"/>
      <c r="AN59" s="588"/>
      <c r="AO59" s="132"/>
      <c r="AP59" s="132"/>
      <c r="AQ59" s="132"/>
      <c r="AR59" s="132"/>
      <c r="AS59" s="129"/>
      <c r="AT59" s="130"/>
      <c r="AU59" s="132"/>
      <c r="AV59" s="132"/>
      <c r="AW59" s="132"/>
      <c r="AX59" s="132"/>
      <c r="AY59" s="132"/>
      <c r="AZ59" s="129"/>
      <c r="BA59" s="672"/>
      <c r="BB59" s="686"/>
      <c r="BC59" s="675"/>
      <c r="BD59" s="675"/>
      <c r="BE59" s="132"/>
      <c r="BF59" s="132"/>
      <c r="BG59" s="129"/>
      <c r="BH59" s="130"/>
      <c r="BI59" s="747"/>
      <c r="BJ59" s="507"/>
      <c r="BK59" s="746"/>
      <c r="BL59" s="746"/>
      <c r="BM59" s="746"/>
      <c r="BN59" s="129"/>
      <c r="BO59" s="130"/>
      <c r="BP59" s="132"/>
      <c r="BQ59" s="132"/>
      <c r="BR59" s="132"/>
      <c r="BS59" s="132"/>
      <c r="BT59" s="132"/>
      <c r="BU59" s="129"/>
      <c r="BV59" s="129"/>
      <c r="BW59" s="645"/>
      <c r="BX59" s="132"/>
      <c r="BY59" s="132"/>
      <c r="BZ59" s="132"/>
      <c r="CA59" s="132"/>
      <c r="CB59" s="129"/>
      <c r="CC59" s="672"/>
      <c r="CD59" s="131"/>
      <c r="CE59" s="132"/>
      <c r="CF59" s="132"/>
      <c r="CG59" s="132"/>
      <c r="CH59" s="132"/>
      <c r="CI59" s="129"/>
      <c r="CJ59" s="129"/>
      <c r="CK59" s="645"/>
      <c r="CL59" s="132"/>
      <c r="CM59" s="132"/>
      <c r="CN59" s="132"/>
      <c r="CO59" s="132"/>
      <c r="CP59" s="129"/>
      <c r="CQ59" s="129"/>
      <c r="CR59" s="645"/>
      <c r="CS59" s="132"/>
      <c r="CT59" s="132"/>
      <c r="CU59" s="132"/>
      <c r="CV59" s="132"/>
      <c r="CW59" s="129"/>
      <c r="CX59" s="129"/>
      <c r="CY59" s="645"/>
      <c r="CZ59" s="132"/>
      <c r="DA59" s="132"/>
      <c r="DB59" s="132"/>
      <c r="DC59" s="132"/>
      <c r="DD59" s="129"/>
      <c r="DE59" s="130"/>
      <c r="DF59" s="132"/>
      <c r="DG59" s="132"/>
      <c r="DH59" s="535"/>
    </row>
    <row r="60" spans="1:112" ht="16.5" customHeight="1">
      <c r="A60" s="111"/>
      <c r="B60" s="113"/>
      <c r="C60" s="112"/>
      <c r="D60" s="576">
        <v>6</v>
      </c>
      <c r="E60" s="156" t="s">
        <v>1596</v>
      </c>
      <c r="F60" s="156"/>
      <c r="G60" s="157"/>
      <c r="H60" s="126" t="s">
        <v>55</v>
      </c>
      <c r="I60" s="533" t="s">
        <v>401</v>
      </c>
      <c r="J60" s="778" t="s">
        <v>1597</v>
      </c>
      <c r="K60" s="158" t="s">
        <v>1515</v>
      </c>
      <c r="L60" s="126"/>
      <c r="M60" s="128"/>
      <c r="N60" s="128"/>
      <c r="O60" s="128"/>
      <c r="P60" s="128"/>
      <c r="Q60" s="127"/>
      <c r="R60" s="127"/>
      <c r="S60" s="128"/>
      <c r="T60" s="128"/>
      <c r="U60" s="128"/>
      <c r="V60" s="128"/>
      <c r="W60" s="128"/>
      <c r="X60" s="129"/>
      <c r="Y60" s="672"/>
      <c r="Z60" s="126"/>
      <c r="AA60" s="128"/>
      <c r="AB60" s="128"/>
      <c r="AC60" s="128"/>
      <c r="AD60" s="128"/>
      <c r="AE60" s="127"/>
      <c r="AF60" s="127"/>
      <c r="AG60" s="128"/>
      <c r="AH60" s="128"/>
      <c r="AI60" s="128"/>
      <c r="AJ60" s="132"/>
      <c r="AK60" s="132"/>
      <c r="AL60" s="507"/>
      <c r="AM60" s="589"/>
      <c r="AN60" s="588"/>
      <c r="AO60" s="132"/>
      <c r="AP60" s="132"/>
      <c r="AQ60" s="132"/>
      <c r="AR60" s="132"/>
      <c r="AS60" s="129"/>
      <c r="AT60" s="130"/>
      <c r="AU60" s="132"/>
      <c r="AV60" s="132"/>
      <c r="AW60" s="132"/>
      <c r="AX60" s="132"/>
      <c r="AY60" s="132"/>
      <c r="AZ60" s="129"/>
      <c r="BA60" s="672"/>
      <c r="BB60" s="686"/>
      <c r="BC60" s="675"/>
      <c r="BD60" s="675"/>
      <c r="BE60" s="132"/>
      <c r="BF60" s="132"/>
      <c r="BG60" s="129"/>
      <c r="BH60" s="130"/>
      <c r="BI60" s="747"/>
      <c r="BJ60" s="507"/>
      <c r="BK60" s="746"/>
      <c r="BL60" s="746"/>
      <c r="BM60" s="746"/>
      <c r="BN60" s="129"/>
      <c r="BO60" s="130"/>
      <c r="BP60" s="132"/>
      <c r="BQ60" s="132"/>
      <c r="BR60" s="132"/>
      <c r="BS60" s="132"/>
      <c r="BT60" s="132"/>
      <c r="BU60" s="129"/>
      <c r="BV60" s="129"/>
      <c r="BW60" s="645"/>
      <c r="BX60" s="132"/>
      <c r="BY60" s="132"/>
      <c r="BZ60" s="132"/>
      <c r="CA60" s="132"/>
      <c r="CB60" s="129"/>
      <c r="CC60" s="672"/>
      <c r="CD60" s="131"/>
      <c r="CE60" s="132"/>
      <c r="CF60" s="132"/>
      <c r="CG60" s="132"/>
      <c r="CH60" s="132"/>
      <c r="CI60" s="129"/>
      <c r="CJ60" s="129"/>
      <c r="CK60" s="645"/>
      <c r="CL60" s="132"/>
      <c r="CM60" s="132"/>
      <c r="CN60" s="132"/>
      <c r="CO60" s="132"/>
      <c r="CP60" s="129"/>
      <c r="CQ60" s="129"/>
      <c r="CR60" s="645"/>
      <c r="CS60" s="132"/>
      <c r="CT60" s="132"/>
      <c r="CU60" s="132"/>
      <c r="CV60" s="132"/>
      <c r="CW60" s="129"/>
      <c r="CX60" s="129"/>
      <c r="CY60" s="645"/>
      <c r="CZ60" s="132"/>
      <c r="DA60" s="132"/>
      <c r="DB60" s="132"/>
      <c r="DC60" s="132"/>
      <c r="DD60" s="129"/>
      <c r="DE60" s="130"/>
      <c r="DF60" s="132"/>
      <c r="DG60" s="132"/>
      <c r="DH60" s="535"/>
    </row>
    <row r="61" spans="1:112" ht="16.5" customHeight="1">
      <c r="A61" s="111"/>
      <c r="B61" s="113"/>
      <c r="C61" s="112"/>
      <c r="D61" s="576">
        <v>7</v>
      </c>
      <c r="E61" s="156" t="s">
        <v>1598</v>
      </c>
      <c r="F61" s="156"/>
      <c r="G61" s="157"/>
      <c r="H61" s="126" t="s">
        <v>55</v>
      </c>
      <c r="I61" s="533" t="s">
        <v>401</v>
      </c>
      <c r="J61" s="778" t="s">
        <v>1599</v>
      </c>
      <c r="K61" s="158" t="s">
        <v>1515</v>
      </c>
      <c r="L61" s="126"/>
      <c r="M61" s="128"/>
      <c r="N61" s="128"/>
      <c r="O61" s="128"/>
      <c r="P61" s="128"/>
      <c r="Q61" s="127"/>
      <c r="R61" s="127"/>
      <c r="S61" s="128"/>
      <c r="T61" s="128"/>
      <c r="U61" s="128"/>
      <c r="V61" s="128"/>
      <c r="W61" s="128"/>
      <c r="X61" s="129"/>
      <c r="Y61" s="672"/>
      <c r="Z61" s="126"/>
      <c r="AA61" s="128"/>
      <c r="AB61" s="128"/>
      <c r="AC61" s="128"/>
      <c r="AD61" s="128"/>
      <c r="AE61" s="127"/>
      <c r="AF61" s="127"/>
      <c r="AG61" s="128"/>
      <c r="AH61" s="128"/>
      <c r="AI61" s="128"/>
      <c r="AJ61" s="132"/>
      <c r="AK61" s="132"/>
      <c r="AL61" s="507"/>
      <c r="AM61" s="589"/>
      <c r="AN61" s="588"/>
      <c r="AO61" s="132"/>
      <c r="AP61" s="132"/>
      <c r="AQ61" s="132"/>
      <c r="AR61" s="132"/>
      <c r="AS61" s="129"/>
      <c r="AT61" s="130"/>
      <c r="AU61" s="132"/>
      <c r="AV61" s="132"/>
      <c r="AW61" s="132"/>
      <c r="AX61" s="132"/>
      <c r="AY61" s="132"/>
      <c r="AZ61" s="129"/>
      <c r="BA61" s="672"/>
      <c r="BB61" s="686"/>
      <c r="BC61" s="675"/>
      <c r="BD61" s="675"/>
      <c r="BE61" s="132"/>
      <c r="BF61" s="132"/>
      <c r="BG61" s="129"/>
      <c r="BH61" s="130"/>
      <c r="BI61" s="747"/>
      <c r="BJ61" s="507"/>
      <c r="BK61" s="746"/>
      <c r="BL61" s="746"/>
      <c r="BM61" s="746"/>
      <c r="BN61" s="129"/>
      <c r="BO61" s="130"/>
      <c r="BP61" s="132"/>
      <c r="BQ61" s="132"/>
      <c r="BR61" s="132"/>
      <c r="BS61" s="132"/>
      <c r="BT61" s="132"/>
      <c r="BU61" s="129"/>
      <c r="BV61" s="129"/>
      <c r="BW61" s="645"/>
      <c r="BX61" s="132"/>
      <c r="BY61" s="132"/>
      <c r="BZ61" s="132"/>
      <c r="CA61" s="132"/>
      <c r="CB61" s="129"/>
      <c r="CC61" s="672"/>
      <c r="CD61" s="131"/>
      <c r="CE61" s="132"/>
      <c r="CF61" s="132"/>
      <c r="CG61" s="132"/>
      <c r="CH61" s="132"/>
      <c r="CI61" s="129"/>
      <c r="CJ61" s="129"/>
      <c r="CK61" s="645"/>
      <c r="CL61" s="132"/>
      <c r="CM61" s="132"/>
      <c r="CN61" s="132"/>
      <c r="CO61" s="132"/>
      <c r="CP61" s="129"/>
      <c r="CQ61" s="129"/>
      <c r="CR61" s="645"/>
      <c r="CS61" s="132"/>
      <c r="CT61" s="132"/>
      <c r="CU61" s="132"/>
      <c r="CV61" s="132"/>
      <c r="CW61" s="129"/>
      <c r="CX61" s="129"/>
      <c r="CY61" s="645"/>
      <c r="CZ61" s="132"/>
      <c r="DA61" s="132"/>
      <c r="DB61" s="132"/>
      <c r="DC61" s="132"/>
      <c r="DD61" s="129"/>
      <c r="DE61" s="130"/>
      <c r="DF61" s="132"/>
      <c r="DG61" s="132"/>
      <c r="DH61" s="535"/>
    </row>
    <row r="62" spans="1:112" ht="16.5" customHeight="1">
      <c r="A62" s="111"/>
      <c r="B62" s="113"/>
      <c r="C62" s="112"/>
      <c r="D62" s="576">
        <v>8</v>
      </c>
      <c r="E62" s="156" t="s">
        <v>1600</v>
      </c>
      <c r="F62" s="156"/>
      <c r="G62" s="157"/>
      <c r="H62" s="126" t="s">
        <v>55</v>
      </c>
      <c r="I62" s="533" t="s">
        <v>401</v>
      </c>
      <c r="J62" s="778" t="s">
        <v>1601</v>
      </c>
      <c r="K62" s="158" t="s">
        <v>1515</v>
      </c>
      <c r="L62" s="126"/>
      <c r="M62" s="128"/>
      <c r="N62" s="128"/>
      <c r="O62" s="128"/>
      <c r="P62" s="128"/>
      <c r="Q62" s="127"/>
      <c r="R62" s="127"/>
      <c r="S62" s="128"/>
      <c r="T62" s="128"/>
      <c r="U62" s="128"/>
      <c r="V62" s="128"/>
      <c r="W62" s="128"/>
      <c r="X62" s="129"/>
      <c r="Y62" s="672"/>
      <c r="Z62" s="126"/>
      <c r="AA62" s="128"/>
      <c r="AB62" s="128"/>
      <c r="AC62" s="128"/>
      <c r="AD62" s="128"/>
      <c r="AE62" s="127"/>
      <c r="AF62" s="127"/>
      <c r="AG62" s="128"/>
      <c r="AH62" s="128"/>
      <c r="AI62" s="128"/>
      <c r="AJ62" s="132"/>
      <c r="AK62" s="132"/>
      <c r="AL62" s="507"/>
      <c r="AM62" s="589"/>
      <c r="AN62" s="588"/>
      <c r="AO62" s="132"/>
      <c r="AP62" s="132"/>
      <c r="AQ62" s="132"/>
      <c r="AR62" s="132"/>
      <c r="AS62" s="129"/>
      <c r="AT62" s="130"/>
      <c r="AU62" s="132"/>
      <c r="AV62" s="132"/>
      <c r="AW62" s="132"/>
      <c r="AX62" s="132"/>
      <c r="AY62" s="132"/>
      <c r="AZ62" s="129"/>
      <c r="BA62" s="672"/>
      <c r="BB62" s="686"/>
      <c r="BC62" s="675"/>
      <c r="BD62" s="675"/>
      <c r="BE62" s="132"/>
      <c r="BF62" s="132"/>
      <c r="BG62" s="129"/>
      <c r="BH62" s="130"/>
      <c r="BI62" s="747"/>
      <c r="BJ62" s="507"/>
      <c r="BK62" s="746"/>
      <c r="BL62" s="746"/>
      <c r="BM62" s="746"/>
      <c r="BN62" s="129"/>
      <c r="BO62" s="130"/>
      <c r="BP62" s="132"/>
      <c r="BQ62" s="132"/>
      <c r="BR62" s="132"/>
      <c r="BS62" s="132"/>
      <c r="BT62" s="132"/>
      <c r="BU62" s="129"/>
      <c r="BV62" s="129"/>
      <c r="BW62" s="645"/>
      <c r="BX62" s="132"/>
      <c r="BY62" s="132"/>
      <c r="BZ62" s="132"/>
      <c r="CA62" s="132"/>
      <c r="CB62" s="129"/>
      <c r="CC62" s="672"/>
      <c r="CD62" s="131"/>
      <c r="CE62" s="132"/>
      <c r="CF62" s="132"/>
      <c r="CG62" s="132"/>
      <c r="CH62" s="132"/>
      <c r="CI62" s="129"/>
      <c r="CJ62" s="129"/>
      <c r="CK62" s="645"/>
      <c r="CL62" s="132"/>
      <c r="CM62" s="132"/>
      <c r="CN62" s="132"/>
      <c r="CO62" s="132"/>
      <c r="CP62" s="129"/>
      <c r="CQ62" s="129"/>
      <c r="CR62" s="645"/>
      <c r="CS62" s="132"/>
      <c r="CT62" s="132"/>
      <c r="CU62" s="132"/>
      <c r="CV62" s="132"/>
      <c r="CW62" s="129"/>
      <c r="CX62" s="129"/>
      <c r="CY62" s="645"/>
      <c r="CZ62" s="132"/>
      <c r="DA62" s="132"/>
      <c r="DB62" s="132"/>
      <c r="DC62" s="132"/>
      <c r="DD62" s="129"/>
      <c r="DE62" s="130"/>
      <c r="DF62" s="132"/>
      <c r="DG62" s="132"/>
      <c r="DH62" s="535"/>
    </row>
    <row r="63" spans="1:112" ht="16.5" customHeight="1">
      <c r="A63" s="111"/>
      <c r="B63" s="113"/>
      <c r="C63" s="112"/>
      <c r="D63" s="576"/>
      <c r="E63" s="159"/>
      <c r="F63" s="159"/>
      <c r="G63" s="160"/>
      <c r="H63" s="133"/>
      <c r="I63" s="534"/>
      <c r="J63" s="772"/>
      <c r="K63" s="158" t="s">
        <v>1518</v>
      </c>
      <c r="L63" s="133"/>
      <c r="M63" s="134"/>
      <c r="N63" s="134"/>
      <c r="O63" s="134"/>
      <c r="P63" s="134"/>
      <c r="Q63" s="135"/>
      <c r="R63" s="135"/>
      <c r="S63" s="134"/>
      <c r="T63" s="134"/>
      <c r="U63" s="134"/>
      <c r="V63" s="134"/>
      <c r="W63" s="134"/>
      <c r="X63" s="136"/>
      <c r="Y63" s="634"/>
      <c r="Z63" s="133"/>
      <c r="AA63" s="134"/>
      <c r="AB63" s="134"/>
      <c r="AC63" s="134"/>
      <c r="AD63" s="134"/>
      <c r="AE63" s="135"/>
      <c r="AF63" s="135"/>
      <c r="AG63" s="134"/>
      <c r="AH63" s="134"/>
      <c r="AI63" s="134"/>
      <c r="AJ63" s="138"/>
      <c r="AK63" s="138"/>
      <c r="AL63" s="508"/>
      <c r="AM63" s="666"/>
      <c r="AN63" s="660"/>
      <c r="AO63" s="138"/>
      <c r="AP63" s="138"/>
      <c r="AQ63" s="138"/>
      <c r="AR63" s="138"/>
      <c r="AS63" s="136"/>
      <c r="AT63" s="137"/>
      <c r="AU63" s="138"/>
      <c r="AV63" s="138"/>
      <c r="AW63" s="138"/>
      <c r="AX63" s="138"/>
      <c r="AY63" s="138"/>
      <c r="AZ63" s="136"/>
      <c r="BA63" s="634"/>
      <c r="BB63" s="687"/>
      <c r="BC63" s="677"/>
      <c r="BD63" s="677"/>
      <c r="BE63" s="138"/>
      <c r="BF63" s="138"/>
      <c r="BG63" s="136"/>
      <c r="BH63" s="137"/>
      <c r="BI63" s="747"/>
      <c r="BJ63" s="508"/>
      <c r="BK63" s="747"/>
      <c r="BL63" s="747"/>
      <c r="BM63" s="747"/>
      <c r="BN63" s="136"/>
      <c r="BO63" s="137"/>
      <c r="BP63" s="138"/>
      <c r="BQ63" s="138"/>
      <c r="BR63" s="138"/>
      <c r="BS63" s="138"/>
      <c r="BT63" s="138"/>
      <c r="BU63" s="136"/>
      <c r="BV63" s="136"/>
      <c r="BW63" s="646"/>
      <c r="BX63" s="138"/>
      <c r="BY63" s="138"/>
      <c r="BZ63" s="138"/>
      <c r="CA63" s="138"/>
      <c r="CB63" s="136"/>
      <c r="CC63" s="634"/>
      <c r="CD63" s="700"/>
      <c r="CE63" s="138"/>
      <c r="CF63" s="138"/>
      <c r="CG63" s="138"/>
      <c r="CH63" s="138"/>
      <c r="CI63" s="136"/>
      <c r="CJ63" s="136"/>
      <c r="CK63" s="646"/>
      <c r="CL63" s="138"/>
      <c r="CM63" s="138"/>
      <c r="CN63" s="138"/>
      <c r="CO63" s="138"/>
      <c r="CP63" s="136"/>
      <c r="CQ63" s="136"/>
      <c r="CR63" s="646"/>
      <c r="CS63" s="138"/>
      <c r="CT63" s="138"/>
      <c r="CU63" s="138"/>
      <c r="CV63" s="138"/>
      <c r="CW63" s="136"/>
      <c r="CX63" s="136"/>
      <c r="CY63" s="646"/>
      <c r="CZ63" s="138"/>
      <c r="DA63" s="138"/>
      <c r="DB63" s="138"/>
      <c r="DC63" s="138"/>
      <c r="DD63" s="136"/>
      <c r="DE63" s="137"/>
      <c r="DF63" s="138"/>
      <c r="DG63" s="138"/>
      <c r="DH63" s="536"/>
    </row>
    <row r="64" spans="1:112" ht="16.5" customHeight="1">
      <c r="A64" s="111"/>
      <c r="B64" s="108">
        <v>6</v>
      </c>
      <c r="C64" s="106" t="s">
        <v>1602</v>
      </c>
      <c r="D64" s="575">
        <v>1</v>
      </c>
      <c r="E64" s="162" t="s">
        <v>49</v>
      </c>
      <c r="F64" s="162"/>
      <c r="G64" s="163"/>
      <c r="H64" s="139" t="s">
        <v>49</v>
      </c>
      <c r="I64" s="764" t="s">
        <v>1499</v>
      </c>
      <c r="J64" s="780" t="s">
        <v>1603</v>
      </c>
      <c r="K64" s="164" t="s">
        <v>1501</v>
      </c>
      <c r="L64" s="139"/>
      <c r="M64" s="140"/>
      <c r="N64" s="140"/>
      <c r="O64" s="492"/>
      <c r="P64" s="140"/>
      <c r="Q64" s="141"/>
      <c r="R64" s="141"/>
      <c r="S64" s="140"/>
      <c r="T64" s="140"/>
      <c r="U64" s="140"/>
      <c r="V64" s="140"/>
      <c r="W64" s="140"/>
      <c r="X64" s="142"/>
      <c r="Y64" s="671"/>
      <c r="Z64" s="150"/>
      <c r="AA64" s="151"/>
      <c r="AB64" s="151"/>
      <c r="AC64" s="151"/>
      <c r="AD64" s="151"/>
      <c r="AE64" s="141"/>
      <c r="AF64" s="141"/>
      <c r="AG64" s="151"/>
      <c r="AH64" s="151"/>
      <c r="AI64" s="492"/>
      <c r="AJ64" s="492"/>
      <c r="AK64" s="492"/>
      <c r="AL64" s="509"/>
      <c r="AM64" s="667"/>
      <c r="AN64" s="661"/>
      <c r="AO64" s="492"/>
      <c r="AP64" s="151"/>
      <c r="AQ64" s="151"/>
      <c r="AR64" s="151"/>
      <c r="AS64" s="142"/>
      <c r="AT64" s="143"/>
      <c r="AU64" s="151"/>
      <c r="AV64" s="151"/>
      <c r="AW64" s="151"/>
      <c r="AX64" s="151"/>
      <c r="AY64" s="151"/>
      <c r="AZ64" s="142"/>
      <c r="BA64" s="671"/>
      <c r="BB64" s="696"/>
      <c r="BC64" s="684"/>
      <c r="BD64" s="684"/>
      <c r="BE64" s="151"/>
      <c r="BF64" s="151"/>
      <c r="BG64" s="142"/>
      <c r="BH64" s="143"/>
      <c r="BI64" s="747"/>
      <c r="BJ64" s="509"/>
      <c r="BK64" s="748"/>
      <c r="BL64" s="748"/>
      <c r="BM64" s="748"/>
      <c r="BN64" s="142"/>
      <c r="BO64" s="143"/>
      <c r="BP64" s="151"/>
      <c r="BQ64" s="151"/>
      <c r="BR64" s="151"/>
      <c r="BS64" s="151"/>
      <c r="BT64" s="151"/>
      <c r="BU64" s="142"/>
      <c r="BV64" s="142"/>
      <c r="BW64" s="650"/>
      <c r="BX64" s="151"/>
      <c r="BY64" s="151"/>
      <c r="BZ64" s="151"/>
      <c r="CA64" s="151"/>
      <c r="CB64" s="142"/>
      <c r="CC64" s="671"/>
      <c r="CD64" s="150"/>
      <c r="CE64" s="151"/>
      <c r="CF64" s="151"/>
      <c r="CG64" s="151"/>
      <c r="CH64" s="151"/>
      <c r="CI64" s="142"/>
      <c r="CJ64" s="142"/>
      <c r="CK64" s="650"/>
      <c r="CL64" s="151"/>
      <c r="CM64" s="151"/>
      <c r="CN64" s="151"/>
      <c r="CO64" s="151"/>
      <c r="CP64" s="142"/>
      <c r="CQ64" s="142"/>
      <c r="CR64" s="650"/>
      <c r="CS64" s="151"/>
      <c r="CT64" s="151"/>
      <c r="CU64" s="151"/>
      <c r="CV64" s="151"/>
      <c r="CW64" s="142"/>
      <c r="CX64" s="142"/>
      <c r="CY64" s="650"/>
      <c r="CZ64" s="151"/>
      <c r="DA64" s="151"/>
      <c r="DB64" s="151"/>
      <c r="DC64" s="151"/>
      <c r="DD64" s="142"/>
      <c r="DE64" s="143"/>
      <c r="DF64" s="151"/>
      <c r="DG64" s="151"/>
      <c r="DH64" s="537"/>
    </row>
    <row r="65" spans="1:112" ht="16.5" customHeight="1">
      <c r="A65" s="111"/>
      <c r="B65" s="113"/>
      <c r="C65" s="112"/>
      <c r="D65" s="576">
        <v>2</v>
      </c>
      <c r="E65" s="156" t="s">
        <v>53</v>
      </c>
      <c r="F65" s="156"/>
      <c r="G65" s="157"/>
      <c r="H65" s="126" t="s">
        <v>53</v>
      </c>
      <c r="I65" s="533" t="s">
        <v>1503</v>
      </c>
      <c r="J65" s="770" t="s">
        <v>1604</v>
      </c>
      <c r="K65" s="164" t="s">
        <v>1501</v>
      </c>
      <c r="L65" s="126"/>
      <c r="M65" s="128"/>
      <c r="N65" s="128"/>
      <c r="O65" s="493"/>
      <c r="P65" s="128"/>
      <c r="Q65" s="127"/>
      <c r="R65" s="127"/>
      <c r="S65" s="128"/>
      <c r="T65" s="128"/>
      <c r="U65" s="128"/>
      <c r="V65" s="128"/>
      <c r="W65" s="128"/>
      <c r="X65" s="129"/>
      <c r="Y65" s="672"/>
      <c r="Z65" s="131"/>
      <c r="AA65" s="132"/>
      <c r="AB65" s="132"/>
      <c r="AC65" s="132"/>
      <c r="AD65" s="132"/>
      <c r="AE65" s="127"/>
      <c r="AF65" s="127"/>
      <c r="AG65" s="132"/>
      <c r="AH65" s="132"/>
      <c r="AI65" s="493"/>
      <c r="AJ65" s="493"/>
      <c r="AK65" s="493"/>
      <c r="AL65" s="507"/>
      <c r="AM65" s="589"/>
      <c r="AN65" s="588"/>
      <c r="AO65" s="493"/>
      <c r="AP65" s="132"/>
      <c r="AQ65" s="132"/>
      <c r="AR65" s="132"/>
      <c r="AS65" s="129"/>
      <c r="AT65" s="130"/>
      <c r="AU65" s="132"/>
      <c r="AV65" s="132"/>
      <c r="AW65" s="132"/>
      <c r="AX65" s="132"/>
      <c r="AY65" s="132"/>
      <c r="AZ65" s="129"/>
      <c r="BA65" s="672"/>
      <c r="BB65" s="686"/>
      <c r="BC65" s="675"/>
      <c r="BD65" s="675"/>
      <c r="BE65" s="132"/>
      <c r="BF65" s="132"/>
      <c r="BG65" s="129"/>
      <c r="BH65" s="130"/>
      <c r="BI65" s="747"/>
      <c r="BJ65" s="507"/>
      <c r="BK65" s="746"/>
      <c r="BL65" s="746"/>
      <c r="BM65" s="746"/>
      <c r="BN65" s="129"/>
      <c r="BO65" s="130"/>
      <c r="BP65" s="132"/>
      <c r="BQ65" s="132"/>
      <c r="BR65" s="132"/>
      <c r="BS65" s="132"/>
      <c r="BT65" s="132"/>
      <c r="BU65" s="129"/>
      <c r="BV65" s="129"/>
      <c r="BW65" s="645"/>
      <c r="BX65" s="132"/>
      <c r="BY65" s="132"/>
      <c r="BZ65" s="132"/>
      <c r="CA65" s="132"/>
      <c r="CB65" s="129"/>
      <c r="CC65" s="672"/>
      <c r="CD65" s="131"/>
      <c r="CE65" s="132"/>
      <c r="CF65" s="132"/>
      <c r="CG65" s="132"/>
      <c r="CH65" s="132"/>
      <c r="CI65" s="129"/>
      <c r="CJ65" s="129"/>
      <c r="CK65" s="645"/>
      <c r="CL65" s="132"/>
      <c r="CM65" s="132"/>
      <c r="CN65" s="132"/>
      <c r="CO65" s="132"/>
      <c r="CP65" s="129"/>
      <c r="CQ65" s="129"/>
      <c r="CR65" s="645"/>
      <c r="CS65" s="132"/>
      <c r="CT65" s="132"/>
      <c r="CU65" s="132"/>
      <c r="CV65" s="132"/>
      <c r="CW65" s="129"/>
      <c r="CX65" s="129"/>
      <c r="CY65" s="645"/>
      <c r="CZ65" s="132"/>
      <c r="DA65" s="132"/>
      <c r="DB65" s="132"/>
      <c r="DC65" s="132"/>
      <c r="DD65" s="129"/>
      <c r="DE65" s="130"/>
      <c r="DF65" s="132"/>
      <c r="DG65" s="132"/>
      <c r="DH65" s="535"/>
    </row>
    <row r="66" spans="1:112" ht="16.5" customHeight="1">
      <c r="A66" s="111"/>
      <c r="B66" s="113"/>
      <c r="C66" s="112"/>
      <c r="D66" s="576">
        <v>3</v>
      </c>
      <c r="E66" s="156" t="s">
        <v>55</v>
      </c>
      <c r="F66" s="156"/>
      <c r="G66" s="157"/>
      <c r="H66" s="126" t="s">
        <v>55</v>
      </c>
      <c r="I66" s="533" t="s">
        <v>401</v>
      </c>
      <c r="J66" s="771" t="s">
        <v>50</v>
      </c>
      <c r="K66" s="158" t="s">
        <v>1501</v>
      </c>
      <c r="L66" s="126"/>
      <c r="M66" s="128"/>
      <c r="N66" s="128"/>
      <c r="O66" s="493"/>
      <c r="P66" s="128"/>
      <c r="Q66" s="127"/>
      <c r="R66" s="127"/>
      <c r="S66" s="128"/>
      <c r="T66" s="128"/>
      <c r="U66" s="128"/>
      <c r="V66" s="128"/>
      <c r="W66" s="128"/>
      <c r="X66" s="129"/>
      <c r="Y66" s="672"/>
      <c r="Z66" s="131"/>
      <c r="AA66" s="132"/>
      <c r="AB66" s="132"/>
      <c r="AC66" s="132"/>
      <c r="AD66" s="132"/>
      <c r="AE66" s="127"/>
      <c r="AF66" s="127"/>
      <c r="AG66" s="132"/>
      <c r="AH66" s="132"/>
      <c r="AI66" s="128"/>
      <c r="AJ66" s="128"/>
      <c r="AK66" s="128"/>
      <c r="AL66" s="507"/>
      <c r="AM66" s="589"/>
      <c r="AN66" s="588"/>
      <c r="AO66" s="493"/>
      <c r="AP66" s="132"/>
      <c r="AQ66" s="132"/>
      <c r="AR66" s="132"/>
      <c r="AS66" s="129"/>
      <c r="AT66" s="130"/>
      <c r="AU66" s="132"/>
      <c r="AV66" s="132"/>
      <c r="AW66" s="132"/>
      <c r="AX66" s="132"/>
      <c r="AY66" s="132"/>
      <c r="AZ66" s="129"/>
      <c r="BA66" s="672"/>
      <c r="BB66" s="686"/>
      <c r="BC66" s="675"/>
      <c r="BD66" s="675"/>
      <c r="BE66" s="132"/>
      <c r="BF66" s="132"/>
      <c r="BG66" s="129"/>
      <c r="BH66" s="130"/>
      <c r="BI66" s="747"/>
      <c r="BJ66" s="507"/>
      <c r="BK66" s="746"/>
      <c r="BL66" s="746"/>
      <c r="BM66" s="746"/>
      <c r="BN66" s="129"/>
      <c r="BO66" s="130"/>
      <c r="BP66" s="132"/>
      <c r="BQ66" s="132"/>
      <c r="BR66" s="132"/>
      <c r="BS66" s="132"/>
      <c r="BT66" s="132"/>
      <c r="BU66" s="129"/>
      <c r="BV66" s="129"/>
      <c r="BW66" s="645"/>
      <c r="BX66" s="132"/>
      <c r="BY66" s="132"/>
      <c r="BZ66" s="132"/>
      <c r="CA66" s="132"/>
      <c r="CB66" s="129"/>
      <c r="CC66" s="672"/>
      <c r="CD66" s="131"/>
      <c r="CE66" s="132"/>
      <c r="CF66" s="132"/>
      <c r="CG66" s="132"/>
      <c r="CH66" s="132"/>
      <c r="CI66" s="129"/>
      <c r="CJ66" s="129"/>
      <c r="CK66" s="645"/>
      <c r="CL66" s="132"/>
      <c r="CM66" s="132"/>
      <c r="CN66" s="132"/>
      <c r="CO66" s="132"/>
      <c r="CP66" s="129"/>
      <c r="CQ66" s="129"/>
      <c r="CR66" s="645"/>
      <c r="CS66" s="132"/>
      <c r="CT66" s="132"/>
      <c r="CU66" s="132"/>
      <c r="CV66" s="132"/>
      <c r="CW66" s="129"/>
      <c r="CX66" s="129"/>
      <c r="CY66" s="645"/>
      <c r="CZ66" s="132"/>
      <c r="DA66" s="132"/>
      <c r="DB66" s="132"/>
      <c r="DC66" s="132"/>
      <c r="DD66" s="129"/>
      <c r="DE66" s="130"/>
      <c r="DF66" s="132"/>
      <c r="DG66" s="132"/>
      <c r="DH66" s="535"/>
    </row>
    <row r="67" spans="1:112" ht="16.5" customHeight="1">
      <c r="A67" s="111"/>
      <c r="B67" s="113"/>
      <c r="C67" s="112"/>
      <c r="D67" s="576">
        <v>4</v>
      </c>
      <c r="E67" s="159" t="s">
        <v>1505</v>
      </c>
      <c r="F67" s="159"/>
      <c r="G67" s="160"/>
      <c r="H67" s="133" t="s">
        <v>49</v>
      </c>
      <c r="I67" s="534" t="s">
        <v>1580</v>
      </c>
      <c r="J67" s="913" t="s">
        <v>1605</v>
      </c>
      <c r="K67" s="158" t="s">
        <v>1515</v>
      </c>
      <c r="L67" s="126"/>
      <c r="M67" s="128"/>
      <c r="N67" s="128"/>
      <c r="O67" s="493"/>
      <c r="P67" s="128"/>
      <c r="Q67" s="127"/>
      <c r="R67" s="127"/>
      <c r="S67" s="128"/>
      <c r="T67" s="128"/>
      <c r="U67" s="128"/>
      <c r="V67" s="128"/>
      <c r="W67" s="128"/>
      <c r="X67" s="129"/>
      <c r="Y67" s="672"/>
      <c r="Z67" s="131"/>
      <c r="AA67" s="132"/>
      <c r="AB67" s="132"/>
      <c r="AC67" s="132"/>
      <c r="AD67" s="132"/>
      <c r="AE67" s="127"/>
      <c r="AF67" s="127"/>
      <c r="AG67" s="132"/>
      <c r="AH67" s="132"/>
      <c r="AI67" s="128"/>
      <c r="AJ67" s="128"/>
      <c r="AK67" s="128"/>
      <c r="AL67" s="507"/>
      <c r="AM67" s="589"/>
      <c r="AN67" s="588"/>
      <c r="AO67" s="494"/>
      <c r="AP67" s="494"/>
      <c r="AQ67" s="494"/>
      <c r="AR67" s="494"/>
      <c r="AS67" s="129"/>
      <c r="AT67" s="130"/>
      <c r="AU67" s="494"/>
      <c r="AV67" s="494"/>
      <c r="AW67" s="494"/>
      <c r="AX67" s="494"/>
      <c r="AY67" s="494"/>
      <c r="AZ67" s="129"/>
      <c r="BA67" s="672"/>
      <c r="BB67" s="686"/>
      <c r="BC67" s="675"/>
      <c r="BD67" s="675"/>
      <c r="BE67" s="132"/>
      <c r="BF67" s="132"/>
      <c r="BG67" s="129"/>
      <c r="BH67" s="130"/>
      <c r="BI67" s="747"/>
      <c r="BJ67" s="507"/>
      <c r="BK67" s="746"/>
      <c r="BL67" s="746"/>
      <c r="BM67" s="746"/>
      <c r="BN67" s="129"/>
      <c r="BO67" s="130"/>
      <c r="BP67" s="132"/>
      <c r="BQ67" s="132"/>
      <c r="BR67" s="132"/>
      <c r="BS67" s="132"/>
      <c r="BT67" s="132"/>
      <c r="BU67" s="129"/>
      <c r="BV67" s="129"/>
      <c r="BW67" s="645"/>
      <c r="BX67" s="132"/>
      <c r="BY67" s="132"/>
      <c r="BZ67" s="132"/>
      <c r="CA67" s="132"/>
      <c r="CB67" s="129"/>
      <c r="CC67" s="672"/>
      <c r="CD67" s="131"/>
      <c r="CE67" s="132"/>
      <c r="CF67" s="132"/>
      <c r="CG67" s="132"/>
      <c r="CH67" s="132"/>
      <c r="CI67" s="129"/>
      <c r="CJ67" s="129"/>
      <c r="CK67" s="645"/>
      <c r="CL67" s="132"/>
      <c r="CM67" s="132"/>
      <c r="CN67" s="132"/>
      <c r="CO67" s="132"/>
      <c r="CP67" s="129"/>
      <c r="CQ67" s="129"/>
      <c r="CR67" s="645"/>
      <c r="CS67" s="132"/>
      <c r="CT67" s="132"/>
      <c r="CU67" s="132"/>
      <c r="CV67" s="132"/>
      <c r="CW67" s="129"/>
      <c r="CX67" s="129"/>
      <c r="CY67" s="645"/>
      <c r="CZ67" s="132"/>
      <c r="DA67" s="132"/>
      <c r="DB67" s="132"/>
      <c r="DC67" s="132"/>
      <c r="DD67" s="129"/>
      <c r="DE67" s="130"/>
      <c r="DF67" s="132"/>
      <c r="DG67" s="132"/>
      <c r="DH67" s="535"/>
    </row>
    <row r="68" spans="1:112" ht="16.5" customHeight="1">
      <c r="A68" s="111"/>
      <c r="B68" s="113"/>
      <c r="C68" s="112"/>
      <c r="D68" s="576">
        <v>5</v>
      </c>
      <c r="E68" s="159" t="s">
        <v>1507</v>
      </c>
      <c r="F68" s="159"/>
      <c r="G68" s="160"/>
      <c r="H68" s="133" t="s">
        <v>53</v>
      </c>
      <c r="I68" s="534" t="s">
        <v>1580</v>
      </c>
      <c r="J68" s="913" t="s">
        <v>1606</v>
      </c>
      <c r="K68" s="158" t="s">
        <v>1515</v>
      </c>
      <c r="L68" s="126"/>
      <c r="M68" s="128"/>
      <c r="N68" s="128"/>
      <c r="O68" s="493"/>
      <c r="P68" s="128"/>
      <c r="Q68" s="127"/>
      <c r="R68" s="127"/>
      <c r="S68" s="128"/>
      <c r="T68" s="128"/>
      <c r="U68" s="128"/>
      <c r="V68" s="128"/>
      <c r="W68" s="128"/>
      <c r="X68" s="129"/>
      <c r="Y68" s="672"/>
      <c r="Z68" s="131"/>
      <c r="AA68" s="132"/>
      <c r="AB68" s="132"/>
      <c r="AC68" s="132"/>
      <c r="AD68" s="132"/>
      <c r="AE68" s="127"/>
      <c r="AF68" s="127"/>
      <c r="AG68" s="132"/>
      <c r="AH68" s="132"/>
      <c r="AI68" s="128"/>
      <c r="AJ68" s="128"/>
      <c r="AK68" s="128"/>
      <c r="AL68" s="507"/>
      <c r="AM68" s="589"/>
      <c r="AN68" s="588"/>
      <c r="AO68" s="494"/>
      <c r="AP68" s="494"/>
      <c r="AQ68" s="494"/>
      <c r="AR68" s="494"/>
      <c r="AS68" s="129"/>
      <c r="AT68" s="130"/>
      <c r="AU68" s="494"/>
      <c r="AV68" s="494"/>
      <c r="AW68" s="494"/>
      <c r="AX68" s="494"/>
      <c r="AY68" s="494"/>
      <c r="AZ68" s="129"/>
      <c r="BA68" s="672"/>
      <c r="BB68" s="686"/>
      <c r="BC68" s="675"/>
      <c r="BD68" s="675"/>
      <c r="BE68" s="132"/>
      <c r="BF68" s="132"/>
      <c r="BG68" s="129"/>
      <c r="BH68" s="130"/>
      <c r="BI68" s="747"/>
      <c r="BJ68" s="507"/>
      <c r="BK68" s="746"/>
      <c r="BL68" s="746"/>
      <c r="BM68" s="746"/>
      <c r="BN68" s="129"/>
      <c r="BO68" s="130"/>
      <c r="BP68" s="132"/>
      <c r="BQ68" s="132"/>
      <c r="BR68" s="132"/>
      <c r="BS68" s="132"/>
      <c r="BT68" s="132"/>
      <c r="BU68" s="129"/>
      <c r="BV68" s="129"/>
      <c r="BW68" s="645"/>
      <c r="BX68" s="132"/>
      <c r="BY68" s="132"/>
      <c r="BZ68" s="132"/>
      <c r="CA68" s="132"/>
      <c r="CB68" s="129"/>
      <c r="CC68" s="672"/>
      <c r="CD68" s="131"/>
      <c r="CE68" s="132"/>
      <c r="CF68" s="132"/>
      <c r="CG68" s="132"/>
      <c r="CH68" s="132"/>
      <c r="CI68" s="129"/>
      <c r="CJ68" s="129"/>
      <c r="CK68" s="645"/>
      <c r="CL68" s="132"/>
      <c r="CM68" s="132"/>
      <c r="CN68" s="132"/>
      <c r="CO68" s="132"/>
      <c r="CP68" s="129"/>
      <c r="CQ68" s="129"/>
      <c r="CR68" s="645"/>
      <c r="CS68" s="132"/>
      <c r="CT68" s="132"/>
      <c r="CU68" s="132"/>
      <c r="CV68" s="132"/>
      <c r="CW68" s="129"/>
      <c r="CX68" s="129"/>
      <c r="CY68" s="645"/>
      <c r="CZ68" s="132"/>
      <c r="DA68" s="132"/>
      <c r="DB68" s="132"/>
      <c r="DC68" s="132"/>
      <c r="DD68" s="129"/>
      <c r="DE68" s="130"/>
      <c r="DF68" s="132"/>
      <c r="DG68" s="132"/>
      <c r="DH68" s="535"/>
    </row>
    <row r="69" spans="1:112" ht="16.5" customHeight="1">
      <c r="A69" s="111"/>
      <c r="B69" s="113"/>
      <c r="C69" s="112"/>
      <c r="D69" s="576">
        <v>6</v>
      </c>
      <c r="E69" s="159" t="s">
        <v>1509</v>
      </c>
      <c r="F69" s="159"/>
      <c r="G69" s="160"/>
      <c r="H69" s="133" t="s">
        <v>49</v>
      </c>
      <c r="I69" s="534" t="s">
        <v>1580</v>
      </c>
      <c r="J69" s="913" t="s">
        <v>1607</v>
      </c>
      <c r="K69" s="158" t="s">
        <v>1515</v>
      </c>
      <c r="L69" s="126"/>
      <c r="M69" s="128"/>
      <c r="N69" s="128"/>
      <c r="O69" s="493"/>
      <c r="P69" s="128"/>
      <c r="Q69" s="127"/>
      <c r="R69" s="127"/>
      <c r="S69" s="128"/>
      <c r="T69" s="128"/>
      <c r="U69" s="128"/>
      <c r="V69" s="128"/>
      <c r="W69" s="128"/>
      <c r="X69" s="129"/>
      <c r="Y69" s="672"/>
      <c r="Z69" s="131"/>
      <c r="AA69" s="132"/>
      <c r="AB69" s="132"/>
      <c r="AC69" s="132"/>
      <c r="AD69" s="132"/>
      <c r="AE69" s="127"/>
      <c r="AF69" s="127"/>
      <c r="AG69" s="132"/>
      <c r="AH69" s="132"/>
      <c r="AI69" s="128"/>
      <c r="AJ69" s="128"/>
      <c r="AK69" s="128"/>
      <c r="AL69" s="507"/>
      <c r="AM69" s="589"/>
      <c r="AN69" s="588"/>
      <c r="AO69" s="494"/>
      <c r="AP69" s="494"/>
      <c r="AQ69" s="494"/>
      <c r="AR69" s="494"/>
      <c r="AS69" s="129"/>
      <c r="AT69" s="130"/>
      <c r="AU69" s="494"/>
      <c r="AV69" s="494"/>
      <c r="AW69" s="494"/>
      <c r="AX69" s="494"/>
      <c r="AY69" s="494"/>
      <c r="AZ69" s="129"/>
      <c r="BA69" s="672"/>
      <c r="BB69" s="686"/>
      <c r="BC69" s="675"/>
      <c r="BD69" s="675"/>
      <c r="BE69" s="132"/>
      <c r="BF69" s="132"/>
      <c r="BG69" s="129"/>
      <c r="BH69" s="130"/>
      <c r="BI69" s="747"/>
      <c r="BJ69" s="507"/>
      <c r="BK69" s="746"/>
      <c r="BL69" s="746"/>
      <c r="BM69" s="746"/>
      <c r="BN69" s="129"/>
      <c r="BO69" s="130"/>
      <c r="BP69" s="132"/>
      <c r="BQ69" s="132"/>
      <c r="BR69" s="132"/>
      <c r="BS69" s="132"/>
      <c r="BT69" s="132"/>
      <c r="BU69" s="129"/>
      <c r="BV69" s="129"/>
      <c r="BW69" s="645"/>
      <c r="BX69" s="132"/>
      <c r="BY69" s="132"/>
      <c r="BZ69" s="132"/>
      <c r="CA69" s="132"/>
      <c r="CB69" s="129"/>
      <c r="CC69" s="672"/>
      <c r="CD69" s="131"/>
      <c r="CE69" s="132"/>
      <c r="CF69" s="132"/>
      <c r="CG69" s="132"/>
      <c r="CH69" s="132"/>
      <c r="CI69" s="129"/>
      <c r="CJ69" s="129"/>
      <c r="CK69" s="645"/>
      <c r="CL69" s="132"/>
      <c r="CM69" s="132"/>
      <c r="CN69" s="132"/>
      <c r="CO69" s="132"/>
      <c r="CP69" s="129"/>
      <c r="CQ69" s="129"/>
      <c r="CR69" s="645"/>
      <c r="CS69" s="132"/>
      <c r="CT69" s="132"/>
      <c r="CU69" s="132"/>
      <c r="CV69" s="132"/>
      <c r="CW69" s="129"/>
      <c r="CX69" s="129"/>
      <c r="CY69" s="645"/>
      <c r="CZ69" s="132"/>
      <c r="DA69" s="132"/>
      <c r="DB69" s="132"/>
      <c r="DC69" s="132"/>
      <c r="DD69" s="129"/>
      <c r="DE69" s="130"/>
      <c r="DF69" s="132"/>
      <c r="DG69" s="132"/>
      <c r="DH69" s="535"/>
    </row>
    <row r="70" spans="1:112" ht="16.5" customHeight="1">
      <c r="A70" s="574"/>
      <c r="B70" s="531"/>
      <c r="C70" s="144"/>
      <c r="D70" s="578">
        <v>7</v>
      </c>
      <c r="E70" s="165" t="s">
        <v>1511</v>
      </c>
      <c r="F70" s="165"/>
      <c r="G70" s="166"/>
      <c r="H70" s="145" t="s">
        <v>53</v>
      </c>
      <c r="I70" s="765" t="s">
        <v>1580</v>
      </c>
      <c r="J70" s="913" t="s">
        <v>1608</v>
      </c>
      <c r="K70" s="167" t="s">
        <v>1515</v>
      </c>
      <c r="L70" s="145"/>
      <c r="M70" s="146"/>
      <c r="N70" s="146"/>
      <c r="O70" s="146"/>
      <c r="P70" s="146"/>
      <c r="Q70" s="147"/>
      <c r="R70" s="147"/>
      <c r="S70" s="146"/>
      <c r="T70" s="146"/>
      <c r="U70" s="146"/>
      <c r="V70" s="146"/>
      <c r="W70" s="146"/>
      <c r="X70" s="148"/>
      <c r="Y70" s="635"/>
      <c r="Z70" s="152"/>
      <c r="AA70" s="153"/>
      <c r="AB70" s="153"/>
      <c r="AC70" s="153"/>
      <c r="AD70" s="153"/>
      <c r="AE70" s="147"/>
      <c r="AF70" s="147"/>
      <c r="AG70" s="153"/>
      <c r="AH70" s="153"/>
      <c r="AI70" s="146"/>
      <c r="AJ70" s="146"/>
      <c r="AK70" s="146"/>
      <c r="AL70" s="510"/>
      <c r="AM70" s="668"/>
      <c r="AN70" s="662"/>
      <c r="AO70" s="499"/>
      <c r="AP70" s="499"/>
      <c r="AQ70" s="499"/>
      <c r="AR70" s="499"/>
      <c r="AS70" s="148"/>
      <c r="AT70" s="149"/>
      <c r="AU70" s="499"/>
      <c r="AV70" s="499"/>
      <c r="AW70" s="499"/>
      <c r="AX70" s="499"/>
      <c r="AY70" s="499"/>
      <c r="AZ70" s="148"/>
      <c r="BA70" s="635"/>
      <c r="BB70" s="697"/>
      <c r="BC70" s="685"/>
      <c r="BD70" s="685"/>
      <c r="BE70" s="153"/>
      <c r="BF70" s="153"/>
      <c r="BG70" s="148"/>
      <c r="BH70" s="149"/>
      <c r="BI70" s="747"/>
      <c r="BJ70" s="510"/>
      <c r="BK70" s="749"/>
      <c r="BL70" s="749"/>
      <c r="BM70" s="749"/>
      <c r="BN70" s="148"/>
      <c r="BO70" s="149"/>
      <c r="BP70" s="153"/>
      <c r="BQ70" s="153"/>
      <c r="BR70" s="153"/>
      <c r="BS70" s="153"/>
      <c r="BT70" s="153"/>
      <c r="BU70" s="148"/>
      <c r="BV70" s="148"/>
      <c r="BW70" s="651"/>
      <c r="BX70" s="153"/>
      <c r="BY70" s="153"/>
      <c r="BZ70" s="153"/>
      <c r="CA70" s="153"/>
      <c r="CB70" s="148"/>
      <c r="CC70" s="635"/>
      <c r="CD70" s="152"/>
      <c r="CE70" s="153"/>
      <c r="CF70" s="153"/>
      <c r="CG70" s="153"/>
      <c r="CH70" s="153"/>
      <c r="CI70" s="148"/>
      <c r="CJ70" s="148"/>
      <c r="CK70" s="651"/>
      <c r="CL70" s="153"/>
      <c r="CM70" s="153"/>
      <c r="CN70" s="153"/>
      <c r="CO70" s="153"/>
      <c r="CP70" s="148"/>
      <c r="CQ70" s="148"/>
      <c r="CR70" s="651"/>
      <c r="CS70" s="153"/>
      <c r="CT70" s="153"/>
      <c r="CU70" s="153"/>
      <c r="CV70" s="153"/>
      <c r="CW70" s="148"/>
      <c r="CX70" s="148"/>
      <c r="CY70" s="651"/>
      <c r="CZ70" s="153"/>
      <c r="DA70" s="153"/>
      <c r="DB70" s="153"/>
      <c r="DC70" s="153"/>
      <c r="DD70" s="148"/>
      <c r="DE70" s="149"/>
      <c r="DF70" s="153"/>
      <c r="DG70" s="153"/>
      <c r="DH70" s="538"/>
    </row>
    <row r="71" spans="1:112" ht="16.5" customHeight="1">
      <c r="Q71" s="573"/>
      <c r="R71" s="573"/>
      <c r="AE71" s="573"/>
      <c r="AF71" s="573"/>
    </row>
  </sheetData>
  <phoneticPr fontId="10"/>
  <conditionalFormatting sqref="K5:K80">
    <cfRule type="containsText" dxfId="1" priority="3" operator="containsText" text="進行中">
      <formula>NOT(ISERROR(SEARCH("進行中",K5)))</formula>
    </cfRule>
    <cfRule type="containsText" dxfId="0" priority="4" operator="containsText" text="完了">
      <formula>NOT(ISERROR(SEARCH("完了",K5)))</formula>
    </cfRule>
  </conditionalFormatting>
  <dataValidations count="1">
    <dataValidation type="list" allowBlank="1" showInputMessage="1" showErrorMessage="1" sqref="K5:K80" xr:uid="{E1A5AB55-FEF9-44D9-8B7D-3F4E65BA0A99}">
      <formula1>"準備中,進行中,完了"</formula1>
    </dataValidation>
  </dataValidations>
  <hyperlinks>
    <hyperlink ref="J6" r:id="rId1" xr:uid="{16340DE4-608F-4AC0-9101-F924EBC6C508}"/>
    <hyperlink ref="J5" r:id="rId2" xr:uid="{8F5023CC-15EB-4491-9763-4C16ECF73AB9}"/>
    <hyperlink ref="J9" r:id="rId3" xr:uid="{02FFC3D1-2F42-44DF-9C48-60E60E9C388D}"/>
    <hyperlink ref="J8" r:id="rId4" xr:uid="{23EC032B-B18C-46F2-9E86-49160E31E136}"/>
    <hyperlink ref="J11" r:id="rId5" xr:uid="{EE3E504E-D088-40C9-9E9A-98980E3B8EBF}"/>
    <hyperlink ref="J10" r:id="rId6" xr:uid="{4667DF99-593A-459A-8B52-5D9E773EC9F8}"/>
    <hyperlink ref="J48" r:id="rId7" xr:uid="{A809D532-91F3-4BF0-A423-7C0D1B65B5E8}"/>
    <hyperlink ref="J49" r:id="rId8" xr:uid="{A63702FE-497C-42CB-94A5-A44CB8B29971}"/>
    <hyperlink ref="J64" r:id="rId9" xr:uid="{F357CE87-95DC-4AAD-9125-3BAA274F46EA}"/>
    <hyperlink ref="J65" r:id="rId10" xr:uid="{B290CAF5-0329-4E0F-A89D-0625A2167D94}"/>
    <hyperlink ref="J14" r:id="rId11" xr:uid="{7AE17F18-3093-4FEC-BDF0-E17CCB0DC522}"/>
    <hyperlink ref="J13" r:id="rId12" xr:uid="{B8C61AEE-ED84-4F6E-AA62-CBBCB7093C86}"/>
    <hyperlink ref="J52" r:id="rId13" xr:uid="{A2A9EC75-C6E1-4D6D-B5DC-3CC13BB2461A}"/>
    <hyperlink ref="J51" r:id="rId14" xr:uid="{3FEECF01-CA5D-4258-8119-DAB243898750}"/>
    <hyperlink ref="J53" r:id="rId15" xr:uid="{C72B827C-E66D-489D-A155-A8FAB7F610D1}"/>
    <hyperlink ref="J54" r:id="rId16" xr:uid="{AE63470A-B031-4BF9-9ECA-E05BA3FC489D}"/>
    <hyperlink ref="J20" r:id="rId17" xr:uid="{8EFB3A63-02F0-4F11-BE69-4A0E0B798A66}"/>
    <hyperlink ref="J21" r:id="rId18" xr:uid="{B0D46FB1-FF9E-4E45-B7E7-B240065BA0E5}"/>
    <hyperlink ref="J22" r:id="rId19" xr:uid="{E56E2DB0-6B58-46C5-90C9-EB1C0584F196}"/>
    <hyperlink ref="J23" r:id="rId20" xr:uid="{E47A6728-F5EE-4545-BF17-18B678A3FA8A}"/>
    <hyperlink ref="J24" r:id="rId21" xr:uid="{D69C6022-3E84-4784-817F-8B30B946B787}"/>
    <hyperlink ref="J25" r:id="rId22" xr:uid="{2A901566-1BE2-4717-B27E-F38DE14C0512}"/>
    <hyperlink ref="J26" r:id="rId23" xr:uid="{2AA62D38-EB46-4BC2-A181-C2E04A9D9E4E}"/>
    <hyperlink ref="J27" r:id="rId24" xr:uid="{73C14C9C-17C4-45E7-835D-DBED5F56CB84}"/>
    <hyperlink ref="J28" r:id="rId25" xr:uid="{16A7ED27-19E2-4663-BF33-2276079957FB}"/>
    <hyperlink ref="J29" r:id="rId26" xr:uid="{E2A37991-9464-46EC-A7B3-35126EC1F1D5}"/>
    <hyperlink ref="J30" r:id="rId27" xr:uid="{6E048EB7-7121-49AB-8AFE-2CE5760CC36C}"/>
    <hyperlink ref="J31" r:id="rId28" xr:uid="{B9529865-DBAE-4F0F-933A-E72EB0110EF3}"/>
    <hyperlink ref="J32" r:id="rId29" xr:uid="{C5BDC0E2-3938-4EE7-9398-9D54997B9F52}"/>
    <hyperlink ref="J33" r:id="rId30" xr:uid="{87DAB332-3AED-4215-AAE9-36EF7E863AAF}"/>
    <hyperlink ref="J34" r:id="rId31" xr:uid="{274DA287-6724-4FCD-B540-EFDFD2C06F68}"/>
    <hyperlink ref="J35" r:id="rId32" xr:uid="{43AE53F7-8854-42F7-AC86-AAF4893A5DE1}"/>
    <hyperlink ref="J36" r:id="rId33" xr:uid="{9AA309DB-F8F8-4FDB-8C75-56AC5ED49081}"/>
    <hyperlink ref="J37" r:id="rId34" xr:uid="{CDD262A9-C4BF-4724-8682-39BC619267ED}"/>
    <hyperlink ref="J38" r:id="rId35" xr:uid="{B3404D14-EC45-4B0F-9260-77AA13BCD389}"/>
    <hyperlink ref="J39" r:id="rId36" xr:uid="{0FB43A1C-B364-440D-90FC-7144D8B34F3E}"/>
    <hyperlink ref="J40" r:id="rId37" xr:uid="{BA967D1B-1EB6-4571-8B13-A266480F7896}"/>
    <hyperlink ref="J41" r:id="rId38" xr:uid="{5822B8E9-1B5B-4C56-A3CA-AA6D2E595357}"/>
    <hyperlink ref="J42" r:id="rId39" xr:uid="{DF07FBDA-6F21-4F87-A074-ADAD4E2C09BA}"/>
    <hyperlink ref="J55" r:id="rId40" xr:uid="{BBC32522-540E-40D3-8F8E-EBEC232E9D49}"/>
    <hyperlink ref="J56" r:id="rId41" xr:uid="{318605DC-3AEF-4213-8CD9-F7365E2BF42B}"/>
    <hyperlink ref="J57" r:id="rId42" xr:uid="{BC27BF69-CF36-4EE8-A821-8E857D346124}"/>
    <hyperlink ref="J58" r:id="rId43" xr:uid="{B0AB2C05-3E27-4CE1-BFE7-77C86BC0E25F}"/>
    <hyperlink ref="J59" r:id="rId44" xr:uid="{5720F648-E7AA-4A2D-B048-329D1449F179}"/>
    <hyperlink ref="J60" r:id="rId45" xr:uid="{0788026D-1063-4F53-BCBC-C51C6FA61965}"/>
    <hyperlink ref="J61" r:id="rId46" xr:uid="{7C7F17B9-8E97-4460-80CA-7FBA6014A02E}"/>
    <hyperlink ref="J62" r:id="rId47" xr:uid="{EC748CBB-1161-41A4-8C8A-3E5BE14F572B}"/>
    <hyperlink ref="J12" r:id="rId48" xr:uid="{6D1ACE35-E1F7-44A6-8531-BA51A7460542}"/>
    <hyperlink ref="J43" r:id="rId49" xr:uid="{62F9ECE6-BE95-4AF6-A9A7-38B2F9BAD578}"/>
    <hyperlink ref="J45" r:id="rId50" xr:uid="{36184105-12D1-44A3-B083-F5105F07A433}"/>
    <hyperlink ref="J44" r:id="rId51" xr:uid="{42BF4BD5-C987-411C-99EF-C7309DA36C57}"/>
    <hyperlink ref="J46" r:id="rId52" xr:uid="{A1F90E53-B856-4DB9-8ECA-364743DAEFA1}"/>
    <hyperlink ref="J67" r:id="rId53" xr:uid="{A64DD84B-FBC9-4F75-B561-5C56E4654865}"/>
    <hyperlink ref="J68" r:id="rId54" xr:uid="{D16FD052-DA15-4663-9D58-791EC68D6D2D}"/>
    <hyperlink ref="J69" r:id="rId55" xr:uid="{2F5F4C17-0124-4BCD-A5A1-F028B5D70B09}"/>
    <hyperlink ref="J70" r:id="rId56" xr:uid="{F39C90B5-BBC8-4160-8D1F-32BF8DBC7FA4}"/>
  </hyperlinks>
  <pageMargins left="0.7" right="0.7" top="0.75" bottom="0.75" header="0" footer="0"/>
  <pageSetup orientation="landscape"/>
  <drawing r:id="rId57"/>
  <legacyDrawing r:id="rId5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5593-2ACF-4545-9C48-F070AAD45FCD}">
  <dimension ref="B2:D11"/>
  <sheetViews>
    <sheetView showGridLines="0" workbookViewId="0">
      <selection activeCell="E15" sqref="E15"/>
    </sheetView>
  </sheetViews>
  <sheetFormatPr defaultRowHeight="18"/>
  <cols>
    <col min="2" max="2" width="23.375" customWidth="1"/>
    <col min="3" max="3" width="21.375" customWidth="1"/>
    <col min="4" max="4" width="25.375" customWidth="1"/>
  </cols>
  <sheetData>
    <row r="2" spans="2:4">
      <c r="B2" s="703" t="s">
        <v>1609</v>
      </c>
      <c r="C2" s="703" t="s">
        <v>1610</v>
      </c>
      <c r="D2" s="703" t="s">
        <v>1611</v>
      </c>
    </row>
    <row r="3" spans="2:4">
      <c r="B3" s="704" t="s">
        <v>293</v>
      </c>
      <c r="C3" s="705" t="s">
        <v>1612</v>
      </c>
      <c r="D3" s="705" t="s">
        <v>43</v>
      </c>
    </row>
    <row r="4" spans="2:4">
      <c r="B4" s="706" t="s">
        <v>234</v>
      </c>
      <c r="C4" s="707" t="s">
        <v>1612</v>
      </c>
      <c r="D4" s="707" t="s">
        <v>43</v>
      </c>
    </row>
    <row r="5" spans="2:4">
      <c r="B5" s="708" t="s">
        <v>1613</v>
      </c>
      <c r="C5" s="709" t="s">
        <v>1614</v>
      </c>
      <c r="D5" s="709" t="s">
        <v>43</v>
      </c>
    </row>
    <row r="11" spans="2:4">
      <c r="D11" s="702"/>
    </row>
  </sheetData>
  <phoneticPr fontId="1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4D2F-7B02-42F2-A94B-A9B9744AFFA4}">
  <dimension ref="A1:K1000"/>
  <sheetViews>
    <sheetView workbookViewId="0">
      <selection activeCell="D10" sqref="D10"/>
    </sheetView>
  </sheetViews>
  <sheetFormatPr defaultColWidth="12.625" defaultRowHeight="15" customHeight="1"/>
  <cols>
    <col min="1" max="1" width="10" customWidth="1"/>
    <col min="2" max="2" width="24" customWidth="1"/>
    <col min="3" max="3" width="22" customWidth="1"/>
    <col min="4" max="4" width="94.5"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625" customWidth="1"/>
  </cols>
  <sheetData>
    <row r="1" spans="1:11" ht="30" customHeight="1">
      <c r="A1" s="1096" t="s">
        <v>1615</v>
      </c>
      <c r="B1" s="1228"/>
      <c r="C1" s="1228"/>
      <c r="D1" s="1228"/>
      <c r="E1" s="1228"/>
      <c r="F1" s="1228"/>
      <c r="G1" s="1228"/>
      <c r="H1" s="1228"/>
      <c r="I1" s="1228"/>
      <c r="J1" s="1228"/>
      <c r="K1" s="1228"/>
    </row>
    <row r="2" spans="1:11" ht="36" customHeight="1">
      <c r="A2" s="1097" t="s">
        <v>1616</v>
      </c>
      <c r="B2" s="1228"/>
      <c r="C2" s="1228"/>
      <c r="D2" s="1228"/>
      <c r="E2" s="1228"/>
      <c r="F2" s="1228"/>
      <c r="G2" s="1228"/>
      <c r="H2" s="1228"/>
      <c r="I2" s="1228"/>
      <c r="J2" s="1228"/>
      <c r="K2" s="1228"/>
    </row>
    <row r="3" spans="1:11" ht="33.75" customHeight="1">
      <c r="A3" s="1098" t="s">
        <v>1617</v>
      </c>
      <c r="B3" s="1228"/>
      <c r="C3" s="1228"/>
      <c r="D3" s="1228"/>
      <c r="E3" s="1228"/>
      <c r="F3" s="1228"/>
      <c r="G3" s="1228"/>
      <c r="H3" s="1228"/>
      <c r="I3" s="1228"/>
      <c r="J3" s="1228"/>
      <c r="K3" s="1228"/>
    </row>
    <row r="5" spans="1:11" ht="31.5" customHeight="1">
      <c r="A5" s="816" t="s">
        <v>1618</v>
      </c>
      <c r="B5" s="817" t="s">
        <v>1619</v>
      </c>
      <c r="C5" s="817" t="s">
        <v>1620</v>
      </c>
      <c r="D5" s="817" t="s">
        <v>1621</v>
      </c>
      <c r="E5" s="817" t="s">
        <v>1622</v>
      </c>
      <c r="F5" s="817" t="s">
        <v>1623</v>
      </c>
      <c r="G5" s="817" t="s">
        <v>1624</v>
      </c>
      <c r="H5" s="817" t="s">
        <v>1625</v>
      </c>
      <c r="I5" s="817" t="s">
        <v>1626</v>
      </c>
      <c r="J5" s="817" t="s">
        <v>1627</v>
      </c>
      <c r="K5" s="818" t="s">
        <v>1628</v>
      </c>
    </row>
    <row r="6" spans="1:11" ht="87" customHeight="1">
      <c r="A6" s="819" t="s">
        <v>1629</v>
      </c>
      <c r="B6" s="820" t="s">
        <v>1630</v>
      </c>
      <c r="C6" s="820" t="s">
        <v>1631</v>
      </c>
      <c r="D6" s="821" t="s">
        <v>1632</v>
      </c>
      <c r="E6" s="821" t="s">
        <v>1633</v>
      </c>
      <c r="F6" s="821" t="s">
        <v>1634</v>
      </c>
      <c r="G6" s="822" t="s">
        <v>1635</v>
      </c>
      <c r="H6" s="849" t="s">
        <v>1636</v>
      </c>
      <c r="I6" s="821"/>
      <c r="J6" s="822" t="s">
        <v>1637</v>
      </c>
      <c r="K6" s="823"/>
    </row>
    <row r="7" spans="1:11" ht="42" customHeight="1">
      <c r="A7" s="824" t="s">
        <v>1638</v>
      </c>
      <c r="B7" s="825" t="s">
        <v>1630</v>
      </c>
      <c r="C7" s="825" t="s">
        <v>1639</v>
      </c>
      <c r="D7" s="826" t="s">
        <v>1640</v>
      </c>
      <c r="E7" s="826" t="s">
        <v>1641</v>
      </c>
      <c r="F7" s="826" t="s">
        <v>1642</v>
      </c>
      <c r="G7" s="828" t="s">
        <v>1635</v>
      </c>
      <c r="H7" s="826"/>
      <c r="I7" s="826"/>
      <c r="J7" s="828" t="s">
        <v>1637</v>
      </c>
      <c r="K7" s="829"/>
    </row>
    <row r="8" spans="1:11" ht="42" customHeight="1">
      <c r="A8" s="824" t="s">
        <v>1643</v>
      </c>
      <c r="B8" s="825" t="s">
        <v>1630</v>
      </c>
      <c r="C8" s="825" t="s">
        <v>1631</v>
      </c>
      <c r="D8" s="826" t="s">
        <v>1644</v>
      </c>
      <c r="E8" s="826" t="s">
        <v>1645</v>
      </c>
      <c r="F8" s="826" t="s">
        <v>1646</v>
      </c>
      <c r="G8" s="828" t="s">
        <v>1635</v>
      </c>
      <c r="H8" s="826"/>
      <c r="I8" s="826"/>
      <c r="J8" s="828" t="s">
        <v>1637</v>
      </c>
      <c r="K8" s="829"/>
    </row>
    <row r="9" spans="1:11" ht="69" customHeight="1">
      <c r="A9" s="824" t="s">
        <v>1647</v>
      </c>
      <c r="B9" s="825" t="s">
        <v>1630</v>
      </c>
      <c r="C9" s="825" t="s">
        <v>1648</v>
      </c>
      <c r="D9" s="826" t="s">
        <v>1649</v>
      </c>
      <c r="E9" s="826" t="s">
        <v>1650</v>
      </c>
      <c r="F9" s="826" t="s">
        <v>1634</v>
      </c>
      <c r="G9" s="828" t="s">
        <v>1635</v>
      </c>
      <c r="H9" s="826"/>
      <c r="I9" s="826"/>
      <c r="J9" s="828" t="s">
        <v>1637</v>
      </c>
      <c r="K9" s="829"/>
    </row>
    <row r="10" spans="1:11" ht="42" customHeight="1">
      <c r="A10" s="824" t="s">
        <v>1651</v>
      </c>
      <c r="B10" s="825" t="s">
        <v>1630</v>
      </c>
      <c r="C10" s="825" t="s">
        <v>1652</v>
      </c>
      <c r="D10" s="826" t="s">
        <v>1653</v>
      </c>
      <c r="E10" s="826" t="s">
        <v>1654</v>
      </c>
      <c r="F10" s="826" t="s">
        <v>1642</v>
      </c>
      <c r="G10" s="828" t="s">
        <v>1635</v>
      </c>
      <c r="H10" s="826"/>
      <c r="I10" s="826"/>
      <c r="J10" s="828" t="s">
        <v>1637</v>
      </c>
      <c r="K10" s="829"/>
    </row>
    <row r="11" spans="1:11" ht="150.6" customHeight="1">
      <c r="A11" s="824" t="s">
        <v>1655</v>
      </c>
      <c r="B11" s="825" t="s">
        <v>1656</v>
      </c>
      <c r="C11" s="825" t="s">
        <v>1631</v>
      </c>
      <c r="D11" s="826" t="s">
        <v>1657</v>
      </c>
      <c r="E11" s="850" t="s">
        <v>1658</v>
      </c>
      <c r="F11" s="826" t="s">
        <v>1634</v>
      </c>
      <c r="G11" s="828" t="s">
        <v>1635</v>
      </c>
      <c r="H11" s="826"/>
      <c r="I11" s="826"/>
      <c r="J11" s="828" t="s">
        <v>1637</v>
      </c>
      <c r="K11" s="829"/>
    </row>
    <row r="12" spans="1:11" ht="42" customHeight="1">
      <c r="A12" s="824" t="s">
        <v>1659</v>
      </c>
      <c r="B12" s="825" t="s">
        <v>1656</v>
      </c>
      <c r="C12" s="825" t="s">
        <v>1631</v>
      </c>
      <c r="D12" s="826" t="s">
        <v>1660</v>
      </c>
      <c r="E12" s="826" t="s">
        <v>1661</v>
      </c>
      <c r="F12" s="826" t="s">
        <v>1642</v>
      </c>
      <c r="G12" s="828" t="s">
        <v>1635</v>
      </c>
      <c r="H12" s="826"/>
      <c r="I12" s="826"/>
      <c r="J12" s="828" t="s">
        <v>1637</v>
      </c>
      <c r="K12" s="829"/>
    </row>
    <row r="13" spans="1:11" ht="42" customHeight="1">
      <c r="A13" s="824" t="s">
        <v>1662</v>
      </c>
      <c r="B13" s="825" t="s">
        <v>1656</v>
      </c>
      <c r="C13" s="825" t="s">
        <v>1663</v>
      </c>
      <c r="D13" s="826" t="s">
        <v>1664</v>
      </c>
      <c r="E13" s="826" t="s">
        <v>1665</v>
      </c>
      <c r="F13" s="826" t="s">
        <v>1642</v>
      </c>
      <c r="G13" s="828" t="s">
        <v>1635</v>
      </c>
      <c r="H13" s="826"/>
      <c r="I13" s="826"/>
      <c r="J13" s="828" t="s">
        <v>1637</v>
      </c>
      <c r="K13" s="829"/>
    </row>
    <row r="14" spans="1:11" ht="63" customHeight="1">
      <c r="A14" s="824" t="s">
        <v>1666</v>
      </c>
      <c r="B14" s="825" t="s">
        <v>1656</v>
      </c>
      <c r="C14" s="825" t="s">
        <v>1667</v>
      </c>
      <c r="D14" s="826" t="s">
        <v>1668</v>
      </c>
      <c r="E14" s="850" t="s">
        <v>1669</v>
      </c>
      <c r="F14" s="826" t="s">
        <v>1634</v>
      </c>
      <c r="G14" s="828" t="s">
        <v>1635</v>
      </c>
      <c r="H14" s="826"/>
      <c r="I14" s="826"/>
      <c r="J14" s="828" t="s">
        <v>1637</v>
      </c>
      <c r="K14" s="829"/>
    </row>
    <row r="15" spans="1:11" ht="42" customHeight="1">
      <c r="A15" s="824" t="s">
        <v>1670</v>
      </c>
      <c r="B15" s="825" t="s">
        <v>1656</v>
      </c>
      <c r="C15" s="825" t="s">
        <v>1671</v>
      </c>
      <c r="D15" s="826" t="s">
        <v>1672</v>
      </c>
      <c r="E15" s="826" t="s">
        <v>1673</v>
      </c>
      <c r="F15" s="826" t="s">
        <v>1642</v>
      </c>
      <c r="G15" s="828" t="s">
        <v>1635</v>
      </c>
      <c r="H15" s="826"/>
      <c r="I15" s="826"/>
      <c r="J15" s="828" t="s">
        <v>1637</v>
      </c>
      <c r="K15" s="829"/>
    </row>
    <row r="16" spans="1:11" ht="79.150000000000006">
      <c r="A16" s="824" t="s">
        <v>1674</v>
      </c>
      <c r="B16" s="825" t="s">
        <v>1656</v>
      </c>
      <c r="C16" s="825" t="s">
        <v>1421</v>
      </c>
      <c r="D16" s="826" t="s">
        <v>1675</v>
      </c>
      <c r="E16" s="826" t="s">
        <v>1676</v>
      </c>
      <c r="F16" s="826" t="s">
        <v>1642</v>
      </c>
      <c r="G16" s="828" t="s">
        <v>1635</v>
      </c>
      <c r="H16" s="826"/>
      <c r="I16" s="826"/>
      <c r="J16" s="828" t="s">
        <v>1637</v>
      </c>
      <c r="K16" s="829"/>
    </row>
    <row r="17" spans="1:11" ht="42" customHeight="1">
      <c r="A17" s="824" t="s">
        <v>1677</v>
      </c>
      <c r="B17" s="825" t="s">
        <v>1656</v>
      </c>
      <c r="C17" s="825" t="s">
        <v>1678</v>
      </c>
      <c r="D17" s="826" t="s">
        <v>1679</v>
      </c>
      <c r="E17" s="826" t="s">
        <v>1680</v>
      </c>
      <c r="F17" s="826" t="s">
        <v>1681</v>
      </c>
      <c r="G17" s="828" t="s">
        <v>1635</v>
      </c>
      <c r="H17" s="826"/>
      <c r="I17" s="826"/>
      <c r="J17" s="828" t="s">
        <v>1637</v>
      </c>
      <c r="K17" s="829"/>
    </row>
    <row r="18" spans="1:11" ht="42" customHeight="1">
      <c r="A18" s="824" t="s">
        <v>1682</v>
      </c>
      <c r="B18" s="825" t="s">
        <v>407</v>
      </c>
      <c r="C18" s="825" t="s">
        <v>234</v>
      </c>
      <c r="D18" s="826" t="s">
        <v>1683</v>
      </c>
      <c r="E18" s="850" t="s">
        <v>1684</v>
      </c>
      <c r="F18" s="826" t="s">
        <v>1646</v>
      </c>
      <c r="G18" s="828" t="s">
        <v>1635</v>
      </c>
      <c r="H18" s="826"/>
      <c r="I18" s="826"/>
      <c r="J18" s="828" t="s">
        <v>1637</v>
      </c>
      <c r="K18" s="829"/>
    </row>
    <row r="19" spans="1:11" ht="42" customHeight="1">
      <c r="A19" s="824" t="s">
        <v>1685</v>
      </c>
      <c r="B19" s="825" t="s">
        <v>407</v>
      </c>
      <c r="C19" s="825" t="s">
        <v>1686</v>
      </c>
      <c r="D19" s="826" t="s">
        <v>1687</v>
      </c>
      <c r="E19" s="826" t="s">
        <v>1688</v>
      </c>
      <c r="F19" s="826" t="s">
        <v>1646</v>
      </c>
      <c r="G19" s="828" t="s">
        <v>1635</v>
      </c>
      <c r="H19" s="826"/>
      <c r="I19" s="826"/>
      <c r="J19" s="828" t="s">
        <v>1637</v>
      </c>
      <c r="K19" s="829"/>
    </row>
    <row r="20" spans="1:11" ht="42" customHeight="1">
      <c r="A20" s="824" t="s">
        <v>1689</v>
      </c>
      <c r="B20" s="825" t="s">
        <v>407</v>
      </c>
      <c r="C20" s="825" t="s">
        <v>1690</v>
      </c>
      <c r="D20" s="826" t="s">
        <v>1691</v>
      </c>
      <c r="E20" s="826" t="s">
        <v>1692</v>
      </c>
      <c r="F20" s="826" t="s">
        <v>1646</v>
      </c>
      <c r="G20" s="828" t="s">
        <v>1635</v>
      </c>
      <c r="H20" s="826"/>
      <c r="I20" s="826"/>
      <c r="J20" s="828" t="s">
        <v>1637</v>
      </c>
      <c r="K20" s="829"/>
    </row>
    <row r="21" spans="1:11" ht="42" customHeight="1">
      <c r="A21" s="824" t="s">
        <v>1693</v>
      </c>
      <c r="B21" s="825" t="s">
        <v>407</v>
      </c>
      <c r="C21" s="825" t="s">
        <v>1694</v>
      </c>
      <c r="D21" s="826" t="s">
        <v>1695</v>
      </c>
      <c r="E21" s="826" t="s">
        <v>1696</v>
      </c>
      <c r="F21" s="826" t="s">
        <v>1646</v>
      </c>
      <c r="G21" s="828" t="s">
        <v>1635</v>
      </c>
      <c r="H21" s="826"/>
      <c r="I21" s="826"/>
      <c r="J21" s="828" t="s">
        <v>1637</v>
      </c>
      <c r="K21" s="829"/>
    </row>
    <row r="22" spans="1:11" ht="80.45" customHeight="1">
      <c r="A22" s="824" t="s">
        <v>1697</v>
      </c>
      <c r="B22" s="825" t="s">
        <v>407</v>
      </c>
      <c r="C22" s="825" t="s">
        <v>1694</v>
      </c>
      <c r="D22" s="826" t="s">
        <v>1698</v>
      </c>
      <c r="E22" s="826" t="s">
        <v>1699</v>
      </c>
      <c r="F22" s="826" t="s">
        <v>1646</v>
      </c>
      <c r="G22" s="828" t="s">
        <v>1635</v>
      </c>
      <c r="H22" s="826"/>
      <c r="I22" s="826"/>
      <c r="J22" s="828" t="s">
        <v>1637</v>
      </c>
      <c r="K22" s="829"/>
    </row>
    <row r="23" spans="1:11" ht="42" customHeight="1">
      <c r="A23" s="824" t="s">
        <v>1700</v>
      </c>
      <c r="B23" s="825" t="s">
        <v>407</v>
      </c>
      <c r="C23" s="825" t="s">
        <v>1701</v>
      </c>
      <c r="D23" s="826" t="s">
        <v>1702</v>
      </c>
      <c r="E23" s="826" t="s">
        <v>1703</v>
      </c>
      <c r="F23" s="826" t="s">
        <v>1646</v>
      </c>
      <c r="G23" s="828" t="s">
        <v>1635</v>
      </c>
      <c r="H23" s="826"/>
      <c r="I23" s="826"/>
      <c r="J23" s="828" t="s">
        <v>1637</v>
      </c>
      <c r="K23" s="829"/>
    </row>
    <row r="24" spans="1:11" ht="23.45" customHeight="1">
      <c r="A24" s="824" t="s">
        <v>1704</v>
      </c>
      <c r="B24" s="825" t="s">
        <v>407</v>
      </c>
      <c r="C24" s="825" t="s">
        <v>1705</v>
      </c>
      <c r="D24" s="826" t="s">
        <v>1706</v>
      </c>
      <c r="E24" s="826" t="s">
        <v>1707</v>
      </c>
      <c r="F24" s="826" t="s">
        <v>1642</v>
      </c>
      <c r="G24" s="828" t="s">
        <v>1635</v>
      </c>
      <c r="H24" s="826"/>
      <c r="I24" s="826"/>
      <c r="J24" s="828" t="s">
        <v>1637</v>
      </c>
      <c r="K24" s="829"/>
    </row>
    <row r="25" spans="1:11" ht="42" customHeight="1">
      <c r="A25" s="824" t="s">
        <v>1708</v>
      </c>
      <c r="B25" s="825" t="s">
        <v>407</v>
      </c>
      <c r="C25" s="825" t="s">
        <v>1709</v>
      </c>
      <c r="D25" s="826" t="s">
        <v>1710</v>
      </c>
      <c r="E25" s="826" t="s">
        <v>1711</v>
      </c>
      <c r="F25" s="826" t="s">
        <v>1646</v>
      </c>
      <c r="G25" s="828" t="s">
        <v>1635</v>
      </c>
      <c r="H25" s="826"/>
      <c r="I25" s="826"/>
      <c r="J25" s="828" t="s">
        <v>1637</v>
      </c>
      <c r="K25" s="829"/>
    </row>
    <row r="26" spans="1:11" ht="42" customHeight="1">
      <c r="A26" s="824" t="s">
        <v>1712</v>
      </c>
      <c r="B26" s="825" t="s">
        <v>407</v>
      </c>
      <c r="C26" s="825" t="s">
        <v>1713</v>
      </c>
      <c r="D26" s="826" t="s">
        <v>1714</v>
      </c>
      <c r="E26" s="826" t="s">
        <v>1715</v>
      </c>
      <c r="F26" s="826" t="s">
        <v>1646</v>
      </c>
      <c r="G26" s="828" t="s">
        <v>1635</v>
      </c>
      <c r="H26" s="826"/>
      <c r="I26" s="826"/>
      <c r="J26" s="828" t="s">
        <v>1637</v>
      </c>
      <c r="K26" s="829"/>
    </row>
    <row r="27" spans="1:11" ht="42" customHeight="1">
      <c r="A27" s="824" t="s">
        <v>1716</v>
      </c>
      <c r="B27" s="825" t="s">
        <v>407</v>
      </c>
      <c r="C27" s="825" t="s">
        <v>1717</v>
      </c>
      <c r="D27" s="826" t="s">
        <v>1718</v>
      </c>
      <c r="E27" s="826" t="s">
        <v>1719</v>
      </c>
      <c r="F27" s="826" t="s">
        <v>1681</v>
      </c>
      <c r="G27" s="828" t="s">
        <v>1635</v>
      </c>
      <c r="H27" s="826"/>
      <c r="I27" s="826"/>
      <c r="J27" s="828" t="s">
        <v>1637</v>
      </c>
      <c r="K27" s="829"/>
    </row>
    <row r="28" spans="1:11" ht="72.599999999999994" customHeight="1">
      <c r="A28" s="824" t="s">
        <v>1720</v>
      </c>
      <c r="B28" s="825" t="s">
        <v>1721</v>
      </c>
      <c r="C28" s="825" t="s">
        <v>330</v>
      </c>
      <c r="D28" s="826" t="s">
        <v>1722</v>
      </c>
      <c r="E28" s="826" t="s">
        <v>1723</v>
      </c>
      <c r="F28" s="826" t="s">
        <v>1681</v>
      </c>
      <c r="G28" s="828" t="s">
        <v>1635</v>
      </c>
      <c r="H28" s="826"/>
      <c r="I28" s="826"/>
      <c r="J28" s="828" t="s">
        <v>1637</v>
      </c>
      <c r="K28" s="829"/>
    </row>
    <row r="29" spans="1:11" ht="136.9" customHeight="1">
      <c r="A29" s="824" t="s">
        <v>1724</v>
      </c>
      <c r="B29" s="825" t="s">
        <v>1721</v>
      </c>
      <c r="C29" s="825" t="s">
        <v>1725</v>
      </c>
      <c r="D29" s="826" t="s">
        <v>1726</v>
      </c>
      <c r="E29" s="826" t="s">
        <v>1727</v>
      </c>
      <c r="F29" s="826" t="s">
        <v>1646</v>
      </c>
      <c r="G29" s="828" t="s">
        <v>1635</v>
      </c>
      <c r="H29" s="826"/>
      <c r="I29" s="826"/>
      <c r="J29" s="828" t="s">
        <v>1637</v>
      </c>
      <c r="K29" s="829"/>
    </row>
    <row r="30" spans="1:11" ht="87.6" customHeight="1">
      <c r="A30" s="824" t="s">
        <v>1728</v>
      </c>
      <c r="B30" s="825" t="s">
        <v>1721</v>
      </c>
      <c r="C30" s="825" t="s">
        <v>1729</v>
      </c>
      <c r="D30" s="826" t="s">
        <v>1730</v>
      </c>
      <c r="E30" s="826" t="s">
        <v>1731</v>
      </c>
      <c r="F30" s="826" t="s">
        <v>1646</v>
      </c>
      <c r="G30" s="828" t="s">
        <v>1635</v>
      </c>
      <c r="H30" s="826"/>
      <c r="I30" s="826"/>
      <c r="J30" s="828" t="s">
        <v>1637</v>
      </c>
      <c r="K30" s="829"/>
    </row>
    <row r="31" spans="1:11" ht="42" customHeight="1">
      <c r="A31" s="824" t="s">
        <v>1732</v>
      </c>
      <c r="B31" s="825" t="s">
        <v>1721</v>
      </c>
      <c r="C31" s="825" t="s">
        <v>1694</v>
      </c>
      <c r="D31" s="826" t="s">
        <v>1733</v>
      </c>
      <c r="E31" s="826" t="s">
        <v>1734</v>
      </c>
      <c r="F31" s="826" t="s">
        <v>1646</v>
      </c>
      <c r="G31" s="828" t="s">
        <v>1635</v>
      </c>
      <c r="H31" s="826"/>
      <c r="I31" s="826"/>
      <c r="J31" s="828" t="s">
        <v>1637</v>
      </c>
      <c r="K31" s="829"/>
    </row>
    <row r="32" spans="1:11" ht="42" customHeight="1">
      <c r="A32" s="824" t="s">
        <v>1735</v>
      </c>
      <c r="B32" s="825" t="s">
        <v>1721</v>
      </c>
      <c r="C32" s="825" t="s">
        <v>1435</v>
      </c>
      <c r="D32" s="826" t="s">
        <v>1736</v>
      </c>
      <c r="E32" s="826" t="s">
        <v>1737</v>
      </c>
      <c r="F32" s="826" t="s">
        <v>1646</v>
      </c>
      <c r="G32" s="828" t="s">
        <v>1635</v>
      </c>
      <c r="H32" s="826"/>
      <c r="I32" s="826"/>
      <c r="J32" s="828" t="s">
        <v>1637</v>
      </c>
      <c r="K32" s="829"/>
    </row>
    <row r="33" spans="1:11" ht="42" customHeight="1">
      <c r="A33" s="824" t="s">
        <v>1738</v>
      </c>
      <c r="B33" s="825" t="s">
        <v>1721</v>
      </c>
      <c r="C33" s="825" t="s">
        <v>1739</v>
      </c>
      <c r="D33" s="826" t="s">
        <v>1740</v>
      </c>
      <c r="E33" s="826" t="s">
        <v>1741</v>
      </c>
      <c r="F33" s="826" t="s">
        <v>1681</v>
      </c>
      <c r="G33" s="828" t="s">
        <v>1635</v>
      </c>
      <c r="H33" s="826"/>
      <c r="I33" s="826"/>
      <c r="J33" s="828" t="s">
        <v>1637</v>
      </c>
      <c r="K33" s="829"/>
    </row>
    <row r="34" spans="1:11" ht="42" customHeight="1">
      <c r="A34" s="824" t="s">
        <v>1742</v>
      </c>
      <c r="B34" s="825" t="s">
        <v>1721</v>
      </c>
      <c r="C34" s="825" t="s">
        <v>1743</v>
      </c>
      <c r="D34" s="826" t="s">
        <v>1744</v>
      </c>
      <c r="E34" s="826" t="s">
        <v>1745</v>
      </c>
      <c r="F34" s="826" t="s">
        <v>1646</v>
      </c>
      <c r="G34" s="828" t="s">
        <v>1635</v>
      </c>
      <c r="H34" s="826"/>
      <c r="I34" s="826"/>
      <c r="J34" s="828" t="s">
        <v>1637</v>
      </c>
      <c r="K34" s="829"/>
    </row>
    <row r="35" spans="1:11" ht="42" customHeight="1">
      <c r="A35" s="824" t="s">
        <v>1746</v>
      </c>
      <c r="B35" s="825" t="s">
        <v>1721</v>
      </c>
      <c r="C35" s="825" t="s">
        <v>1747</v>
      </c>
      <c r="D35" s="826" t="s">
        <v>1748</v>
      </c>
      <c r="E35" s="826" t="s">
        <v>1749</v>
      </c>
      <c r="F35" s="826" t="s">
        <v>1646</v>
      </c>
      <c r="G35" s="828" t="s">
        <v>1635</v>
      </c>
      <c r="H35" s="826"/>
      <c r="I35" s="826"/>
      <c r="J35" s="828" t="s">
        <v>1637</v>
      </c>
      <c r="K35" s="829"/>
    </row>
    <row r="36" spans="1:11" ht="42" customHeight="1">
      <c r="A36" s="824" t="s">
        <v>1750</v>
      </c>
      <c r="B36" s="825" t="s">
        <v>1721</v>
      </c>
      <c r="C36" s="825" t="s">
        <v>1751</v>
      </c>
      <c r="D36" s="826" t="s">
        <v>1752</v>
      </c>
      <c r="E36" s="826" t="s">
        <v>1753</v>
      </c>
      <c r="F36" s="826" t="s">
        <v>1681</v>
      </c>
      <c r="G36" s="828" t="s">
        <v>1635</v>
      </c>
      <c r="H36" s="826"/>
      <c r="I36" s="826"/>
      <c r="J36" s="828" t="s">
        <v>1637</v>
      </c>
      <c r="K36" s="829"/>
    </row>
    <row r="37" spans="1:11" ht="42" customHeight="1">
      <c r="A37" s="824" t="s">
        <v>1754</v>
      </c>
      <c r="B37" s="825" t="s">
        <v>1721</v>
      </c>
      <c r="C37" s="825" t="s">
        <v>1717</v>
      </c>
      <c r="D37" s="826" t="s">
        <v>1755</v>
      </c>
      <c r="E37" s="826" t="s">
        <v>1756</v>
      </c>
      <c r="F37" s="826" t="s">
        <v>1681</v>
      </c>
      <c r="G37" s="828" t="s">
        <v>1635</v>
      </c>
      <c r="H37" s="826"/>
      <c r="I37" s="826"/>
      <c r="J37" s="828" t="s">
        <v>1637</v>
      </c>
      <c r="K37" s="829"/>
    </row>
    <row r="38" spans="1:11" ht="108.6" customHeight="1">
      <c r="A38" s="824" t="s">
        <v>1757</v>
      </c>
      <c r="B38" s="825" t="s">
        <v>1758</v>
      </c>
      <c r="C38" s="825" t="s">
        <v>1454</v>
      </c>
      <c r="D38" s="826" t="s">
        <v>1759</v>
      </c>
      <c r="E38" s="826" t="s">
        <v>1760</v>
      </c>
      <c r="F38" s="826" t="s">
        <v>1681</v>
      </c>
      <c r="G38" s="828" t="s">
        <v>1635</v>
      </c>
      <c r="H38" s="826"/>
      <c r="I38" s="826"/>
      <c r="J38" s="828" t="s">
        <v>1637</v>
      </c>
      <c r="K38" s="829"/>
    </row>
    <row r="39" spans="1:11" ht="42" customHeight="1">
      <c r="A39" s="824" t="s">
        <v>1761</v>
      </c>
      <c r="B39" s="825" t="s">
        <v>1758</v>
      </c>
      <c r="C39" s="825" t="s">
        <v>1709</v>
      </c>
      <c r="D39" s="826" t="s">
        <v>1762</v>
      </c>
      <c r="E39" s="826" t="s">
        <v>1763</v>
      </c>
      <c r="F39" s="826" t="s">
        <v>1646</v>
      </c>
      <c r="G39" s="828" t="s">
        <v>1635</v>
      </c>
      <c r="H39" s="826"/>
      <c r="I39" s="826"/>
      <c r="J39" s="828" t="s">
        <v>1637</v>
      </c>
      <c r="K39" s="829"/>
    </row>
    <row r="40" spans="1:11" ht="42" customHeight="1">
      <c r="A40" s="824" t="s">
        <v>1764</v>
      </c>
      <c r="B40" s="825" t="s">
        <v>1758</v>
      </c>
      <c r="C40" s="825" t="s">
        <v>83</v>
      </c>
      <c r="D40" s="826" t="s">
        <v>1765</v>
      </c>
      <c r="E40" s="826" t="s">
        <v>1766</v>
      </c>
      <c r="F40" s="826" t="s">
        <v>1681</v>
      </c>
      <c r="G40" s="828" t="s">
        <v>1635</v>
      </c>
      <c r="H40" s="826"/>
      <c r="I40" s="826"/>
      <c r="J40" s="828" t="s">
        <v>1637</v>
      </c>
      <c r="K40" s="829"/>
    </row>
    <row r="41" spans="1:11" ht="42" customHeight="1">
      <c r="A41" s="824" t="s">
        <v>1767</v>
      </c>
      <c r="B41" s="825" t="s">
        <v>1758</v>
      </c>
      <c r="C41" s="825" t="s">
        <v>1652</v>
      </c>
      <c r="D41" s="826" t="s">
        <v>1768</v>
      </c>
      <c r="E41" s="826" t="s">
        <v>1769</v>
      </c>
      <c r="F41" s="826" t="s">
        <v>1770</v>
      </c>
      <c r="G41" s="828" t="s">
        <v>1635</v>
      </c>
      <c r="H41" s="826"/>
      <c r="I41" s="826"/>
      <c r="J41" s="828" t="s">
        <v>1637</v>
      </c>
      <c r="K41" s="829"/>
    </row>
    <row r="42" spans="1:11" ht="42" customHeight="1">
      <c r="A42" s="824" t="s">
        <v>1771</v>
      </c>
      <c r="B42" s="825" t="s">
        <v>1758</v>
      </c>
      <c r="C42" s="825" t="s">
        <v>92</v>
      </c>
      <c r="D42" s="826" t="s">
        <v>1772</v>
      </c>
      <c r="E42" s="826" t="s">
        <v>1769</v>
      </c>
      <c r="F42" s="826" t="s">
        <v>1642</v>
      </c>
      <c r="G42" s="828" t="s">
        <v>1635</v>
      </c>
      <c r="H42" s="826"/>
      <c r="I42" s="826"/>
      <c r="J42" s="828" t="s">
        <v>1637</v>
      </c>
      <c r="K42" s="829"/>
    </row>
    <row r="43" spans="1:11" ht="42" customHeight="1">
      <c r="A43" s="824" t="s">
        <v>1773</v>
      </c>
      <c r="B43" s="825" t="s">
        <v>1758</v>
      </c>
      <c r="C43" s="825" t="s">
        <v>1774</v>
      </c>
      <c r="D43" s="826" t="s">
        <v>1775</v>
      </c>
      <c r="E43" s="826" t="s">
        <v>1776</v>
      </c>
      <c r="F43" s="826" t="s">
        <v>1642</v>
      </c>
      <c r="G43" s="828" t="s">
        <v>1635</v>
      </c>
      <c r="H43" s="1" t="s">
        <v>1777</v>
      </c>
      <c r="I43" s="826"/>
      <c r="J43" s="828" t="s">
        <v>1637</v>
      </c>
      <c r="K43" s="829"/>
    </row>
    <row r="44" spans="1:11" ht="42" customHeight="1">
      <c r="A44" s="824" t="s">
        <v>1778</v>
      </c>
      <c r="B44" s="825" t="s">
        <v>1758</v>
      </c>
      <c r="C44" s="825" t="s">
        <v>1779</v>
      </c>
      <c r="D44" s="826" t="s">
        <v>1780</v>
      </c>
      <c r="E44" s="826" t="s">
        <v>1781</v>
      </c>
      <c r="F44" s="826" t="s">
        <v>1642</v>
      </c>
      <c r="G44" s="828" t="s">
        <v>1635</v>
      </c>
      <c r="H44" s="826"/>
      <c r="I44" s="826"/>
      <c r="J44" s="828" t="s">
        <v>1637</v>
      </c>
      <c r="K44" s="829"/>
    </row>
    <row r="45" spans="1:11" ht="42" customHeight="1">
      <c r="A45" s="824" t="s">
        <v>1782</v>
      </c>
      <c r="B45" s="825" t="s">
        <v>1758</v>
      </c>
      <c r="C45" s="825" t="s">
        <v>1783</v>
      </c>
      <c r="D45" s="826" t="s">
        <v>1784</v>
      </c>
      <c r="E45" s="826" t="s">
        <v>1781</v>
      </c>
      <c r="F45" s="826" t="s">
        <v>1642</v>
      </c>
      <c r="G45" s="828" t="s">
        <v>1635</v>
      </c>
      <c r="H45" s="826"/>
      <c r="I45" s="826"/>
      <c r="J45" s="828" t="s">
        <v>1637</v>
      </c>
      <c r="K45" s="829"/>
    </row>
    <row r="46" spans="1:11" ht="42" customHeight="1">
      <c r="A46" s="824" t="s">
        <v>1785</v>
      </c>
      <c r="B46" s="825" t="s">
        <v>1758</v>
      </c>
      <c r="C46" s="825" t="s">
        <v>1786</v>
      </c>
      <c r="D46" s="826" t="s">
        <v>1787</v>
      </c>
      <c r="E46" s="826" t="s">
        <v>1781</v>
      </c>
      <c r="F46" s="826" t="s">
        <v>1642</v>
      </c>
      <c r="G46" s="828" t="s">
        <v>1635</v>
      </c>
      <c r="H46" s="826"/>
      <c r="I46" s="826"/>
      <c r="J46" s="828" t="s">
        <v>1637</v>
      </c>
      <c r="K46" s="829"/>
    </row>
    <row r="47" spans="1:11" ht="42" customHeight="1">
      <c r="A47" s="824" t="s">
        <v>1788</v>
      </c>
      <c r="B47" s="825" t="s">
        <v>1758</v>
      </c>
      <c r="C47" s="825" t="s">
        <v>1789</v>
      </c>
      <c r="D47" s="826" t="s">
        <v>1790</v>
      </c>
      <c r="E47" s="826" t="s">
        <v>1791</v>
      </c>
      <c r="F47" s="826" t="s">
        <v>1770</v>
      </c>
      <c r="G47" s="828" t="s">
        <v>1635</v>
      </c>
      <c r="H47" s="1" t="s">
        <v>1792</v>
      </c>
      <c r="I47" s="826"/>
      <c r="J47" s="828" t="s">
        <v>1637</v>
      </c>
      <c r="K47" s="829"/>
    </row>
    <row r="48" spans="1:11" ht="42" customHeight="1">
      <c r="A48" s="824" t="s">
        <v>1793</v>
      </c>
      <c r="B48" s="825" t="s">
        <v>1794</v>
      </c>
      <c r="C48" s="825" t="s">
        <v>1795</v>
      </c>
      <c r="D48" s="826" t="s">
        <v>1796</v>
      </c>
      <c r="E48" s="826" t="s">
        <v>1797</v>
      </c>
      <c r="F48" s="826" t="s">
        <v>1798</v>
      </c>
      <c r="G48" s="828" t="s">
        <v>1635</v>
      </c>
      <c r="H48" s="826"/>
      <c r="I48" s="826"/>
      <c r="J48" s="828" t="s">
        <v>1637</v>
      </c>
      <c r="K48" s="829"/>
    </row>
    <row r="49" spans="1:11" ht="42" customHeight="1">
      <c r="A49" s="824" t="s">
        <v>1799</v>
      </c>
      <c r="B49" s="825" t="s">
        <v>1794</v>
      </c>
      <c r="C49" s="825" t="s">
        <v>1795</v>
      </c>
      <c r="D49" s="826" t="s">
        <v>1800</v>
      </c>
      <c r="E49" s="826" t="s">
        <v>1801</v>
      </c>
      <c r="F49" s="826" t="s">
        <v>1798</v>
      </c>
      <c r="G49" s="828" t="s">
        <v>1635</v>
      </c>
      <c r="H49" s="826"/>
      <c r="I49" s="826"/>
      <c r="J49" s="828" t="s">
        <v>1637</v>
      </c>
      <c r="K49" s="829"/>
    </row>
    <row r="50" spans="1:11" ht="42" customHeight="1">
      <c r="A50" s="824" t="s">
        <v>1802</v>
      </c>
      <c r="B50" s="825" t="s">
        <v>1794</v>
      </c>
      <c r="C50" s="825" t="s">
        <v>1430</v>
      </c>
      <c r="D50" s="826" t="s">
        <v>1803</v>
      </c>
      <c r="E50" s="826" t="s">
        <v>1804</v>
      </c>
      <c r="F50" s="826" t="s">
        <v>1798</v>
      </c>
      <c r="G50" s="828" t="s">
        <v>1635</v>
      </c>
      <c r="H50" s="826"/>
      <c r="I50" s="826"/>
      <c r="J50" s="828" t="s">
        <v>1637</v>
      </c>
      <c r="K50" s="829"/>
    </row>
    <row r="51" spans="1:11" ht="42" customHeight="1">
      <c r="A51" s="824" t="s">
        <v>1805</v>
      </c>
      <c r="B51" s="825" t="s">
        <v>1794</v>
      </c>
      <c r="C51" s="825" t="s">
        <v>1806</v>
      </c>
      <c r="D51" s="826" t="s">
        <v>1807</v>
      </c>
      <c r="E51" s="826" t="s">
        <v>1808</v>
      </c>
      <c r="F51" s="826" t="s">
        <v>1798</v>
      </c>
      <c r="G51" s="828" t="s">
        <v>1635</v>
      </c>
      <c r="H51" s="826"/>
      <c r="I51" s="826"/>
      <c r="J51" s="828" t="s">
        <v>1637</v>
      </c>
      <c r="K51" s="829"/>
    </row>
    <row r="52" spans="1:11" ht="42" customHeight="1">
      <c r="A52" s="824" t="s">
        <v>1809</v>
      </c>
      <c r="B52" s="825" t="s">
        <v>1794</v>
      </c>
      <c r="C52" s="825" t="s">
        <v>1810</v>
      </c>
      <c r="D52" s="826" t="s">
        <v>1811</v>
      </c>
      <c r="E52" s="826" t="s">
        <v>1812</v>
      </c>
      <c r="F52" s="826" t="s">
        <v>1798</v>
      </c>
      <c r="G52" s="828" t="s">
        <v>1635</v>
      </c>
      <c r="H52" s="826"/>
      <c r="I52" s="826"/>
      <c r="J52" s="828" t="s">
        <v>1637</v>
      </c>
      <c r="K52" s="829"/>
    </row>
    <row r="53" spans="1:11" ht="42" customHeight="1">
      <c r="A53" s="824" t="s">
        <v>1813</v>
      </c>
      <c r="B53" s="825" t="s">
        <v>1794</v>
      </c>
      <c r="C53" s="825" t="s">
        <v>1814</v>
      </c>
      <c r="D53" s="826" t="s">
        <v>1815</v>
      </c>
      <c r="E53" s="826" t="s">
        <v>1816</v>
      </c>
      <c r="F53" s="826" t="s">
        <v>1798</v>
      </c>
      <c r="G53" s="828" t="s">
        <v>1635</v>
      </c>
      <c r="H53" s="826"/>
      <c r="I53" s="826"/>
      <c r="J53" s="828" t="s">
        <v>1637</v>
      </c>
      <c r="K53" s="829"/>
    </row>
    <row r="54" spans="1:11" ht="42" customHeight="1">
      <c r="A54" s="824" t="s">
        <v>1817</v>
      </c>
      <c r="B54" s="825" t="s">
        <v>1794</v>
      </c>
      <c r="C54" s="825" t="s">
        <v>1818</v>
      </c>
      <c r="D54" s="826" t="s">
        <v>1819</v>
      </c>
      <c r="E54" s="826" t="s">
        <v>1769</v>
      </c>
      <c r="F54" s="826" t="s">
        <v>1770</v>
      </c>
      <c r="G54" s="828" t="s">
        <v>1635</v>
      </c>
      <c r="H54" s="826"/>
      <c r="I54" s="826"/>
      <c r="J54" s="828" t="s">
        <v>1637</v>
      </c>
      <c r="K54" s="829"/>
    </row>
    <row r="55" spans="1:11" ht="42" customHeight="1">
      <c r="A55" s="824" t="s">
        <v>1820</v>
      </c>
      <c r="B55" s="825" t="s">
        <v>1794</v>
      </c>
      <c r="C55" s="825" t="s">
        <v>1821</v>
      </c>
      <c r="D55" s="826" t="s">
        <v>1822</v>
      </c>
      <c r="E55" s="826" t="s">
        <v>1769</v>
      </c>
      <c r="F55" s="826" t="s">
        <v>1770</v>
      </c>
      <c r="G55" s="828" t="s">
        <v>1635</v>
      </c>
      <c r="H55" s="826"/>
      <c r="I55" s="826"/>
      <c r="J55" s="828" t="s">
        <v>1637</v>
      </c>
      <c r="K55" s="829"/>
    </row>
    <row r="56" spans="1:11" ht="42" customHeight="1">
      <c r="A56" s="824" t="s">
        <v>1823</v>
      </c>
      <c r="B56" s="825" t="s">
        <v>1794</v>
      </c>
      <c r="C56" s="825" t="s">
        <v>1824</v>
      </c>
      <c r="D56" s="826" t="s">
        <v>1825</v>
      </c>
      <c r="E56" s="826" t="s">
        <v>1826</v>
      </c>
      <c r="F56" s="826" t="s">
        <v>1770</v>
      </c>
      <c r="G56" s="828" t="s">
        <v>1635</v>
      </c>
      <c r="H56" s="1" t="s">
        <v>1777</v>
      </c>
      <c r="I56" s="826"/>
      <c r="J56" s="828" t="s">
        <v>1637</v>
      </c>
      <c r="K56" s="829"/>
    </row>
    <row r="57" spans="1:11" ht="66">
      <c r="A57" s="824" t="s">
        <v>1827</v>
      </c>
      <c r="B57" s="825" t="s">
        <v>1794</v>
      </c>
      <c r="C57" s="825" t="s">
        <v>1828</v>
      </c>
      <c r="D57" s="826" t="s">
        <v>1829</v>
      </c>
      <c r="E57" s="826" t="s">
        <v>1830</v>
      </c>
      <c r="F57" s="826" t="s">
        <v>1798</v>
      </c>
      <c r="G57" s="828" t="s">
        <v>1635</v>
      </c>
      <c r="H57" s="826"/>
      <c r="I57" s="826"/>
      <c r="J57" s="828" t="s">
        <v>1637</v>
      </c>
      <c r="K57" s="829"/>
    </row>
    <row r="58" spans="1:11" ht="42" customHeight="1">
      <c r="A58" s="824" t="s">
        <v>1831</v>
      </c>
      <c r="B58" s="825" t="s">
        <v>1832</v>
      </c>
      <c r="C58" s="825" t="s">
        <v>1833</v>
      </c>
      <c r="D58" s="826" t="s">
        <v>1834</v>
      </c>
      <c r="E58" s="826" t="s">
        <v>1797</v>
      </c>
      <c r="F58" s="826"/>
      <c r="G58" s="828" t="s">
        <v>1635</v>
      </c>
      <c r="H58" s="826"/>
      <c r="I58" s="851" t="s">
        <v>1835</v>
      </c>
      <c r="J58" s="828" t="s">
        <v>1637</v>
      </c>
      <c r="K58" s="829"/>
    </row>
    <row r="59" spans="1:11" ht="42" customHeight="1">
      <c r="A59" s="824" t="s">
        <v>1836</v>
      </c>
      <c r="B59" s="825" t="s">
        <v>1832</v>
      </c>
      <c r="C59" s="825" t="s">
        <v>1837</v>
      </c>
      <c r="D59" s="826" t="s">
        <v>1838</v>
      </c>
      <c r="E59" s="826" t="s">
        <v>1839</v>
      </c>
      <c r="F59" s="826" t="s">
        <v>1770</v>
      </c>
      <c r="G59" s="828" t="s">
        <v>1635</v>
      </c>
      <c r="H59" s="1" t="s">
        <v>1777</v>
      </c>
      <c r="I59" s="826"/>
      <c r="J59" s="828" t="s">
        <v>1637</v>
      </c>
      <c r="K59" s="829"/>
    </row>
    <row r="60" spans="1:11" ht="42" customHeight="1">
      <c r="A60" s="824" t="s">
        <v>1840</v>
      </c>
      <c r="B60" s="825" t="s">
        <v>1832</v>
      </c>
      <c r="C60" s="825" t="s">
        <v>1841</v>
      </c>
      <c r="D60" s="826" t="s">
        <v>1842</v>
      </c>
      <c r="E60" s="826" t="s">
        <v>1843</v>
      </c>
      <c r="F60" s="826" t="s">
        <v>1646</v>
      </c>
      <c r="G60" s="828" t="s">
        <v>1635</v>
      </c>
      <c r="H60" s="1" t="s">
        <v>1792</v>
      </c>
      <c r="I60" s="826"/>
      <c r="J60" s="828" t="s">
        <v>1637</v>
      </c>
      <c r="K60" s="829"/>
    </row>
    <row r="61" spans="1:11" ht="42" customHeight="1">
      <c r="A61" s="824" t="s">
        <v>1844</v>
      </c>
      <c r="B61" s="825" t="s">
        <v>1832</v>
      </c>
      <c r="C61" s="825" t="s">
        <v>1845</v>
      </c>
      <c r="D61" s="826" t="s">
        <v>1846</v>
      </c>
      <c r="E61" s="826" t="s">
        <v>1847</v>
      </c>
      <c r="F61" s="826" t="s">
        <v>1770</v>
      </c>
      <c r="G61" s="828" t="s">
        <v>1635</v>
      </c>
      <c r="H61" s="826"/>
      <c r="I61" s="826"/>
      <c r="J61" s="828" t="s">
        <v>1637</v>
      </c>
      <c r="K61" s="829"/>
    </row>
    <row r="62" spans="1:11" ht="42" customHeight="1">
      <c r="A62" s="824" t="s">
        <v>1848</v>
      </c>
      <c r="B62" s="825" t="s">
        <v>1832</v>
      </c>
      <c r="C62" s="825" t="s">
        <v>1849</v>
      </c>
      <c r="D62" s="826" t="s">
        <v>1850</v>
      </c>
      <c r="E62" s="826" t="s">
        <v>1851</v>
      </c>
      <c r="F62" s="826" t="s">
        <v>1770</v>
      </c>
      <c r="G62" s="828" t="s">
        <v>1635</v>
      </c>
      <c r="H62" s="826"/>
      <c r="I62" s="826"/>
      <c r="J62" s="828" t="s">
        <v>1637</v>
      </c>
      <c r="K62" s="829"/>
    </row>
    <row r="63" spans="1:11" ht="42" customHeight="1">
      <c r="A63" s="824" t="s">
        <v>1852</v>
      </c>
      <c r="B63" s="825" t="s">
        <v>1832</v>
      </c>
      <c r="C63" s="825" t="s">
        <v>1853</v>
      </c>
      <c r="D63" s="826" t="s">
        <v>1854</v>
      </c>
      <c r="E63" s="826" t="s">
        <v>1851</v>
      </c>
      <c r="F63" s="826" t="s">
        <v>1770</v>
      </c>
      <c r="G63" s="828" t="s">
        <v>1635</v>
      </c>
      <c r="H63" s="826"/>
      <c r="I63" s="826"/>
      <c r="J63" s="828" t="s">
        <v>1637</v>
      </c>
      <c r="K63" s="829"/>
    </row>
    <row r="64" spans="1:11" ht="42" customHeight="1">
      <c r="A64" s="830" t="s">
        <v>1855</v>
      </c>
      <c r="B64" s="831" t="s">
        <v>1832</v>
      </c>
      <c r="C64" s="831" t="s">
        <v>1856</v>
      </c>
      <c r="D64" s="832" t="s">
        <v>1857</v>
      </c>
      <c r="E64" s="832" t="s">
        <v>1858</v>
      </c>
      <c r="F64" s="832" t="s">
        <v>1770</v>
      </c>
      <c r="G64" s="833" t="s">
        <v>1635</v>
      </c>
      <c r="H64" s="832"/>
      <c r="I64" s="832"/>
      <c r="J64" s="833" t="s">
        <v>1637</v>
      </c>
      <c r="K64" s="834"/>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4" xr:uid="{348FF81E-E8EF-4CA0-8696-0A0CF0C3B6DF}">
      <formula1>"現行,将来,現行・将来"</formula1>
    </dataValidation>
    <dataValidation type="list" allowBlank="1" sqref="G6:G64" xr:uid="{42D1A99C-DB1D-426B-8BF0-EBD5222FEE37}">
      <formula1>"未回答,確認済み,回答あり・根拠未確認,一部確認,未整備"</formula1>
    </dataValidation>
  </dataValidations>
  <hyperlinks>
    <hyperlink ref="I58" r:id="rId1" xr:uid="{E7702928-046B-4F47-82DB-800D865DDB75}"/>
    <hyperlink ref="H6" r:id="rId2" xr:uid="{966B3459-BA7E-49E1-9626-836489181046}"/>
    <hyperlink ref="H43" r:id="rId3" xr:uid="{9BA13F9D-43F7-40B2-8F51-597337F3C9BF}"/>
    <hyperlink ref="H56" r:id="rId4" xr:uid="{AC75FB71-F1E7-41B8-B4E1-3EEB66FBBFE8}"/>
    <hyperlink ref="H59" r:id="rId5" xr:uid="{8D63538E-878E-48A7-90F9-B61592EF3120}"/>
    <hyperlink ref="H60" r:id="rId6" xr:uid="{D140D43C-2A17-4771-A255-06C487D756E7}"/>
    <hyperlink ref="H47" r:id="rId7" xr:uid="{17C4527B-79D7-4CB2-B88A-8C11735C9627}"/>
  </hyperlinks>
  <pageMargins left="0.7" right="0.7" top="0.75" bottom="0.75" header="0" footer="0"/>
  <pageSetup orientation="landscape"/>
  <tableParts count="1">
    <tablePart r:id="rId8"/>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F772-1680-43AC-AB0F-2438ABD73969}">
  <dimension ref="A1:K1000"/>
  <sheetViews>
    <sheetView topLeftCell="A24" zoomScaleNormal="100" workbookViewId="0"/>
  </sheetViews>
  <sheetFormatPr defaultColWidth="12.625" defaultRowHeight="15" customHeight="1"/>
  <cols>
    <col min="1" max="1" width="10" customWidth="1"/>
    <col min="2" max="2" width="24" customWidth="1"/>
    <col min="3" max="3" width="22" customWidth="1"/>
    <col min="4" max="4" width="62"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625" customWidth="1"/>
  </cols>
  <sheetData>
    <row r="1" spans="1:11" ht="30" customHeight="1">
      <c r="A1" s="1096" t="s">
        <v>1859</v>
      </c>
      <c r="B1" s="1228"/>
      <c r="C1" s="1228"/>
      <c r="D1" s="1228"/>
      <c r="E1" s="1228"/>
      <c r="F1" s="1228"/>
      <c r="G1" s="1228"/>
      <c r="H1" s="1228"/>
      <c r="I1" s="1228"/>
      <c r="J1" s="1228"/>
      <c r="K1" s="1228"/>
    </row>
    <row r="2" spans="1:11" ht="36" customHeight="1">
      <c r="A2" s="1097" t="s">
        <v>1860</v>
      </c>
      <c r="B2" s="1228"/>
      <c r="C2" s="1228"/>
      <c r="D2" s="1228"/>
      <c r="E2" s="1228"/>
      <c r="F2" s="1228"/>
      <c r="G2" s="1228"/>
      <c r="H2" s="1228"/>
      <c r="I2" s="1228"/>
      <c r="J2" s="1228"/>
      <c r="K2" s="1228"/>
    </row>
    <row r="3" spans="1:11" ht="33.75" customHeight="1">
      <c r="A3" s="1098" t="s">
        <v>1861</v>
      </c>
      <c r="B3" s="1228"/>
      <c r="C3" s="1228"/>
      <c r="D3" s="1228"/>
      <c r="E3" s="1228"/>
      <c r="F3" s="1228"/>
      <c r="G3" s="1228"/>
      <c r="H3" s="1228"/>
      <c r="I3" s="1228"/>
      <c r="J3" s="1228"/>
      <c r="K3" s="1228"/>
    </row>
    <row r="5" spans="1:11" ht="31.5" customHeight="1">
      <c r="A5" s="816" t="s">
        <v>1618</v>
      </c>
      <c r="B5" s="817" t="s">
        <v>1619</v>
      </c>
      <c r="C5" s="817" t="s">
        <v>1620</v>
      </c>
      <c r="D5" s="817" t="s">
        <v>1621</v>
      </c>
      <c r="E5" s="817" t="s">
        <v>1622</v>
      </c>
      <c r="F5" s="817" t="s">
        <v>1623</v>
      </c>
      <c r="G5" s="817" t="s">
        <v>1624</v>
      </c>
      <c r="H5" s="817" t="s">
        <v>1625</v>
      </c>
      <c r="I5" s="817" t="s">
        <v>1626</v>
      </c>
      <c r="J5" s="817" t="s">
        <v>1627</v>
      </c>
      <c r="K5" s="818" t="s">
        <v>1628</v>
      </c>
    </row>
    <row r="6" spans="1:11" ht="107.45" customHeight="1">
      <c r="A6" s="819" t="s">
        <v>1862</v>
      </c>
      <c r="B6" s="820" t="s">
        <v>1863</v>
      </c>
      <c r="C6" s="820" t="s">
        <v>1631</v>
      </c>
      <c r="D6" s="821" t="s">
        <v>1864</v>
      </c>
      <c r="E6" s="821" t="s">
        <v>1865</v>
      </c>
      <c r="F6" s="821" t="s">
        <v>1866</v>
      </c>
      <c r="G6" s="822" t="s">
        <v>1635</v>
      </c>
      <c r="H6" s="821"/>
      <c r="I6" s="821"/>
      <c r="J6" s="822" t="s">
        <v>1637</v>
      </c>
      <c r="K6" s="823"/>
    </row>
    <row r="7" spans="1:11" ht="60" customHeight="1">
      <c r="A7" s="824" t="s">
        <v>1867</v>
      </c>
      <c r="B7" s="825" t="s">
        <v>1863</v>
      </c>
      <c r="C7" s="825" t="s">
        <v>1435</v>
      </c>
      <c r="D7" s="826" t="s">
        <v>1868</v>
      </c>
      <c r="E7" s="827" t="s">
        <v>1869</v>
      </c>
      <c r="F7" s="826" t="s">
        <v>1866</v>
      </c>
      <c r="G7" s="828" t="s">
        <v>1635</v>
      </c>
      <c r="H7" s="826"/>
      <c r="I7" s="826"/>
      <c r="J7" s="828" t="s">
        <v>1637</v>
      </c>
      <c r="K7" s="829"/>
    </row>
    <row r="8" spans="1:11" ht="64.5" customHeight="1">
      <c r="A8" s="824" t="s">
        <v>1870</v>
      </c>
      <c r="B8" s="825" t="s">
        <v>1863</v>
      </c>
      <c r="C8" s="825" t="s">
        <v>1871</v>
      </c>
      <c r="D8" s="826" t="s">
        <v>1872</v>
      </c>
      <c r="E8" s="826" t="s">
        <v>1873</v>
      </c>
      <c r="F8" s="826" t="s">
        <v>1874</v>
      </c>
      <c r="G8" s="828" t="s">
        <v>1635</v>
      </c>
      <c r="H8" s="826"/>
      <c r="I8" s="826"/>
      <c r="J8" s="828" t="s">
        <v>1637</v>
      </c>
      <c r="K8" s="829"/>
    </row>
    <row r="9" spans="1:11" ht="42" customHeight="1">
      <c r="A9" s="824" t="s">
        <v>1875</v>
      </c>
      <c r="B9" s="825" t="s">
        <v>1863</v>
      </c>
      <c r="C9" s="825" t="s">
        <v>1652</v>
      </c>
      <c r="D9" s="826" t="s">
        <v>1876</v>
      </c>
      <c r="E9" s="826" t="s">
        <v>1877</v>
      </c>
      <c r="F9" s="826" t="s">
        <v>1874</v>
      </c>
      <c r="G9" s="828" t="s">
        <v>1635</v>
      </c>
      <c r="H9" s="826"/>
      <c r="I9" s="826"/>
      <c r="J9" s="828" t="s">
        <v>1637</v>
      </c>
      <c r="K9" s="829"/>
    </row>
    <row r="10" spans="1:11" ht="42" customHeight="1">
      <c r="A10" s="824" t="s">
        <v>1878</v>
      </c>
      <c r="B10" s="825" t="s">
        <v>1863</v>
      </c>
      <c r="C10" s="825" t="s">
        <v>1879</v>
      </c>
      <c r="D10" s="826" t="s">
        <v>1880</v>
      </c>
      <c r="E10" s="826" t="s">
        <v>1881</v>
      </c>
      <c r="F10" s="826" t="s">
        <v>1866</v>
      </c>
      <c r="G10" s="828" t="s">
        <v>1635</v>
      </c>
      <c r="H10" s="826"/>
      <c r="I10" s="826"/>
      <c r="J10" s="828" t="s">
        <v>1637</v>
      </c>
      <c r="K10" s="829"/>
    </row>
    <row r="11" spans="1:11" ht="42" customHeight="1">
      <c r="A11" s="824" t="s">
        <v>1882</v>
      </c>
      <c r="B11" s="825" t="s">
        <v>1883</v>
      </c>
      <c r="C11" s="825" t="s">
        <v>487</v>
      </c>
      <c r="D11" s="826" t="s">
        <v>1884</v>
      </c>
      <c r="E11" s="826" t="s">
        <v>1885</v>
      </c>
      <c r="F11" s="826" t="s">
        <v>1866</v>
      </c>
      <c r="G11" s="828" t="s">
        <v>1635</v>
      </c>
      <c r="H11" s="826"/>
      <c r="I11" s="826"/>
      <c r="J11" s="828" t="s">
        <v>1637</v>
      </c>
      <c r="K11" s="829"/>
    </row>
    <row r="12" spans="1:11" ht="42" customHeight="1">
      <c r="A12" s="824" t="s">
        <v>1886</v>
      </c>
      <c r="B12" s="825" t="s">
        <v>1883</v>
      </c>
      <c r="C12" s="825" t="s">
        <v>1887</v>
      </c>
      <c r="D12" s="826" t="s">
        <v>1888</v>
      </c>
      <c r="E12" s="826" t="s">
        <v>1889</v>
      </c>
      <c r="F12" s="826" t="s">
        <v>1866</v>
      </c>
      <c r="G12" s="828" t="s">
        <v>1635</v>
      </c>
      <c r="H12" s="826"/>
      <c r="I12" s="826"/>
      <c r="J12" s="828" t="s">
        <v>1637</v>
      </c>
      <c r="K12" s="829"/>
    </row>
    <row r="13" spans="1:11" ht="42" customHeight="1">
      <c r="A13" s="824" t="s">
        <v>1890</v>
      </c>
      <c r="B13" s="825" t="s">
        <v>1883</v>
      </c>
      <c r="C13" s="825" t="s">
        <v>1891</v>
      </c>
      <c r="D13" s="826" t="s">
        <v>1892</v>
      </c>
      <c r="E13" s="826" t="s">
        <v>1893</v>
      </c>
      <c r="F13" s="826" t="s">
        <v>1866</v>
      </c>
      <c r="G13" s="828" t="s">
        <v>1635</v>
      </c>
      <c r="H13" s="826"/>
      <c r="I13" s="826"/>
      <c r="J13" s="828" t="s">
        <v>1637</v>
      </c>
      <c r="K13" s="829"/>
    </row>
    <row r="14" spans="1:11" ht="42" customHeight="1">
      <c r="A14" s="824" t="s">
        <v>1894</v>
      </c>
      <c r="B14" s="825" t="s">
        <v>1883</v>
      </c>
      <c r="C14" s="825" t="s">
        <v>1895</v>
      </c>
      <c r="D14" s="826" t="s">
        <v>1896</v>
      </c>
      <c r="E14" s="826" t="s">
        <v>1897</v>
      </c>
      <c r="F14" s="826" t="s">
        <v>1866</v>
      </c>
      <c r="G14" s="828" t="s">
        <v>1635</v>
      </c>
      <c r="H14" s="826"/>
      <c r="I14" s="826"/>
      <c r="J14" s="828" t="s">
        <v>1637</v>
      </c>
      <c r="K14" s="829"/>
    </row>
    <row r="15" spans="1:11" ht="42" customHeight="1">
      <c r="A15" s="824" t="s">
        <v>1898</v>
      </c>
      <c r="B15" s="825" t="s">
        <v>1883</v>
      </c>
      <c r="C15" s="825" t="s">
        <v>1899</v>
      </c>
      <c r="D15" s="826" t="s">
        <v>1900</v>
      </c>
      <c r="E15" s="826" t="s">
        <v>1866</v>
      </c>
      <c r="F15" s="826" t="s">
        <v>1866</v>
      </c>
      <c r="G15" s="828" t="s">
        <v>1635</v>
      </c>
      <c r="H15" s="826"/>
      <c r="I15" s="826"/>
      <c r="J15" s="828" t="s">
        <v>1637</v>
      </c>
      <c r="K15" s="829"/>
    </row>
    <row r="16" spans="1:11" ht="42" customHeight="1">
      <c r="A16" s="824" t="s">
        <v>1901</v>
      </c>
      <c r="B16" s="825" t="s">
        <v>1883</v>
      </c>
      <c r="C16" s="825" t="s">
        <v>1902</v>
      </c>
      <c r="D16" s="826" t="s">
        <v>1903</v>
      </c>
      <c r="E16" s="826" t="s">
        <v>1866</v>
      </c>
      <c r="F16" s="826" t="s">
        <v>1866</v>
      </c>
      <c r="G16" s="828" t="s">
        <v>1635</v>
      </c>
      <c r="H16" s="826"/>
      <c r="I16" s="826"/>
      <c r="J16" s="828" t="s">
        <v>1637</v>
      </c>
      <c r="K16" s="829"/>
    </row>
    <row r="17" spans="1:11" ht="42" customHeight="1">
      <c r="A17" s="824" t="s">
        <v>1904</v>
      </c>
      <c r="B17" s="825" t="s">
        <v>1883</v>
      </c>
      <c r="C17" s="825" t="s">
        <v>1905</v>
      </c>
      <c r="D17" s="826" t="s">
        <v>1906</v>
      </c>
      <c r="E17" s="826" t="s">
        <v>1907</v>
      </c>
      <c r="F17" s="826" t="s">
        <v>1866</v>
      </c>
      <c r="G17" s="828" t="s">
        <v>1635</v>
      </c>
      <c r="H17" s="826"/>
      <c r="I17" s="826"/>
      <c r="J17" s="828" t="s">
        <v>1637</v>
      </c>
      <c r="K17" s="829"/>
    </row>
    <row r="18" spans="1:11" ht="42" customHeight="1">
      <c r="A18" s="824" t="s">
        <v>1908</v>
      </c>
      <c r="B18" s="825" t="s">
        <v>1883</v>
      </c>
      <c r="C18" s="825" t="s">
        <v>1909</v>
      </c>
      <c r="D18" s="826" t="s">
        <v>1910</v>
      </c>
      <c r="E18" s="826" t="s">
        <v>1911</v>
      </c>
      <c r="F18" s="826" t="s">
        <v>1866</v>
      </c>
      <c r="G18" s="828" t="s">
        <v>1635</v>
      </c>
      <c r="H18" s="826"/>
      <c r="I18" s="826"/>
      <c r="J18" s="828" t="s">
        <v>1637</v>
      </c>
      <c r="K18" s="829"/>
    </row>
    <row r="19" spans="1:11" ht="42" customHeight="1">
      <c r="A19" s="824" t="s">
        <v>1912</v>
      </c>
      <c r="B19" s="825" t="s">
        <v>1883</v>
      </c>
      <c r="C19" s="825" t="s">
        <v>1913</v>
      </c>
      <c r="D19" s="826" t="s">
        <v>1914</v>
      </c>
      <c r="E19" s="826" t="s">
        <v>1915</v>
      </c>
      <c r="F19" s="826" t="s">
        <v>1866</v>
      </c>
      <c r="G19" s="828" t="s">
        <v>1635</v>
      </c>
      <c r="H19" s="826"/>
      <c r="I19" s="826"/>
      <c r="J19" s="828" t="s">
        <v>1637</v>
      </c>
      <c r="K19" s="829"/>
    </row>
    <row r="20" spans="1:11" ht="42" customHeight="1">
      <c r="A20" s="824" t="s">
        <v>1916</v>
      </c>
      <c r="B20" s="825" t="s">
        <v>1883</v>
      </c>
      <c r="C20" s="825" t="s">
        <v>1917</v>
      </c>
      <c r="D20" s="826" t="s">
        <v>1918</v>
      </c>
      <c r="E20" s="826" t="s">
        <v>1919</v>
      </c>
      <c r="F20" s="826" t="s">
        <v>1866</v>
      </c>
      <c r="G20" s="828" t="s">
        <v>1635</v>
      </c>
      <c r="H20" s="826"/>
      <c r="I20" s="826"/>
      <c r="J20" s="828" t="s">
        <v>1637</v>
      </c>
      <c r="K20" s="829"/>
    </row>
    <row r="21" spans="1:11" ht="42" customHeight="1">
      <c r="A21" s="824" t="s">
        <v>1920</v>
      </c>
      <c r="B21" s="825" t="s">
        <v>1921</v>
      </c>
      <c r="C21" s="825" t="s">
        <v>1895</v>
      </c>
      <c r="D21" s="826" t="s">
        <v>1922</v>
      </c>
      <c r="E21" s="826" t="s">
        <v>1923</v>
      </c>
      <c r="F21" s="826" t="s">
        <v>1866</v>
      </c>
      <c r="G21" s="828" t="s">
        <v>1635</v>
      </c>
      <c r="H21" s="826"/>
      <c r="I21" s="826"/>
      <c r="J21" s="828" t="s">
        <v>1637</v>
      </c>
      <c r="K21" s="829"/>
    </row>
    <row r="22" spans="1:11" ht="42" customHeight="1">
      <c r="A22" s="824" t="s">
        <v>1924</v>
      </c>
      <c r="B22" s="825" t="s">
        <v>1921</v>
      </c>
      <c r="C22" s="825" t="s">
        <v>1925</v>
      </c>
      <c r="D22" s="826" t="s">
        <v>1926</v>
      </c>
      <c r="E22" s="826" t="s">
        <v>1927</v>
      </c>
      <c r="F22" s="826" t="s">
        <v>1866</v>
      </c>
      <c r="G22" s="828" t="s">
        <v>1635</v>
      </c>
      <c r="H22" s="826"/>
      <c r="I22" s="826"/>
      <c r="J22" s="828" t="s">
        <v>1637</v>
      </c>
      <c r="K22" s="829"/>
    </row>
    <row r="23" spans="1:11" ht="42" customHeight="1">
      <c r="A23" s="824" t="s">
        <v>1928</v>
      </c>
      <c r="B23" s="825" t="s">
        <v>1921</v>
      </c>
      <c r="C23" s="825" t="s">
        <v>1929</v>
      </c>
      <c r="D23" s="826" t="s">
        <v>1930</v>
      </c>
      <c r="E23" s="826" t="s">
        <v>1866</v>
      </c>
      <c r="F23" s="826" t="s">
        <v>1866</v>
      </c>
      <c r="G23" s="828" t="s">
        <v>1635</v>
      </c>
      <c r="H23" s="826"/>
      <c r="I23" s="826"/>
      <c r="J23" s="828" t="s">
        <v>1637</v>
      </c>
      <c r="K23" s="829"/>
    </row>
    <row r="24" spans="1:11" ht="42" customHeight="1">
      <c r="A24" s="824" t="s">
        <v>1931</v>
      </c>
      <c r="B24" s="825" t="s">
        <v>1921</v>
      </c>
      <c r="C24" s="825" t="s">
        <v>1932</v>
      </c>
      <c r="D24" s="826" t="s">
        <v>1933</v>
      </c>
      <c r="E24" s="826" t="s">
        <v>1934</v>
      </c>
      <c r="F24" s="826" t="s">
        <v>1866</v>
      </c>
      <c r="G24" s="828" t="s">
        <v>1635</v>
      </c>
      <c r="H24" s="826"/>
      <c r="I24" s="826"/>
      <c r="J24" s="828" t="s">
        <v>1637</v>
      </c>
      <c r="K24" s="829"/>
    </row>
    <row r="25" spans="1:11" ht="42" customHeight="1">
      <c r="A25" s="824" t="s">
        <v>1935</v>
      </c>
      <c r="B25" s="825" t="s">
        <v>1921</v>
      </c>
      <c r="C25" s="825" t="s">
        <v>1717</v>
      </c>
      <c r="D25" s="826" t="s">
        <v>1936</v>
      </c>
      <c r="E25" s="826" t="s">
        <v>1866</v>
      </c>
      <c r="F25" s="826" t="s">
        <v>1866</v>
      </c>
      <c r="G25" s="828" t="s">
        <v>1635</v>
      </c>
      <c r="H25" s="826"/>
      <c r="I25" s="826"/>
      <c r="J25" s="828" t="s">
        <v>1637</v>
      </c>
      <c r="K25" s="829"/>
    </row>
    <row r="26" spans="1:11" ht="42" customHeight="1">
      <c r="A26" s="824" t="s">
        <v>1937</v>
      </c>
      <c r="B26" s="825" t="s">
        <v>1921</v>
      </c>
      <c r="C26" s="825" t="s">
        <v>1899</v>
      </c>
      <c r="D26" s="826" t="s">
        <v>1938</v>
      </c>
      <c r="E26" s="826" t="s">
        <v>1939</v>
      </c>
      <c r="F26" s="826" t="s">
        <v>1866</v>
      </c>
      <c r="G26" s="828" t="s">
        <v>1635</v>
      </c>
      <c r="H26" s="826"/>
      <c r="I26" s="826"/>
      <c r="J26" s="828" t="s">
        <v>1637</v>
      </c>
      <c r="K26" s="829"/>
    </row>
    <row r="27" spans="1:11" ht="42" customHeight="1">
      <c r="A27" s="824" t="s">
        <v>1940</v>
      </c>
      <c r="B27" s="825" t="s">
        <v>1921</v>
      </c>
      <c r="C27" s="825" t="s">
        <v>1941</v>
      </c>
      <c r="D27" s="826" t="s">
        <v>1942</v>
      </c>
      <c r="E27" s="826" t="s">
        <v>1943</v>
      </c>
      <c r="F27" s="826" t="s">
        <v>1866</v>
      </c>
      <c r="G27" s="828" t="s">
        <v>1635</v>
      </c>
      <c r="H27" s="826"/>
      <c r="I27" s="826"/>
      <c r="J27" s="828" t="s">
        <v>1637</v>
      </c>
      <c r="K27" s="829"/>
    </row>
    <row r="28" spans="1:11" ht="39.6">
      <c r="A28" s="824" t="s">
        <v>1944</v>
      </c>
      <c r="B28" s="825" t="s">
        <v>1921</v>
      </c>
      <c r="C28" s="825" t="s">
        <v>1945</v>
      </c>
      <c r="D28" s="826" t="s">
        <v>1946</v>
      </c>
      <c r="E28" s="826" t="s">
        <v>1947</v>
      </c>
      <c r="F28" s="826" t="s">
        <v>1866</v>
      </c>
      <c r="G28" s="828" t="s">
        <v>1635</v>
      </c>
      <c r="H28" s="826"/>
      <c r="I28" s="826"/>
      <c r="J28" s="828" t="s">
        <v>1637</v>
      </c>
      <c r="K28" s="829"/>
    </row>
    <row r="29" spans="1:11" ht="42" customHeight="1">
      <c r="A29" s="824" t="s">
        <v>1948</v>
      </c>
      <c r="B29" s="825" t="s">
        <v>1921</v>
      </c>
      <c r="C29" s="825" t="s">
        <v>1949</v>
      </c>
      <c r="D29" s="826" t="s">
        <v>1950</v>
      </c>
      <c r="E29" s="826" t="s">
        <v>1911</v>
      </c>
      <c r="F29" s="826" t="s">
        <v>1866</v>
      </c>
      <c r="G29" s="828" t="s">
        <v>1635</v>
      </c>
      <c r="H29" s="826"/>
      <c r="I29" s="826"/>
      <c r="J29" s="828" t="s">
        <v>1637</v>
      </c>
      <c r="K29" s="829"/>
    </row>
    <row r="30" spans="1:11" ht="300.60000000000002" customHeight="1">
      <c r="A30" s="824" t="s">
        <v>1951</v>
      </c>
      <c r="B30" s="825" t="s">
        <v>1921</v>
      </c>
      <c r="C30" s="825" t="s">
        <v>1952</v>
      </c>
      <c r="D30" s="826" t="s">
        <v>1953</v>
      </c>
      <c r="E30" s="826" t="s">
        <v>1954</v>
      </c>
      <c r="F30" s="826" t="s">
        <v>1866</v>
      </c>
      <c r="G30" s="828" t="s">
        <v>1635</v>
      </c>
      <c r="H30" s="826"/>
      <c r="I30" s="826"/>
      <c r="J30" s="828" t="s">
        <v>1637</v>
      </c>
      <c r="K30" s="829"/>
    </row>
    <row r="31" spans="1:11" ht="42" customHeight="1">
      <c r="A31" s="824" t="s">
        <v>1955</v>
      </c>
      <c r="B31" s="825" t="s">
        <v>371</v>
      </c>
      <c r="C31" s="825" t="s">
        <v>1879</v>
      </c>
      <c r="D31" s="826" t="s">
        <v>1956</v>
      </c>
      <c r="E31" s="826" t="s">
        <v>1957</v>
      </c>
      <c r="F31" s="826" t="s">
        <v>1866</v>
      </c>
      <c r="G31" s="828" t="s">
        <v>1635</v>
      </c>
      <c r="H31" s="826"/>
      <c r="I31" s="826"/>
      <c r="J31" s="828" t="s">
        <v>1637</v>
      </c>
      <c r="K31" s="829"/>
    </row>
    <row r="32" spans="1:11" ht="42" customHeight="1">
      <c r="A32" s="824" t="s">
        <v>1958</v>
      </c>
      <c r="B32" s="825" t="s">
        <v>371</v>
      </c>
      <c r="C32" s="825" t="s">
        <v>1959</v>
      </c>
      <c r="D32" s="826" t="s">
        <v>1960</v>
      </c>
      <c r="E32" s="826" t="s">
        <v>1957</v>
      </c>
      <c r="F32" s="826" t="s">
        <v>1866</v>
      </c>
      <c r="G32" s="828" t="s">
        <v>1635</v>
      </c>
      <c r="H32" s="826"/>
      <c r="I32" s="826"/>
      <c r="J32" s="828" t="s">
        <v>1637</v>
      </c>
      <c r="K32" s="829"/>
    </row>
    <row r="33" spans="1:11" ht="42" customHeight="1">
      <c r="A33" s="824" t="s">
        <v>1961</v>
      </c>
      <c r="B33" s="825" t="s">
        <v>371</v>
      </c>
      <c r="C33" s="825" t="s">
        <v>1962</v>
      </c>
      <c r="D33" s="826" t="s">
        <v>1963</v>
      </c>
      <c r="E33" s="826" t="s">
        <v>1964</v>
      </c>
      <c r="F33" s="826" t="s">
        <v>1866</v>
      </c>
      <c r="G33" s="828" t="s">
        <v>1635</v>
      </c>
      <c r="H33" s="826"/>
      <c r="I33" s="826"/>
      <c r="J33" s="828" t="s">
        <v>1637</v>
      </c>
      <c r="K33" s="829"/>
    </row>
    <row r="34" spans="1:11" ht="42" customHeight="1">
      <c r="A34" s="824" t="s">
        <v>1965</v>
      </c>
      <c r="B34" s="825" t="s">
        <v>371</v>
      </c>
      <c r="C34" s="825" t="s">
        <v>1725</v>
      </c>
      <c r="D34" s="826" t="s">
        <v>1966</v>
      </c>
      <c r="E34" s="826" t="s">
        <v>1967</v>
      </c>
      <c r="F34" s="826" t="s">
        <v>1866</v>
      </c>
      <c r="G34" s="828" t="s">
        <v>1635</v>
      </c>
      <c r="H34" s="826"/>
      <c r="I34" s="826"/>
      <c r="J34" s="828" t="s">
        <v>1637</v>
      </c>
      <c r="K34" s="829"/>
    </row>
    <row r="35" spans="1:11" ht="42" customHeight="1">
      <c r="A35" s="824" t="s">
        <v>1968</v>
      </c>
      <c r="B35" s="825" t="s">
        <v>371</v>
      </c>
      <c r="C35" s="825" t="s">
        <v>92</v>
      </c>
      <c r="D35" s="826" t="s">
        <v>1969</v>
      </c>
      <c r="E35" s="826" t="s">
        <v>1943</v>
      </c>
      <c r="F35" s="826" t="s">
        <v>1866</v>
      </c>
      <c r="G35" s="828" t="s">
        <v>1635</v>
      </c>
      <c r="H35" s="826"/>
      <c r="I35" s="826"/>
      <c r="J35" s="828" t="s">
        <v>1637</v>
      </c>
      <c r="K35" s="829"/>
    </row>
    <row r="36" spans="1:11" ht="42" customHeight="1">
      <c r="A36" s="824" t="s">
        <v>1970</v>
      </c>
      <c r="B36" s="825" t="s">
        <v>371</v>
      </c>
      <c r="C36" s="825" t="s">
        <v>1971</v>
      </c>
      <c r="D36" s="826" t="s">
        <v>1972</v>
      </c>
      <c r="E36" s="826" t="s">
        <v>1973</v>
      </c>
      <c r="F36" s="826" t="s">
        <v>1866</v>
      </c>
      <c r="G36" s="828" t="s">
        <v>1635</v>
      </c>
      <c r="H36" s="826"/>
      <c r="I36" s="826"/>
      <c r="J36" s="828" t="s">
        <v>1637</v>
      </c>
      <c r="K36" s="829"/>
    </row>
    <row r="37" spans="1:11" ht="42" customHeight="1">
      <c r="A37" s="824" t="s">
        <v>1974</v>
      </c>
      <c r="B37" s="825" t="s">
        <v>371</v>
      </c>
      <c r="C37" s="825" t="s">
        <v>1975</v>
      </c>
      <c r="D37" s="826" t="s">
        <v>1976</v>
      </c>
      <c r="E37" s="826" t="s">
        <v>1881</v>
      </c>
      <c r="F37" s="826" t="s">
        <v>1866</v>
      </c>
      <c r="G37" s="828" t="s">
        <v>1635</v>
      </c>
      <c r="H37" s="826"/>
      <c r="I37" s="826"/>
      <c r="J37" s="828" t="s">
        <v>1637</v>
      </c>
      <c r="K37" s="829"/>
    </row>
    <row r="38" spans="1:11" ht="158.44999999999999">
      <c r="A38" s="824" t="s">
        <v>1977</v>
      </c>
      <c r="B38" s="825" t="s">
        <v>371</v>
      </c>
      <c r="C38" s="825" t="s">
        <v>1978</v>
      </c>
      <c r="D38" s="826" t="s">
        <v>1979</v>
      </c>
      <c r="E38" s="826" t="s">
        <v>1980</v>
      </c>
      <c r="F38" s="826" t="s">
        <v>1866</v>
      </c>
      <c r="G38" s="828" t="s">
        <v>1635</v>
      </c>
      <c r="H38" s="826"/>
      <c r="I38" s="826"/>
      <c r="J38" s="828" t="s">
        <v>1637</v>
      </c>
      <c r="K38" s="829"/>
    </row>
    <row r="39" spans="1:11" ht="42" customHeight="1">
      <c r="A39" s="824" t="s">
        <v>1981</v>
      </c>
      <c r="B39" s="825" t="s">
        <v>371</v>
      </c>
      <c r="C39" s="825" t="s">
        <v>1982</v>
      </c>
      <c r="D39" s="826" t="s">
        <v>1983</v>
      </c>
      <c r="E39" s="826" t="s">
        <v>1984</v>
      </c>
      <c r="F39" s="826" t="s">
        <v>1874</v>
      </c>
      <c r="G39" s="828" t="s">
        <v>1635</v>
      </c>
      <c r="H39" s="826"/>
      <c r="I39" s="826"/>
      <c r="J39" s="828" t="s">
        <v>1637</v>
      </c>
      <c r="K39" s="829"/>
    </row>
    <row r="40" spans="1:11" ht="42" customHeight="1">
      <c r="A40" s="824" t="s">
        <v>1985</v>
      </c>
      <c r="B40" s="825" t="s">
        <v>371</v>
      </c>
      <c r="C40" s="825" t="s">
        <v>1986</v>
      </c>
      <c r="D40" s="826" t="s">
        <v>1987</v>
      </c>
      <c r="E40" s="826" t="s">
        <v>1988</v>
      </c>
      <c r="F40" s="826" t="s">
        <v>1874</v>
      </c>
      <c r="G40" s="828" t="s">
        <v>1635</v>
      </c>
      <c r="H40" s="826"/>
      <c r="I40" s="826"/>
      <c r="J40" s="828" t="s">
        <v>1637</v>
      </c>
      <c r="K40" s="829"/>
    </row>
    <row r="41" spans="1:11" ht="42" customHeight="1">
      <c r="A41" s="824" t="s">
        <v>1989</v>
      </c>
      <c r="B41" s="825" t="s">
        <v>1990</v>
      </c>
      <c r="C41" s="825" t="s">
        <v>1709</v>
      </c>
      <c r="D41" s="826" t="s">
        <v>1991</v>
      </c>
      <c r="E41" s="826" t="s">
        <v>1992</v>
      </c>
      <c r="F41" s="826" t="s">
        <v>1866</v>
      </c>
      <c r="G41" s="828" t="s">
        <v>1635</v>
      </c>
      <c r="H41" s="826"/>
      <c r="I41" s="826"/>
      <c r="J41" s="828" t="s">
        <v>1637</v>
      </c>
      <c r="K41" s="829"/>
    </row>
    <row r="42" spans="1:11" ht="42" customHeight="1">
      <c r="A42" s="824" t="s">
        <v>1993</v>
      </c>
      <c r="B42" s="825" t="s">
        <v>1990</v>
      </c>
      <c r="C42" s="825" t="s">
        <v>1994</v>
      </c>
      <c r="D42" s="826" t="s">
        <v>1995</v>
      </c>
      <c r="E42" s="826" t="s">
        <v>1996</v>
      </c>
      <c r="F42" s="826" t="s">
        <v>1866</v>
      </c>
      <c r="G42" s="828" t="s">
        <v>1635</v>
      </c>
      <c r="H42" s="826"/>
      <c r="I42" s="826"/>
      <c r="J42" s="828" t="s">
        <v>1637</v>
      </c>
      <c r="K42" s="829"/>
    </row>
    <row r="43" spans="1:11" ht="42" customHeight="1">
      <c r="A43" s="824" t="s">
        <v>1997</v>
      </c>
      <c r="B43" s="825" t="s">
        <v>1990</v>
      </c>
      <c r="C43" s="825" t="s">
        <v>83</v>
      </c>
      <c r="D43" s="826" t="s">
        <v>1998</v>
      </c>
      <c r="E43" s="826" t="s">
        <v>1999</v>
      </c>
      <c r="F43" s="826" t="s">
        <v>1866</v>
      </c>
      <c r="G43" s="828" t="s">
        <v>1635</v>
      </c>
      <c r="H43" s="826"/>
      <c r="I43" s="826"/>
      <c r="J43" s="828" t="s">
        <v>1637</v>
      </c>
      <c r="K43" s="829"/>
    </row>
    <row r="44" spans="1:11" ht="42" customHeight="1">
      <c r="A44" s="824" t="s">
        <v>2000</v>
      </c>
      <c r="B44" s="825" t="s">
        <v>1990</v>
      </c>
      <c r="C44" s="825" t="s">
        <v>1705</v>
      </c>
      <c r="D44" s="826" t="s">
        <v>2001</v>
      </c>
      <c r="E44" s="826" t="s">
        <v>1866</v>
      </c>
      <c r="F44" s="826" t="s">
        <v>1866</v>
      </c>
      <c r="G44" s="828" t="s">
        <v>1635</v>
      </c>
      <c r="H44" s="826"/>
      <c r="I44" s="826"/>
      <c r="J44" s="828" t="s">
        <v>1637</v>
      </c>
      <c r="K44" s="829"/>
    </row>
    <row r="45" spans="1:11" ht="42" customHeight="1">
      <c r="A45" s="824" t="s">
        <v>2002</v>
      </c>
      <c r="B45" s="825" t="s">
        <v>1990</v>
      </c>
      <c r="C45" s="825" t="s">
        <v>1713</v>
      </c>
      <c r="D45" s="826" t="s">
        <v>2003</v>
      </c>
      <c r="E45" s="826" t="s">
        <v>1999</v>
      </c>
      <c r="F45" s="826" t="s">
        <v>1866</v>
      </c>
      <c r="G45" s="828" t="s">
        <v>1635</v>
      </c>
      <c r="H45" s="826"/>
      <c r="I45" s="826"/>
      <c r="J45" s="828" t="s">
        <v>1637</v>
      </c>
      <c r="K45" s="829"/>
    </row>
    <row r="46" spans="1:11" ht="42" customHeight="1">
      <c r="A46" s="824" t="s">
        <v>2004</v>
      </c>
      <c r="B46" s="825" t="s">
        <v>1990</v>
      </c>
      <c r="C46" s="825" t="s">
        <v>2005</v>
      </c>
      <c r="D46" s="826" t="s">
        <v>2006</v>
      </c>
      <c r="E46" s="826" t="s">
        <v>2007</v>
      </c>
      <c r="F46" s="826" t="s">
        <v>1866</v>
      </c>
      <c r="G46" s="828" t="s">
        <v>1635</v>
      </c>
      <c r="H46" s="826"/>
      <c r="I46" s="826"/>
      <c r="J46" s="828" t="s">
        <v>1637</v>
      </c>
      <c r="K46" s="829"/>
    </row>
    <row r="47" spans="1:11" ht="42" customHeight="1">
      <c r="A47" s="824" t="s">
        <v>2008</v>
      </c>
      <c r="B47" s="825" t="s">
        <v>1990</v>
      </c>
      <c r="C47" s="825" t="s">
        <v>1824</v>
      </c>
      <c r="D47" s="826" t="s">
        <v>2009</v>
      </c>
      <c r="E47" s="826" t="s">
        <v>2010</v>
      </c>
      <c r="F47" s="826" t="s">
        <v>1866</v>
      </c>
      <c r="G47" s="828" t="s">
        <v>1635</v>
      </c>
      <c r="H47" s="826"/>
      <c r="I47" s="826"/>
      <c r="J47" s="828" t="s">
        <v>1637</v>
      </c>
      <c r="K47" s="829"/>
    </row>
    <row r="48" spans="1:11" ht="42" customHeight="1">
      <c r="A48" s="824" t="s">
        <v>2011</v>
      </c>
      <c r="B48" s="825" t="s">
        <v>1990</v>
      </c>
      <c r="C48" s="825" t="s">
        <v>2012</v>
      </c>
      <c r="D48" s="826" t="s">
        <v>2013</v>
      </c>
      <c r="E48" s="826" t="s">
        <v>1943</v>
      </c>
      <c r="F48" s="826" t="s">
        <v>1866</v>
      </c>
      <c r="G48" s="828" t="s">
        <v>1635</v>
      </c>
      <c r="H48" s="826"/>
      <c r="I48" s="826"/>
      <c r="J48" s="828" t="s">
        <v>1637</v>
      </c>
      <c r="K48" s="829"/>
    </row>
    <row r="49" spans="1:11" ht="42" customHeight="1">
      <c r="A49" s="824" t="s">
        <v>2014</v>
      </c>
      <c r="B49" s="825" t="s">
        <v>1990</v>
      </c>
      <c r="C49" s="825" t="s">
        <v>2015</v>
      </c>
      <c r="D49" s="826" t="s">
        <v>2016</v>
      </c>
      <c r="E49" s="826" t="s">
        <v>2017</v>
      </c>
      <c r="F49" s="826" t="s">
        <v>1866</v>
      </c>
      <c r="G49" s="828" t="s">
        <v>1635</v>
      </c>
      <c r="H49" s="826"/>
      <c r="I49" s="826"/>
      <c r="J49" s="828" t="s">
        <v>1637</v>
      </c>
      <c r="K49" s="829"/>
    </row>
    <row r="50" spans="1:11" ht="42" customHeight="1">
      <c r="A50" s="824" t="s">
        <v>2018</v>
      </c>
      <c r="B50" s="825" t="s">
        <v>1795</v>
      </c>
      <c r="C50" s="825" t="s">
        <v>2019</v>
      </c>
      <c r="D50" s="826" t="s">
        <v>2020</v>
      </c>
      <c r="E50" s="826" t="s">
        <v>1881</v>
      </c>
      <c r="F50" s="826" t="s">
        <v>1874</v>
      </c>
      <c r="G50" s="828" t="s">
        <v>1635</v>
      </c>
      <c r="H50" s="826"/>
      <c r="I50" s="826"/>
      <c r="J50" s="828" t="s">
        <v>1637</v>
      </c>
      <c r="K50" s="829"/>
    </row>
    <row r="51" spans="1:11" ht="42" customHeight="1">
      <c r="A51" s="824" t="s">
        <v>2021</v>
      </c>
      <c r="B51" s="825" t="s">
        <v>1795</v>
      </c>
      <c r="C51" s="825" t="s">
        <v>1895</v>
      </c>
      <c r="D51" s="826" t="s">
        <v>2022</v>
      </c>
      <c r="E51" s="826" t="s">
        <v>2023</v>
      </c>
      <c r="F51" s="826" t="s">
        <v>1874</v>
      </c>
      <c r="G51" s="828" t="s">
        <v>1635</v>
      </c>
      <c r="H51" s="826"/>
      <c r="I51" s="826"/>
      <c r="J51" s="828" t="s">
        <v>1637</v>
      </c>
      <c r="K51" s="829"/>
    </row>
    <row r="52" spans="1:11" ht="42" customHeight="1">
      <c r="A52" s="824" t="s">
        <v>2024</v>
      </c>
      <c r="B52" s="825" t="s">
        <v>1795</v>
      </c>
      <c r="C52" s="825" t="s">
        <v>1725</v>
      </c>
      <c r="D52" s="826" t="s">
        <v>2025</v>
      </c>
      <c r="E52" s="826" t="s">
        <v>2026</v>
      </c>
      <c r="F52" s="826" t="s">
        <v>1874</v>
      </c>
      <c r="G52" s="828" t="s">
        <v>1635</v>
      </c>
      <c r="H52" s="826"/>
      <c r="I52" s="826"/>
      <c r="J52" s="828" t="s">
        <v>1637</v>
      </c>
      <c r="K52" s="829"/>
    </row>
    <row r="53" spans="1:11" ht="42" customHeight="1">
      <c r="A53" s="824" t="s">
        <v>2027</v>
      </c>
      <c r="B53" s="825" t="s">
        <v>1795</v>
      </c>
      <c r="C53" s="825" t="s">
        <v>2028</v>
      </c>
      <c r="D53" s="826" t="s">
        <v>2029</v>
      </c>
      <c r="E53" s="826" t="s">
        <v>2030</v>
      </c>
      <c r="F53" s="826" t="s">
        <v>1874</v>
      </c>
      <c r="G53" s="828" t="s">
        <v>1635</v>
      </c>
      <c r="H53" s="826"/>
      <c r="I53" s="826"/>
      <c r="J53" s="828" t="s">
        <v>1637</v>
      </c>
      <c r="K53" s="829"/>
    </row>
    <row r="54" spans="1:11" ht="42" customHeight="1">
      <c r="A54" s="824" t="s">
        <v>2031</v>
      </c>
      <c r="B54" s="825" t="s">
        <v>1795</v>
      </c>
      <c r="C54" s="825" t="s">
        <v>2032</v>
      </c>
      <c r="D54" s="826" t="s">
        <v>2033</v>
      </c>
      <c r="E54" s="826" t="s">
        <v>1911</v>
      </c>
      <c r="F54" s="826" t="s">
        <v>1874</v>
      </c>
      <c r="G54" s="828" t="s">
        <v>1635</v>
      </c>
      <c r="H54" s="826"/>
      <c r="I54" s="826"/>
      <c r="J54" s="828" t="s">
        <v>1637</v>
      </c>
      <c r="K54" s="829"/>
    </row>
    <row r="55" spans="1:11" ht="42" customHeight="1">
      <c r="A55" s="824" t="s">
        <v>2034</v>
      </c>
      <c r="B55" s="825" t="s">
        <v>1795</v>
      </c>
      <c r="C55" s="825" t="s">
        <v>2035</v>
      </c>
      <c r="D55" s="826" t="s">
        <v>2036</v>
      </c>
      <c r="E55" s="826" t="s">
        <v>2037</v>
      </c>
      <c r="F55" s="826" t="s">
        <v>1874</v>
      </c>
      <c r="G55" s="828" t="s">
        <v>1635</v>
      </c>
      <c r="H55" s="826"/>
      <c r="I55" s="826"/>
      <c r="J55" s="828" t="s">
        <v>1637</v>
      </c>
      <c r="K55" s="829"/>
    </row>
    <row r="56" spans="1:11" ht="42" customHeight="1">
      <c r="A56" s="824" t="s">
        <v>2038</v>
      </c>
      <c r="B56" s="825" t="s">
        <v>1795</v>
      </c>
      <c r="C56" s="825" t="s">
        <v>1821</v>
      </c>
      <c r="D56" s="826" t="s">
        <v>2039</v>
      </c>
      <c r="E56" s="826" t="s">
        <v>2040</v>
      </c>
      <c r="F56" s="826" t="s">
        <v>1874</v>
      </c>
      <c r="G56" s="828" t="s">
        <v>1635</v>
      </c>
      <c r="H56" s="826"/>
      <c r="I56" s="826"/>
      <c r="J56" s="828" t="s">
        <v>1637</v>
      </c>
      <c r="K56" s="829"/>
    </row>
    <row r="57" spans="1:11" ht="42" customHeight="1">
      <c r="A57" s="824" t="s">
        <v>2041</v>
      </c>
      <c r="B57" s="825" t="s">
        <v>2042</v>
      </c>
      <c r="C57" s="825" t="s">
        <v>2043</v>
      </c>
      <c r="D57" s="826" t="s">
        <v>2044</v>
      </c>
      <c r="E57" s="826" t="s">
        <v>2045</v>
      </c>
      <c r="F57" s="826" t="s">
        <v>1874</v>
      </c>
      <c r="G57" s="828" t="s">
        <v>1635</v>
      </c>
      <c r="H57" s="826"/>
      <c r="I57" s="826"/>
      <c r="J57" s="828" t="s">
        <v>1637</v>
      </c>
      <c r="K57" s="829"/>
    </row>
    <row r="58" spans="1:11" ht="42" customHeight="1">
      <c r="A58" s="824" t="s">
        <v>2046</v>
      </c>
      <c r="B58" s="825" t="s">
        <v>2042</v>
      </c>
      <c r="C58" s="825" t="s">
        <v>2047</v>
      </c>
      <c r="D58" s="826" t="s">
        <v>2048</v>
      </c>
      <c r="E58" s="826" t="s">
        <v>2049</v>
      </c>
      <c r="F58" s="826" t="s">
        <v>1874</v>
      </c>
      <c r="G58" s="828" t="s">
        <v>1635</v>
      </c>
      <c r="H58" s="826"/>
      <c r="I58" s="826"/>
      <c r="J58" s="828" t="s">
        <v>1637</v>
      </c>
      <c r="K58" s="829"/>
    </row>
    <row r="59" spans="1:11" ht="42" customHeight="1">
      <c r="A59" s="824" t="s">
        <v>2050</v>
      </c>
      <c r="B59" s="825" t="s">
        <v>2042</v>
      </c>
      <c r="C59" s="825" t="s">
        <v>2051</v>
      </c>
      <c r="D59" s="826" t="s">
        <v>2052</v>
      </c>
      <c r="E59" s="826" t="s">
        <v>2053</v>
      </c>
      <c r="F59" s="826" t="s">
        <v>1874</v>
      </c>
      <c r="G59" s="828" t="s">
        <v>1635</v>
      </c>
      <c r="H59" s="826"/>
      <c r="I59" s="826"/>
      <c r="J59" s="828" t="s">
        <v>1637</v>
      </c>
      <c r="K59" s="829"/>
    </row>
    <row r="60" spans="1:11" ht="42" customHeight="1">
      <c r="A60" s="824" t="s">
        <v>2054</v>
      </c>
      <c r="B60" s="825" t="s">
        <v>2042</v>
      </c>
      <c r="C60" s="825" t="s">
        <v>1841</v>
      </c>
      <c r="D60" s="826" t="s">
        <v>2055</v>
      </c>
      <c r="E60" s="826" t="s">
        <v>2056</v>
      </c>
      <c r="F60" s="826" t="s">
        <v>1874</v>
      </c>
      <c r="G60" s="828" t="s">
        <v>1635</v>
      </c>
      <c r="H60" s="826"/>
      <c r="I60" s="826"/>
      <c r="J60" s="828" t="s">
        <v>1637</v>
      </c>
      <c r="K60" s="829"/>
    </row>
    <row r="61" spans="1:11" ht="92.45">
      <c r="A61" s="824" t="s">
        <v>2057</v>
      </c>
      <c r="B61" s="825" t="s">
        <v>2042</v>
      </c>
      <c r="C61" s="825" t="s">
        <v>2058</v>
      </c>
      <c r="D61" s="826" t="s">
        <v>2059</v>
      </c>
      <c r="E61" s="826" t="s">
        <v>2060</v>
      </c>
      <c r="F61" s="826" t="s">
        <v>1874</v>
      </c>
      <c r="G61" s="828" t="s">
        <v>1635</v>
      </c>
      <c r="H61" s="826"/>
      <c r="I61" s="826"/>
      <c r="J61" s="828" t="s">
        <v>1637</v>
      </c>
      <c r="K61" s="829"/>
    </row>
    <row r="62" spans="1:11" ht="42" customHeight="1">
      <c r="A62" s="830" t="s">
        <v>2061</v>
      </c>
      <c r="B62" s="831" t="s">
        <v>2042</v>
      </c>
      <c r="C62" s="831" t="s">
        <v>2062</v>
      </c>
      <c r="D62" s="832" t="s">
        <v>2063</v>
      </c>
      <c r="E62" s="832" t="s">
        <v>1881</v>
      </c>
      <c r="F62" s="832" t="s">
        <v>1874</v>
      </c>
      <c r="G62" s="833" t="s">
        <v>1635</v>
      </c>
      <c r="H62" s="832"/>
      <c r="I62" s="832"/>
      <c r="J62" s="833" t="s">
        <v>1637</v>
      </c>
      <c r="K62" s="834"/>
    </row>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2" xr:uid="{17842767-C295-48F0-92D7-B361083B4970}">
      <formula1>"現行,将来,現行・将来"</formula1>
    </dataValidation>
    <dataValidation type="list" allowBlank="1" sqref="G6:G62" xr:uid="{9CB9F2E5-5ADE-44D8-801B-1E09AD5BB18A}">
      <formula1>"未回答,確認済み,回答あり・根拠未確認,一部確認,未整備"</formula1>
    </dataValidation>
  </dataValidation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3D24-CE22-47D3-97E4-0C145284D132}">
  <dimension ref="A1:I54"/>
  <sheetViews>
    <sheetView topLeftCell="A23" zoomScale="70" zoomScaleNormal="70" zoomScaleSheetLayoutView="100" workbookViewId="0">
      <selection activeCell="D17" sqref="D17"/>
    </sheetView>
  </sheetViews>
  <sheetFormatPr defaultRowHeight="18"/>
  <cols>
    <col min="1" max="1" width="18.25" customWidth="1"/>
    <col min="2" max="2" width="22" customWidth="1"/>
    <col min="3" max="3" width="28" customWidth="1"/>
    <col min="4" max="6" width="32" customWidth="1"/>
    <col min="7" max="9" width="28" customWidth="1"/>
  </cols>
  <sheetData>
    <row r="1" spans="1:9" ht="32.1" customHeight="1">
      <c r="A1" s="1120" t="s">
        <v>2064</v>
      </c>
      <c r="B1" s="1120"/>
      <c r="C1" s="1120"/>
      <c r="D1" s="1120"/>
      <c r="E1" s="1120"/>
      <c r="F1" s="1120"/>
      <c r="G1" s="1120"/>
      <c r="H1" s="1120"/>
      <c r="I1" s="1120"/>
    </row>
    <row r="2" spans="1:9" ht="27.95" customHeight="1">
      <c r="A2" s="1121" t="s">
        <v>2065</v>
      </c>
      <c r="B2" s="1121"/>
      <c r="C2" s="1121"/>
      <c r="D2" s="1121"/>
      <c r="E2" s="1121"/>
      <c r="F2" s="1121"/>
      <c r="G2" s="1121"/>
      <c r="H2" s="1121"/>
      <c r="I2" s="1121"/>
    </row>
    <row r="3" spans="1:9" ht="27.95" customHeight="1">
      <c r="A3" s="1121"/>
      <c r="B3" s="1121"/>
      <c r="C3" s="1121"/>
      <c r="D3" s="1121"/>
      <c r="E3" s="1121"/>
      <c r="F3" s="1121"/>
      <c r="G3" s="1121"/>
      <c r="H3" s="1121"/>
      <c r="I3" s="1121"/>
    </row>
    <row r="4" spans="1:9">
      <c r="A4" s="835"/>
      <c r="B4" s="835"/>
      <c r="C4" s="835"/>
      <c r="D4" s="835"/>
      <c r="E4" s="835"/>
      <c r="F4" s="835"/>
      <c r="G4" s="835"/>
      <c r="H4" s="835"/>
      <c r="I4" s="835"/>
    </row>
    <row r="5" spans="1:9" ht="24" customHeight="1">
      <c r="A5" s="1107" t="s">
        <v>2066</v>
      </c>
      <c r="B5" s="1107"/>
      <c r="C5" s="1107"/>
      <c r="D5" s="1107"/>
      <c r="E5" s="1107"/>
      <c r="F5" s="1107"/>
      <c r="G5" s="1107"/>
      <c r="H5" s="1107"/>
      <c r="I5" s="1107"/>
    </row>
    <row r="6" spans="1:9" ht="24" customHeight="1">
      <c r="A6" s="836" t="s">
        <v>2067</v>
      </c>
      <c r="B6" s="1122" t="s">
        <v>2068</v>
      </c>
      <c r="C6" s="1122"/>
      <c r="D6" s="1122"/>
      <c r="E6" s="837" t="s">
        <v>2069</v>
      </c>
      <c r="F6" s="1123">
        <v>46237</v>
      </c>
      <c r="G6" s="1122"/>
      <c r="H6" s="837" t="s">
        <v>527</v>
      </c>
      <c r="I6" s="838"/>
    </row>
    <row r="7" spans="1:9" ht="24" customHeight="1">
      <c r="A7" s="835"/>
      <c r="B7" s="835"/>
      <c r="C7" s="835"/>
      <c r="D7" s="835"/>
      <c r="E7" s="835"/>
      <c r="F7" s="835"/>
      <c r="G7" s="835"/>
      <c r="H7" s="835"/>
      <c r="I7" s="835"/>
    </row>
    <row r="8" spans="1:9" ht="24" customHeight="1">
      <c r="A8" s="1107" t="s">
        <v>2070</v>
      </c>
      <c r="B8" s="1107"/>
      <c r="C8" s="1107"/>
      <c r="D8" s="1107"/>
      <c r="E8" s="1107"/>
      <c r="F8" s="1107"/>
      <c r="G8" s="1107"/>
      <c r="H8" s="1107"/>
      <c r="I8" s="1107"/>
    </row>
    <row r="9" spans="1:9" ht="24" customHeight="1">
      <c r="A9" s="1117" t="s">
        <v>2071</v>
      </c>
      <c r="B9" s="1115"/>
      <c r="C9" s="1115"/>
      <c r="D9" s="1115" t="s">
        <v>1622</v>
      </c>
      <c r="E9" s="1115"/>
      <c r="F9" s="1115"/>
      <c r="G9" s="1115" t="s">
        <v>2072</v>
      </c>
      <c r="H9" s="1115"/>
      <c r="I9" s="1116"/>
    </row>
    <row r="10" spans="1:9" ht="24" customHeight="1">
      <c r="A10" s="1103" t="s">
        <v>2073</v>
      </c>
      <c r="B10" s="1104"/>
      <c r="C10" s="1104"/>
      <c r="D10" s="1105" t="s">
        <v>2074</v>
      </c>
      <c r="E10" s="1105"/>
      <c r="F10" s="1105"/>
      <c r="G10" s="1105" t="s">
        <v>2075</v>
      </c>
      <c r="H10" s="1105"/>
      <c r="I10" s="1106"/>
    </row>
    <row r="11" spans="1:9" ht="24" customHeight="1">
      <c r="A11" s="1103" t="s">
        <v>2076</v>
      </c>
      <c r="B11" s="1104"/>
      <c r="C11" s="1104"/>
      <c r="D11" s="1105" t="s">
        <v>2077</v>
      </c>
      <c r="E11" s="1105"/>
      <c r="F11" s="1105"/>
      <c r="G11" s="1105"/>
      <c r="H11" s="1105"/>
      <c r="I11" s="1106"/>
    </row>
    <row r="12" spans="1:9" ht="24" customHeight="1">
      <c r="A12" s="1099" t="s">
        <v>2078</v>
      </c>
      <c r="B12" s="1100"/>
      <c r="C12" s="1100"/>
      <c r="D12" s="1101" t="s">
        <v>372</v>
      </c>
      <c r="E12" s="1101"/>
      <c r="F12" s="1101"/>
      <c r="G12" s="1101"/>
      <c r="H12" s="1101"/>
      <c r="I12" s="1102"/>
    </row>
    <row r="13" spans="1:9" ht="24" customHeight="1">
      <c r="A13" s="835"/>
      <c r="B13" s="835"/>
      <c r="C13" s="835"/>
      <c r="D13" s="835"/>
      <c r="E13" s="835"/>
      <c r="F13" s="835"/>
      <c r="G13" s="835"/>
      <c r="H13" s="835"/>
      <c r="I13" s="835"/>
    </row>
    <row r="14" spans="1:9" ht="24" customHeight="1">
      <c r="A14" s="1107" t="s">
        <v>2079</v>
      </c>
      <c r="B14" s="1107"/>
      <c r="C14" s="1107"/>
      <c r="D14" s="1107"/>
      <c r="E14" s="1107"/>
      <c r="F14" s="1107"/>
      <c r="G14" s="1107"/>
      <c r="H14" s="1107"/>
      <c r="I14" s="1107"/>
    </row>
    <row r="15" spans="1:9" ht="27.95" customHeight="1">
      <c r="A15" s="1114" t="s">
        <v>2080</v>
      </c>
      <c r="B15" s="1114"/>
      <c r="C15" s="1114"/>
      <c r="D15" s="1114"/>
      <c r="E15" s="1114"/>
      <c r="F15" s="1114"/>
      <c r="G15" s="1114"/>
      <c r="H15" s="1114"/>
      <c r="I15" s="1114"/>
    </row>
    <row r="16" spans="1:9" ht="27.95" customHeight="1">
      <c r="A16" s="1114"/>
      <c r="B16" s="1114"/>
      <c r="C16" s="1114"/>
      <c r="D16" s="1114"/>
      <c r="E16" s="1114"/>
      <c r="F16" s="1114"/>
      <c r="G16" s="1114"/>
      <c r="H16" s="1114"/>
      <c r="I16" s="1114"/>
    </row>
    <row r="17" spans="1:9" ht="24" customHeight="1">
      <c r="A17" s="844" t="s">
        <v>2081</v>
      </c>
      <c r="B17" s="845" t="s">
        <v>2082</v>
      </c>
      <c r="C17" s="845" t="s">
        <v>2083</v>
      </c>
      <c r="D17" s="845" t="s">
        <v>2084</v>
      </c>
      <c r="E17" s="845" t="s">
        <v>2085</v>
      </c>
      <c r="F17" s="845" t="s">
        <v>2086</v>
      </c>
      <c r="G17" s="845" t="s">
        <v>2087</v>
      </c>
      <c r="H17" s="845" t="s">
        <v>2088</v>
      </c>
      <c r="I17" s="846" t="s">
        <v>1828</v>
      </c>
    </row>
    <row r="18" spans="1:9" ht="24" customHeight="1">
      <c r="A18" s="847" t="s">
        <v>88</v>
      </c>
      <c r="B18" s="840" t="s">
        <v>2089</v>
      </c>
      <c r="C18" s="840"/>
      <c r="D18" s="840"/>
      <c r="E18" s="840"/>
      <c r="F18" s="840"/>
      <c r="G18" s="840"/>
      <c r="H18" s="840"/>
      <c r="I18" s="841"/>
    </row>
    <row r="19" spans="1:9" ht="24" customHeight="1">
      <c r="A19" s="847" t="s">
        <v>89</v>
      </c>
      <c r="B19" s="840"/>
      <c r="C19" s="840"/>
      <c r="D19" s="840"/>
      <c r="E19" s="840"/>
      <c r="F19" s="840"/>
      <c r="G19" s="840"/>
      <c r="H19" s="840"/>
      <c r="I19" s="841"/>
    </row>
    <row r="20" spans="1:9" ht="24" customHeight="1">
      <c r="A20" s="847" t="s">
        <v>90</v>
      </c>
      <c r="B20" s="840"/>
      <c r="C20" s="840"/>
      <c r="D20" s="840"/>
      <c r="E20" s="840"/>
      <c r="F20" s="840"/>
      <c r="G20" s="840"/>
      <c r="H20" s="840"/>
      <c r="I20" s="841"/>
    </row>
    <row r="21" spans="1:9" ht="24" customHeight="1">
      <c r="A21" s="847" t="s">
        <v>91</v>
      </c>
      <c r="B21" s="840"/>
      <c r="C21" s="840"/>
      <c r="D21" s="840"/>
      <c r="E21" s="840"/>
      <c r="F21" s="840"/>
      <c r="G21" s="840"/>
      <c r="H21" s="840"/>
      <c r="I21" s="841"/>
    </row>
    <row r="22" spans="1:9" ht="24" customHeight="1">
      <c r="A22" s="839"/>
      <c r="B22" s="835"/>
      <c r="C22" s="835"/>
      <c r="D22" s="835"/>
      <c r="E22" s="835"/>
      <c r="F22" s="835"/>
      <c r="G22" s="835"/>
      <c r="H22" s="835"/>
      <c r="I22" s="848"/>
    </row>
    <row r="23" spans="1:9" ht="24" customHeight="1">
      <c r="A23" s="1103" t="s">
        <v>2090</v>
      </c>
      <c r="B23" s="1104"/>
      <c r="C23" s="1104"/>
      <c r="D23" s="1105"/>
      <c r="E23" s="1105"/>
      <c r="F23" s="1105"/>
      <c r="G23" s="1105"/>
      <c r="H23" s="1105"/>
      <c r="I23" s="1106"/>
    </row>
    <row r="24" spans="1:9" ht="24" customHeight="1">
      <c r="A24" s="842"/>
      <c r="B24" s="843"/>
      <c r="C24" s="843"/>
      <c r="D24" s="1101"/>
      <c r="E24" s="1101"/>
      <c r="F24" s="1101"/>
      <c r="G24" s="1101"/>
      <c r="H24" s="1101"/>
      <c r="I24" s="1102"/>
    </row>
    <row r="25" spans="1:9" ht="24" customHeight="1">
      <c r="A25" s="835"/>
      <c r="B25" s="835"/>
      <c r="C25" s="835"/>
      <c r="D25" s="835"/>
      <c r="E25" s="835"/>
      <c r="F25" s="835"/>
      <c r="G25" s="835"/>
      <c r="H25" s="835"/>
      <c r="I25" s="835"/>
    </row>
    <row r="26" spans="1:9" ht="24" customHeight="1">
      <c r="A26" s="1107" t="s">
        <v>2091</v>
      </c>
      <c r="B26" s="1107"/>
      <c r="C26" s="1107"/>
      <c r="D26" s="1107"/>
      <c r="E26" s="1107"/>
      <c r="F26" s="1107"/>
      <c r="G26" s="1107"/>
      <c r="H26" s="1107"/>
      <c r="I26" s="1107"/>
    </row>
    <row r="27" spans="1:9" ht="27.95" customHeight="1">
      <c r="A27" s="1114" t="s">
        <v>2092</v>
      </c>
      <c r="B27" s="1114"/>
      <c r="C27" s="1114"/>
      <c r="D27" s="1114"/>
      <c r="E27" s="1114"/>
      <c r="F27" s="1114"/>
      <c r="G27" s="1114"/>
      <c r="H27" s="1114"/>
      <c r="I27" s="1114"/>
    </row>
    <row r="28" spans="1:9" ht="27.95" customHeight="1">
      <c r="A28" s="1114"/>
      <c r="B28" s="1114"/>
      <c r="C28" s="1114"/>
      <c r="D28" s="1114"/>
      <c r="E28" s="1114"/>
      <c r="F28" s="1114"/>
      <c r="G28" s="1114"/>
      <c r="H28" s="1114"/>
      <c r="I28" s="1114"/>
    </row>
    <row r="29" spans="1:9" ht="24" customHeight="1">
      <c r="A29" s="844" t="s">
        <v>2093</v>
      </c>
      <c r="B29" s="1109" t="s">
        <v>2094</v>
      </c>
      <c r="C29" s="1109"/>
      <c r="D29" s="1109"/>
      <c r="E29" s="1109"/>
      <c r="F29" s="845" t="s">
        <v>2095</v>
      </c>
      <c r="G29" s="1109" t="s">
        <v>2096</v>
      </c>
      <c r="H29" s="1109"/>
      <c r="I29" s="1110"/>
    </row>
    <row r="30" spans="1:9" ht="24" customHeight="1">
      <c r="A30" s="839">
        <v>1</v>
      </c>
      <c r="B30" s="1104" t="s">
        <v>2097</v>
      </c>
      <c r="C30" s="1104"/>
      <c r="D30" s="1104"/>
      <c r="E30" s="1104"/>
      <c r="F30" s="840" t="s">
        <v>2098</v>
      </c>
      <c r="G30" s="1105"/>
      <c r="H30" s="1105"/>
      <c r="I30" s="1106"/>
    </row>
    <row r="31" spans="1:9" ht="24" customHeight="1">
      <c r="A31" s="839">
        <v>2</v>
      </c>
      <c r="B31" s="1104" t="s">
        <v>2099</v>
      </c>
      <c r="C31" s="1104"/>
      <c r="D31" s="1104"/>
      <c r="E31" s="1104"/>
      <c r="F31" s="840" t="s">
        <v>2100</v>
      </c>
      <c r="G31" s="1105" t="s">
        <v>2101</v>
      </c>
      <c r="H31" s="1105"/>
      <c r="I31" s="1106"/>
    </row>
    <row r="32" spans="1:9" ht="24" customHeight="1">
      <c r="A32" s="839">
        <v>3</v>
      </c>
      <c r="B32" s="1104" t="s">
        <v>2102</v>
      </c>
      <c r="C32" s="1104"/>
      <c r="D32" s="1104"/>
      <c r="E32" s="1104"/>
      <c r="F32" s="840" t="s">
        <v>2098</v>
      </c>
      <c r="G32" s="1105"/>
      <c r="H32" s="1105"/>
      <c r="I32" s="1106"/>
    </row>
    <row r="33" spans="1:9" ht="24" customHeight="1">
      <c r="A33" s="839">
        <v>4</v>
      </c>
      <c r="B33" s="1104" t="s">
        <v>2103</v>
      </c>
      <c r="C33" s="1104"/>
      <c r="D33" s="1104"/>
      <c r="E33" s="1104"/>
      <c r="F33" s="840" t="s">
        <v>2098</v>
      </c>
      <c r="G33" s="1105"/>
      <c r="H33" s="1105"/>
      <c r="I33" s="1106"/>
    </row>
    <row r="34" spans="1:9" ht="24" customHeight="1">
      <c r="A34" s="839"/>
      <c r="B34" s="835"/>
      <c r="C34" s="835"/>
      <c r="D34" s="835"/>
      <c r="E34" s="835"/>
      <c r="F34" s="835"/>
      <c r="G34" s="835"/>
      <c r="H34" s="835"/>
      <c r="I34" s="848"/>
    </row>
    <row r="35" spans="1:9" ht="24" customHeight="1">
      <c r="A35" s="1103" t="s">
        <v>2104</v>
      </c>
      <c r="B35" s="1104"/>
      <c r="C35" s="1104"/>
      <c r="D35" s="1105" t="s">
        <v>2105</v>
      </c>
      <c r="E35" s="1105"/>
      <c r="F35" s="1105"/>
      <c r="G35" s="1105"/>
      <c r="H35" s="1105"/>
      <c r="I35" s="1106"/>
    </row>
    <row r="36" spans="1:9" ht="24" customHeight="1">
      <c r="A36" s="842"/>
      <c r="B36" s="843"/>
      <c r="C36" s="843"/>
      <c r="D36" s="1101"/>
      <c r="E36" s="1101"/>
      <c r="F36" s="1101"/>
      <c r="G36" s="1101"/>
      <c r="H36" s="1101"/>
      <c r="I36" s="1102"/>
    </row>
    <row r="37" spans="1:9" ht="24" customHeight="1">
      <c r="A37" s="835"/>
      <c r="B37" s="835"/>
      <c r="C37" s="835"/>
      <c r="D37" s="835"/>
      <c r="E37" s="835"/>
      <c r="F37" s="835"/>
      <c r="G37" s="835"/>
      <c r="H37" s="835"/>
      <c r="I37" s="835"/>
    </row>
    <row r="38" spans="1:9" ht="24" customHeight="1">
      <c r="A38" s="1107" t="s">
        <v>2106</v>
      </c>
      <c r="B38" s="1107"/>
      <c r="C38" s="1107"/>
      <c r="D38" s="1107"/>
      <c r="E38" s="1107"/>
      <c r="F38" s="1107"/>
      <c r="G38" s="1107"/>
      <c r="H38" s="1107"/>
      <c r="I38" s="1107"/>
    </row>
    <row r="39" spans="1:9" ht="59.45" customHeight="1">
      <c r="A39" s="1117" t="s">
        <v>2107</v>
      </c>
      <c r="B39" s="1115"/>
      <c r="C39" s="1115"/>
      <c r="D39" s="1118" t="s">
        <v>2108</v>
      </c>
      <c r="E39" s="1118"/>
      <c r="F39" s="1118"/>
      <c r="G39" s="1118" t="s">
        <v>2109</v>
      </c>
      <c r="H39" s="1118"/>
      <c r="I39" s="1119"/>
    </row>
    <row r="40" spans="1:9" ht="24" customHeight="1">
      <c r="A40" s="1099" t="s">
        <v>2110</v>
      </c>
      <c r="B40" s="1100"/>
      <c r="C40" s="1100"/>
      <c r="D40" s="1101" t="s">
        <v>2111</v>
      </c>
      <c r="E40" s="1101"/>
      <c r="F40" s="1101"/>
      <c r="G40" s="1101" t="s">
        <v>2112</v>
      </c>
      <c r="H40" s="1101"/>
      <c r="I40" s="1102"/>
    </row>
    <row r="41" spans="1:9" ht="24" customHeight="1">
      <c r="A41" s="835"/>
      <c r="B41" s="835"/>
      <c r="C41" s="835"/>
      <c r="D41" s="835"/>
      <c r="E41" s="835"/>
      <c r="F41" s="835"/>
      <c r="G41" s="835"/>
      <c r="H41" s="835"/>
      <c r="I41" s="835"/>
    </row>
    <row r="42" spans="1:9" ht="24" customHeight="1">
      <c r="A42" s="1107" t="s">
        <v>2113</v>
      </c>
      <c r="B42" s="1107"/>
      <c r="C42" s="1107"/>
      <c r="D42" s="1107"/>
      <c r="E42" s="1107"/>
      <c r="F42" s="1107"/>
      <c r="G42" s="1107"/>
      <c r="H42" s="1107"/>
      <c r="I42" s="1107"/>
    </row>
    <row r="43" spans="1:9" ht="32.1" customHeight="1">
      <c r="A43" s="1111" t="s">
        <v>2114</v>
      </c>
      <c r="B43" s="1112"/>
      <c r="C43" s="1112"/>
      <c r="D43" s="1112"/>
      <c r="E43" s="1112"/>
      <c r="F43" s="1112"/>
      <c r="G43" s="1115" t="s">
        <v>1622</v>
      </c>
      <c r="H43" s="1115"/>
      <c r="I43" s="1116"/>
    </row>
    <row r="44" spans="1:9" ht="32.1" customHeight="1">
      <c r="A44" s="1113"/>
      <c r="B44" s="1114"/>
      <c r="C44" s="1114"/>
      <c r="D44" s="1114"/>
      <c r="E44" s="1114"/>
      <c r="F44" s="1114"/>
      <c r="G44" s="1105" t="s">
        <v>2115</v>
      </c>
      <c r="H44" s="1105"/>
      <c r="I44" s="1106"/>
    </row>
    <row r="45" spans="1:9" ht="26.1" customHeight="1">
      <c r="A45" s="1103" t="s">
        <v>2116</v>
      </c>
      <c r="B45" s="1104"/>
      <c r="C45" s="1104"/>
      <c r="D45" s="1105"/>
      <c r="E45" s="1105"/>
      <c r="F45" s="1105"/>
      <c r="G45" s="1105"/>
      <c r="H45" s="1105"/>
      <c r="I45" s="1106"/>
    </row>
    <row r="46" spans="1:9" ht="26.1" customHeight="1">
      <c r="A46" s="839"/>
      <c r="B46" s="835"/>
      <c r="C46" s="835"/>
      <c r="D46" s="1105"/>
      <c r="E46" s="1105"/>
      <c r="F46" s="1105"/>
      <c r="G46" s="1105"/>
      <c r="H46" s="1105"/>
      <c r="I46" s="1106"/>
    </row>
    <row r="47" spans="1:9" ht="26.1" customHeight="1">
      <c r="A47" s="842"/>
      <c r="B47" s="843"/>
      <c r="C47" s="843"/>
      <c r="D47" s="1101"/>
      <c r="E47" s="1101"/>
      <c r="F47" s="1101"/>
      <c r="G47" s="1101"/>
      <c r="H47" s="1101"/>
      <c r="I47" s="1102"/>
    </row>
    <row r="48" spans="1:9" ht="24" customHeight="1">
      <c r="A48" s="835"/>
      <c r="B48" s="835"/>
      <c r="C48" s="835"/>
      <c r="D48" s="835"/>
      <c r="E48" s="835"/>
      <c r="F48" s="835"/>
      <c r="G48" s="835"/>
      <c r="H48" s="835"/>
      <c r="I48" s="835"/>
    </row>
    <row r="49" spans="1:9" ht="24" customHeight="1">
      <c r="A49" s="1107" t="s">
        <v>2117</v>
      </c>
      <c r="B49" s="1107"/>
      <c r="C49" s="1107"/>
      <c r="D49" s="1107"/>
      <c r="E49" s="1107"/>
      <c r="F49" s="1107"/>
      <c r="G49" s="1107"/>
      <c r="H49" s="1107"/>
      <c r="I49" s="1107"/>
    </row>
    <row r="50" spans="1:9" ht="24" customHeight="1">
      <c r="A50" s="1108" t="s">
        <v>2118</v>
      </c>
      <c r="B50" s="1109"/>
      <c r="C50" s="1109"/>
      <c r="D50" s="1109" t="s">
        <v>2095</v>
      </c>
      <c r="E50" s="1109"/>
      <c r="F50" s="1109"/>
      <c r="G50" s="1109" t="s">
        <v>527</v>
      </c>
      <c r="H50" s="1109"/>
      <c r="I50" s="1110"/>
    </row>
    <row r="51" spans="1:9" ht="24" customHeight="1">
      <c r="A51" s="1103" t="s">
        <v>2119</v>
      </c>
      <c r="B51" s="1104"/>
      <c r="C51" s="1104"/>
      <c r="D51" s="1105"/>
      <c r="E51" s="1105"/>
      <c r="F51" s="1105"/>
      <c r="G51" s="1105"/>
      <c r="H51" s="1105"/>
      <c r="I51" s="1106"/>
    </row>
    <row r="52" spans="1:9" ht="24" customHeight="1">
      <c r="A52" s="1103" t="s">
        <v>2120</v>
      </c>
      <c r="B52" s="1104"/>
      <c r="C52" s="1104"/>
      <c r="D52" s="1105"/>
      <c r="E52" s="1105"/>
      <c r="F52" s="1105"/>
      <c r="G52" s="1105"/>
      <c r="H52" s="1105"/>
      <c r="I52" s="1106"/>
    </row>
    <row r="53" spans="1:9" ht="24" customHeight="1">
      <c r="A53" s="1103" t="s">
        <v>2121</v>
      </c>
      <c r="B53" s="1104"/>
      <c r="C53" s="1104"/>
      <c r="D53" s="1105"/>
      <c r="E53" s="1105"/>
      <c r="F53" s="1105"/>
      <c r="G53" s="1105"/>
      <c r="H53" s="1105"/>
      <c r="I53" s="1106"/>
    </row>
    <row r="54" spans="1:9" ht="24" customHeight="1">
      <c r="A54" s="1099" t="s">
        <v>2122</v>
      </c>
      <c r="B54" s="1100"/>
      <c r="C54" s="1100"/>
      <c r="D54" s="1101"/>
      <c r="E54" s="1101"/>
      <c r="F54" s="1101"/>
      <c r="G54" s="1101"/>
      <c r="H54" s="1101"/>
      <c r="I54" s="1102"/>
    </row>
  </sheetData>
  <mergeCells count="65">
    <mergeCell ref="A8:I8"/>
    <mergeCell ref="A1:I1"/>
    <mergeCell ref="A2:I3"/>
    <mergeCell ref="A5:I5"/>
    <mergeCell ref="B6:D6"/>
    <mergeCell ref="F6:G6"/>
    <mergeCell ref="A9:C9"/>
    <mergeCell ref="D9:F9"/>
    <mergeCell ref="G9:I9"/>
    <mergeCell ref="A10:C10"/>
    <mergeCell ref="D10:F10"/>
    <mergeCell ref="G10:I10"/>
    <mergeCell ref="A27:I28"/>
    <mergeCell ref="A11:C11"/>
    <mergeCell ref="D11:F11"/>
    <mergeCell ref="G11:I11"/>
    <mergeCell ref="A12:C12"/>
    <mergeCell ref="D12:F12"/>
    <mergeCell ref="G12:I12"/>
    <mergeCell ref="A14:I14"/>
    <mergeCell ref="A15:I16"/>
    <mergeCell ref="A23:C23"/>
    <mergeCell ref="D23:I24"/>
    <mergeCell ref="A26:I26"/>
    <mergeCell ref="B29:E29"/>
    <mergeCell ref="G29:I29"/>
    <mergeCell ref="B30:E30"/>
    <mergeCell ref="G30:I30"/>
    <mergeCell ref="B31:E31"/>
    <mergeCell ref="G31:I31"/>
    <mergeCell ref="B32:E32"/>
    <mergeCell ref="G32:I32"/>
    <mergeCell ref="B33:E33"/>
    <mergeCell ref="G33:I33"/>
    <mergeCell ref="A35:C35"/>
    <mergeCell ref="D35:I36"/>
    <mergeCell ref="A38:I38"/>
    <mergeCell ref="A39:C39"/>
    <mergeCell ref="D39:F39"/>
    <mergeCell ref="G39:I39"/>
    <mergeCell ref="A40:C40"/>
    <mergeCell ref="D40:F40"/>
    <mergeCell ref="G40:I40"/>
    <mergeCell ref="A42:I42"/>
    <mergeCell ref="A43:F44"/>
    <mergeCell ref="G43:I43"/>
    <mergeCell ref="G44:I44"/>
    <mergeCell ref="A45:C45"/>
    <mergeCell ref="D45:I47"/>
    <mergeCell ref="A49:I49"/>
    <mergeCell ref="A50:C50"/>
    <mergeCell ref="D50:F50"/>
    <mergeCell ref="G50:I50"/>
    <mergeCell ref="A51:C51"/>
    <mergeCell ref="D51:F51"/>
    <mergeCell ref="G51:I51"/>
    <mergeCell ref="A54:C54"/>
    <mergeCell ref="D54:F54"/>
    <mergeCell ref="G54:I54"/>
    <mergeCell ref="A52:C52"/>
    <mergeCell ref="D52:F52"/>
    <mergeCell ref="G52:I52"/>
    <mergeCell ref="A53:C53"/>
    <mergeCell ref="D53:F53"/>
    <mergeCell ref="G53:I53"/>
  </mergeCells>
  <phoneticPr fontId="1"/>
  <dataValidations count="9">
    <dataValidation type="list" sqref="D10:F10" xr:uid="{86903966-C895-4D90-8809-2DC6316D2369}">
      <formula1>"3段階,4段階,5段階,その他"</formula1>
    </dataValidation>
    <dataValidation type="list" sqref="D11:F11" xr:uid="{ECE0006F-3140-4294-BF50-AE3D26EC60AC}">
      <formula1>"レベル1が最も軽微、数字が大きいほど重大,レベル1が最も重大、数字が大きいほど軽微,その他"</formula1>
    </dataValidation>
    <dataValidation type="list" sqref="D12:F12" xr:uid="{D2E660A5-500A-4A45-80CC-5E3DE605C593}">
      <formula1>"あり,なし,確認中"</formula1>
    </dataValidation>
    <dataValidation type="list" sqref="I18:I21" xr:uid="{7ACA2A2A-3710-465E-B829-2F8DCFD2D9EB}">
      <formula1>"あり,なし,条件付き,未決定"</formula1>
    </dataValidation>
    <dataValidation type="list" sqref="F30:F33" xr:uid="{A5787452-346A-4691-BCD7-F81D86B85920}">
      <formula1>"正しい,修正あり"</formula1>
    </dataValidation>
    <dataValidation type="list" sqref="D39:F39" xr:uid="{5135197A-8364-44AA-9A7B-AB59283EBEE2}">
      <formula1>"決まっている,未決定,確認中"</formula1>
    </dataValidation>
    <dataValidation type="list" sqref="D40:F40" xr:uid="{C8697098-D7A0-43CA-B2EE-F53D090F0FFB}">
      <formula1>"問題ない,修正が必要,確認中"</formula1>
    </dataValidation>
    <dataValidation type="list" sqref="G44:I44" xr:uid="{B241A283-1F68-4589-9E67-90867C60EE3C}">
      <formula1>"はい（N/A・別タスクで問題ない）,いいえ（今回の対象に含める）,確認中"</formula1>
    </dataValidation>
    <dataValidation type="list" sqref="D51:F54" xr:uid="{E3E23FB7-672E-48C7-BE20-6DC718A22A02}">
      <formula1>"回答済み,一部回答,未回答"</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7C85-582D-4E7C-94DC-319C2C2815DC}">
  <dimension ref="B3:F22"/>
  <sheetViews>
    <sheetView showGridLines="0" workbookViewId="0">
      <selection activeCell="H31" sqref="H31"/>
    </sheetView>
  </sheetViews>
  <sheetFormatPr defaultColWidth="9.125" defaultRowHeight="18"/>
  <cols>
    <col min="1" max="1" width="9.125" style="800"/>
    <col min="2" max="2" width="10.875" style="800" bestFit="1" customWidth="1"/>
    <col min="3" max="3" width="8.25" style="800" bestFit="1" customWidth="1"/>
    <col min="4" max="4" width="6.125" style="800" bestFit="1" customWidth="1"/>
    <col min="5" max="5" width="34.875" style="800" customWidth="1"/>
    <col min="6" max="6" width="73.125" style="800" customWidth="1"/>
    <col min="7" max="16384" width="9.125" style="800"/>
  </cols>
  <sheetData>
    <row r="3" spans="2:6" ht="22.15">
      <c r="B3" s="799"/>
    </row>
    <row r="4" spans="2:6" ht="17.649999999999999" customHeight="1">
      <c r="B4" s="801" t="s">
        <v>2123</v>
      </c>
      <c r="C4" s="802"/>
      <c r="D4" s="802"/>
      <c r="E4" s="803"/>
      <c r="F4" s="804" t="s">
        <v>2124</v>
      </c>
    </row>
    <row r="5" spans="2:6" ht="19.899999999999999">
      <c r="B5" s="805" t="s">
        <v>2125</v>
      </c>
      <c r="C5" s="805" t="s">
        <v>2126</v>
      </c>
      <c r="D5" s="1139" t="s">
        <v>2127</v>
      </c>
      <c r="E5" s="1140"/>
      <c r="F5" s="806"/>
    </row>
    <row r="6" spans="2:6" ht="19.899999999999999">
      <c r="B6" s="1141" t="s">
        <v>2128</v>
      </c>
      <c r="C6" s="1144" t="s">
        <v>2129</v>
      </c>
      <c r="D6" s="1144" t="s">
        <v>2130</v>
      </c>
      <c r="E6" s="1145" t="s">
        <v>2131</v>
      </c>
      <c r="F6" s="807" t="s">
        <v>2132</v>
      </c>
    </row>
    <row r="7" spans="2:6" ht="19.899999999999999">
      <c r="B7" s="1142"/>
      <c r="C7" s="1129"/>
      <c r="D7" s="1129"/>
      <c r="E7" s="1131"/>
      <c r="F7" s="809" t="s">
        <v>2133</v>
      </c>
    </row>
    <row r="8" spans="2:6" ht="19.899999999999999">
      <c r="B8" s="1142"/>
      <c r="C8" s="1129"/>
      <c r="D8" s="1129"/>
      <c r="E8" s="1131"/>
      <c r="F8" s="809" t="s">
        <v>2134</v>
      </c>
    </row>
    <row r="9" spans="2:6" ht="19.899999999999999">
      <c r="B9" s="1142"/>
      <c r="C9" s="1129"/>
      <c r="D9" s="1129"/>
      <c r="E9" s="1131"/>
      <c r="F9" s="809" t="s">
        <v>2135</v>
      </c>
    </row>
    <row r="10" spans="2:6">
      <c r="B10" s="1142"/>
      <c r="C10" s="1129"/>
      <c r="D10" s="1132" t="s">
        <v>2136</v>
      </c>
      <c r="E10" s="1124" t="s">
        <v>2137</v>
      </c>
      <c r="F10" s="811"/>
    </row>
    <row r="11" spans="2:6">
      <c r="B11" s="1143"/>
      <c r="C11" s="1136"/>
      <c r="D11" s="1136"/>
      <c r="E11" s="1125"/>
      <c r="F11" s="812"/>
    </row>
    <row r="12" spans="2:6" ht="19.899999999999999">
      <c r="B12" s="1126" t="s">
        <v>2138</v>
      </c>
      <c r="C12" s="1128" t="s">
        <v>2139</v>
      </c>
      <c r="D12" s="1128" t="s">
        <v>2130</v>
      </c>
      <c r="E12" s="1130" t="s">
        <v>2140</v>
      </c>
      <c r="F12" s="813" t="s">
        <v>2132</v>
      </c>
    </row>
    <row r="13" spans="2:6" ht="19.899999999999999">
      <c r="B13" s="1127"/>
      <c r="C13" s="1129"/>
      <c r="D13" s="1129"/>
      <c r="E13" s="1131"/>
      <c r="F13" s="809" t="s">
        <v>2141</v>
      </c>
    </row>
    <row r="14" spans="2:6" ht="19.899999999999999">
      <c r="B14" s="1127"/>
      <c r="C14" s="1129"/>
      <c r="D14" s="1129"/>
      <c r="E14" s="1131"/>
      <c r="F14" s="809" t="s">
        <v>2134</v>
      </c>
    </row>
    <row r="15" spans="2:6" ht="19.899999999999999">
      <c r="B15" s="1127"/>
      <c r="C15" s="1129"/>
      <c r="D15" s="1129"/>
      <c r="E15" s="1131"/>
      <c r="F15" s="809" t="s">
        <v>2142</v>
      </c>
    </row>
    <row r="16" spans="2:6" ht="19.899999999999999">
      <c r="B16" s="1127"/>
      <c r="C16" s="1129"/>
      <c r="D16" s="1132" t="s">
        <v>2136</v>
      </c>
      <c r="E16" s="810" t="s">
        <v>2143</v>
      </c>
      <c r="F16" s="811"/>
    </row>
    <row r="17" spans="2:6" ht="19.899999999999999">
      <c r="B17" s="1127"/>
      <c r="C17" s="1129"/>
      <c r="D17" s="1129"/>
      <c r="E17" s="808" t="s">
        <v>2144</v>
      </c>
      <c r="F17" s="811"/>
    </row>
    <row r="18" spans="2:6" ht="19.899999999999999">
      <c r="B18" s="1127"/>
      <c r="C18" s="1129"/>
      <c r="D18" s="1129"/>
      <c r="E18" s="808" t="s">
        <v>2145</v>
      </c>
      <c r="F18" s="811"/>
    </row>
    <row r="19" spans="2:6" ht="19.899999999999999">
      <c r="B19" s="1133" t="s">
        <v>2146</v>
      </c>
      <c r="C19" s="1128" t="s">
        <v>2147</v>
      </c>
      <c r="D19" s="1128" t="s">
        <v>2130</v>
      </c>
      <c r="E19" s="1130" t="s">
        <v>2148</v>
      </c>
      <c r="F19" s="813" t="s">
        <v>2149</v>
      </c>
    </row>
    <row r="20" spans="2:6" ht="19.899999999999999">
      <c r="B20" s="1134"/>
      <c r="C20" s="1129"/>
      <c r="D20" s="1137"/>
      <c r="E20" s="1138"/>
      <c r="F20" s="809" t="s">
        <v>2150</v>
      </c>
    </row>
    <row r="21" spans="2:6">
      <c r="B21" s="1134"/>
      <c r="C21" s="1129"/>
      <c r="D21" s="1132" t="s">
        <v>2136</v>
      </c>
      <c r="E21" s="1124" t="s">
        <v>2151</v>
      </c>
      <c r="F21" s="814"/>
    </row>
    <row r="22" spans="2:6">
      <c r="B22" s="1135"/>
      <c r="C22" s="1136"/>
      <c r="D22" s="1136"/>
      <c r="E22" s="1125"/>
      <c r="F22" s="815"/>
    </row>
  </sheetData>
  <mergeCells count="18">
    <mergeCell ref="D5:E5"/>
    <mergeCell ref="B6:B11"/>
    <mergeCell ref="C6:C11"/>
    <mergeCell ref="D6:D9"/>
    <mergeCell ref="E6:E9"/>
    <mergeCell ref="D10:D11"/>
    <mergeCell ref="E10:E11"/>
    <mergeCell ref="E21:E22"/>
    <mergeCell ref="B12:B18"/>
    <mergeCell ref="C12:C18"/>
    <mergeCell ref="D12:D15"/>
    <mergeCell ref="E12:E15"/>
    <mergeCell ref="D16:D18"/>
    <mergeCell ref="B19:B22"/>
    <mergeCell ref="C19:C22"/>
    <mergeCell ref="D19:D20"/>
    <mergeCell ref="E19:E20"/>
    <mergeCell ref="D21:D22"/>
  </mergeCells>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0E80F-9D73-436B-A06F-9A15A4CCB22F}">
  <dimension ref="B3:F26"/>
  <sheetViews>
    <sheetView showGridLines="0" topLeftCell="A9" workbookViewId="0">
      <selection activeCell="A10" sqref="A10"/>
    </sheetView>
  </sheetViews>
  <sheetFormatPr defaultColWidth="9.125" defaultRowHeight="18"/>
  <cols>
    <col min="1" max="1" width="9.125" style="800"/>
    <col min="2" max="2" width="10.875" style="800" bestFit="1" customWidth="1"/>
    <col min="3" max="3" width="8.25" style="800" bestFit="1" customWidth="1"/>
    <col min="4" max="4" width="6.125" style="800" bestFit="1" customWidth="1"/>
    <col min="5" max="5" width="34.875" style="800" customWidth="1"/>
    <col min="6" max="6" width="73.125" style="800" customWidth="1"/>
    <col min="7" max="16384" width="9.125" style="800"/>
  </cols>
  <sheetData>
    <row r="3" spans="2:6" ht="22.15">
      <c r="B3" s="799"/>
    </row>
    <row r="4" spans="2:6" ht="17.649999999999999" customHeight="1">
      <c r="B4" s="801" t="s">
        <v>2123</v>
      </c>
      <c r="C4" s="802"/>
      <c r="D4" s="802"/>
      <c r="E4" s="803"/>
      <c r="F4" s="804" t="s">
        <v>2124</v>
      </c>
    </row>
    <row r="5" spans="2:6" ht="19.899999999999999">
      <c r="B5" s="805" t="s">
        <v>2125</v>
      </c>
      <c r="C5" s="805" t="s">
        <v>2126</v>
      </c>
      <c r="D5" s="1139" t="s">
        <v>2127</v>
      </c>
      <c r="E5" s="1140"/>
      <c r="F5" s="806"/>
    </row>
    <row r="6" spans="2:6" ht="19.899999999999999">
      <c r="B6" s="1141" t="s">
        <v>2128</v>
      </c>
      <c r="C6" s="1144" t="s">
        <v>2129</v>
      </c>
      <c r="D6" s="1144" t="s">
        <v>2130</v>
      </c>
      <c r="E6" s="1151" t="s">
        <v>2152</v>
      </c>
      <c r="F6" s="807" t="s">
        <v>2153</v>
      </c>
    </row>
    <row r="7" spans="2:6" ht="39.6">
      <c r="B7" s="1142"/>
      <c r="C7" s="1129"/>
      <c r="D7" s="1129"/>
      <c r="E7" s="1149"/>
      <c r="F7" s="809" t="s">
        <v>2154</v>
      </c>
    </row>
    <row r="8" spans="2:6" ht="39.6">
      <c r="B8" s="1142"/>
      <c r="C8" s="1129"/>
      <c r="D8" s="1129"/>
      <c r="E8" s="1149"/>
      <c r="F8" s="809" t="s">
        <v>2155</v>
      </c>
    </row>
    <row r="9" spans="2:6" ht="39.6">
      <c r="B9" s="1142"/>
      <c r="C9" s="1129"/>
      <c r="D9" s="1129"/>
      <c r="E9" s="1149"/>
      <c r="F9" s="809" t="s">
        <v>2156</v>
      </c>
    </row>
    <row r="10" spans="2:6">
      <c r="B10" s="1142"/>
      <c r="C10" s="1129"/>
      <c r="D10" s="1132" t="s">
        <v>2136</v>
      </c>
      <c r="E10" s="1152" t="s">
        <v>2157</v>
      </c>
      <c r="F10" s="854" t="s">
        <v>2158</v>
      </c>
    </row>
    <row r="11" spans="2:6">
      <c r="B11" s="1143"/>
      <c r="C11" s="1136"/>
      <c r="D11" s="1136"/>
      <c r="E11" s="1153"/>
      <c r="F11" s="812"/>
    </row>
    <row r="12" spans="2:6" ht="19.899999999999999">
      <c r="B12" s="1126" t="s">
        <v>2138</v>
      </c>
      <c r="C12" s="1128" t="s">
        <v>2139</v>
      </c>
      <c r="D12" s="1128" t="s">
        <v>2130</v>
      </c>
      <c r="E12" s="1148" t="s">
        <v>2159</v>
      </c>
      <c r="F12" s="813" t="s">
        <v>2160</v>
      </c>
    </row>
    <row r="13" spans="2:6" ht="19.899999999999999">
      <c r="B13" s="1127"/>
      <c r="C13" s="1129"/>
      <c r="D13" s="1129"/>
      <c r="E13" s="1149"/>
      <c r="F13" s="809" t="s">
        <v>2161</v>
      </c>
    </row>
    <row r="14" spans="2:6" ht="39.6">
      <c r="B14" s="1127"/>
      <c r="C14" s="1129"/>
      <c r="D14" s="1129"/>
      <c r="E14" s="1149"/>
      <c r="F14" s="809" t="s">
        <v>2162</v>
      </c>
    </row>
    <row r="15" spans="2:6" ht="19.899999999999999">
      <c r="B15" s="1127"/>
      <c r="C15" s="1129"/>
      <c r="D15" s="1129"/>
      <c r="E15" s="1149"/>
      <c r="F15" s="809" t="s">
        <v>2163</v>
      </c>
    </row>
    <row r="16" spans="2:6">
      <c r="B16" s="1127"/>
      <c r="C16" s="1129"/>
      <c r="D16" s="1132" t="s">
        <v>2136</v>
      </c>
      <c r="E16" s="853" t="s">
        <v>2164</v>
      </c>
      <c r="F16" s="854" t="s">
        <v>2165</v>
      </c>
    </row>
    <row r="17" spans="2:6">
      <c r="B17" s="1127"/>
      <c r="C17" s="1129"/>
      <c r="D17" s="1129"/>
      <c r="E17" s="852" t="s">
        <v>2166</v>
      </c>
      <c r="F17" s="811"/>
    </row>
    <row r="18" spans="2:6" ht="48.6">
      <c r="B18" s="1127"/>
      <c r="C18" s="1129"/>
      <c r="D18" s="1129"/>
      <c r="E18" s="852" t="s">
        <v>2167</v>
      </c>
      <c r="F18" s="811"/>
    </row>
    <row r="19" spans="2:6" ht="19.899999999999999">
      <c r="B19" s="1133" t="s">
        <v>2146</v>
      </c>
      <c r="C19" s="1128" t="s">
        <v>2147</v>
      </c>
      <c r="D19" s="1128" t="s">
        <v>2130</v>
      </c>
      <c r="E19" s="1148" t="s">
        <v>2168</v>
      </c>
      <c r="F19" s="813" t="s">
        <v>2169</v>
      </c>
    </row>
    <row r="20" spans="2:6" ht="39.6">
      <c r="B20" s="1134"/>
      <c r="C20" s="1129"/>
      <c r="D20" s="1137"/>
      <c r="E20" s="1150"/>
      <c r="F20" s="809" t="s">
        <v>2170</v>
      </c>
    </row>
    <row r="21" spans="2:6">
      <c r="B21" s="1134"/>
      <c r="C21" s="1129"/>
      <c r="D21" s="1132" t="s">
        <v>2136</v>
      </c>
      <c r="E21" s="1146" t="s">
        <v>2171</v>
      </c>
      <c r="F21" s="814" t="s">
        <v>2172</v>
      </c>
    </row>
    <row r="22" spans="2:6">
      <c r="B22" s="1135"/>
      <c r="C22" s="1136"/>
      <c r="D22" s="1136"/>
      <c r="E22" s="1147"/>
      <c r="F22" s="815"/>
    </row>
    <row r="24" spans="2:6">
      <c r="B24" s="800" t="s">
        <v>2173</v>
      </c>
    </row>
    <row r="25" spans="2:6">
      <c r="B25" s="800" t="s">
        <v>2174</v>
      </c>
    </row>
    <row r="26" spans="2:6">
      <c r="B26" s="800" t="s">
        <v>2175</v>
      </c>
    </row>
  </sheetData>
  <mergeCells count="18">
    <mergeCell ref="D5:E5"/>
    <mergeCell ref="B6:B11"/>
    <mergeCell ref="C6:C11"/>
    <mergeCell ref="D6:D9"/>
    <mergeCell ref="E6:E9"/>
    <mergeCell ref="D10:D11"/>
    <mergeCell ref="E10:E11"/>
    <mergeCell ref="E21:E22"/>
    <mergeCell ref="B12:B18"/>
    <mergeCell ref="C12:C18"/>
    <mergeCell ref="D12:D15"/>
    <mergeCell ref="E12:E15"/>
    <mergeCell ref="D16:D18"/>
    <mergeCell ref="B19:B22"/>
    <mergeCell ref="C19:C22"/>
    <mergeCell ref="D19:D20"/>
    <mergeCell ref="E19:E20"/>
    <mergeCell ref="D21:D22"/>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4EA39D-5BC0-4F41-8BC9-8A2AB0C26A64}"/>
</file>

<file path=customXml/itemProps2.xml><?xml version="1.0" encoding="utf-8"?>
<ds:datastoreItem xmlns:ds="http://schemas.openxmlformats.org/officeDocument/2006/customXml" ds:itemID="{F81AF8E2-F949-4B86-8D0B-AB9CC58F32E8}"/>
</file>

<file path=customXml/itemProps3.xml><?xml version="1.0" encoding="utf-8"?>
<ds:datastoreItem xmlns:ds="http://schemas.openxmlformats.org/officeDocument/2006/customXml" ds:itemID="{04992208-7E6D-4F74-ABE5-73DC82537B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2026-06-18T23:35:18Z</dcterms:created>
  <dcterms:modified xsi:type="dcterms:W3CDTF">2026-08-20T05:19:34Z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