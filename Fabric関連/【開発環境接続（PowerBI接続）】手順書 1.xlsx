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00496_990552\Downloads\新しいフォルダー\"/>
    </mc:Choice>
  </mc:AlternateContent>
  <xr:revisionPtr revIDLastSave="0" documentId="13_ncr:1_{9A765C3A-E654-436C-AD3B-1EF373569118}" xr6:coauthVersionLast="47" xr6:coauthVersionMax="47" xr10:uidLastSave="{00000000-0000-0000-0000-000000000000}"/>
  <bookViews>
    <workbookView xWindow="-110" yWindow="-110" windowWidth="19420" windowHeight="10300" xr2:uid="{00000000-000D-0000-FFFF-FFFF00000000}"/>
  </bookViews>
  <sheets>
    <sheet name="表紙 " sheetId="15" r:id="rId1"/>
    <sheet name="変更履歴" sheetId="12" state="hidden" r:id="rId2"/>
    <sheet name="00_リスト" sheetId="16" state="hidden" r:id="rId3"/>
    <sheet name="01_【開発環境接続（PowerBI接続）】フロー" sheetId="9" state="hidden" r:id="rId4"/>
    <sheet name="02_手順" sheetId="4" r:id="rId5"/>
    <sheet name="03_別紙_セキュリティキー" sheetId="14" state="hidden" r:id="rId6"/>
  </sheets>
  <definedNames>
    <definedName name="_xlnm.Print_Area" localSheetId="0">'表紙 '!$A$1:$S$36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a="1"/>
  <c r="A3" i="9" s="1"/>
  <c r="D21" i="15" s="1"/>
  <c r="A3" i="4" a="1"/>
  <c r="A3" i="4" s="1"/>
  <c r="D22" i="15" s="1"/>
  <c r="O6" i="15" a="1"/>
  <c r="O6" i="15" s="1"/>
  <c r="O5" i="15" a="1"/>
  <c r="O5" i="15" s="1"/>
  <c r="O4" i="15" a="1"/>
  <c r="O4" i="15" s="1"/>
  <c r="O3" i="15"/>
  <c r="O2" i="15"/>
  <c r="C34" i="15"/>
  <c r="C33" i="15"/>
  <c r="C32" i="15"/>
  <c r="C31" i="15"/>
  <c r="C30" i="15"/>
  <c r="C29" i="15"/>
  <c r="C28" i="15"/>
  <c r="C27" i="15"/>
  <c r="C26" i="15"/>
  <c r="C25" i="15"/>
  <c r="C24" i="15"/>
  <c r="C23" i="15"/>
  <c r="A3" i="14" a="1"/>
  <c r="A3"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<sst xmlns="http://schemas.openxmlformats.org/spreadsheetml/2006/main" count="125" uniqueCount="108">
  <si>
    <t>作成日</t>
    <rPh sb="0" eb="3">
      <t>サクセイビ</t>
    </rPh>
    <phoneticPr fontId="21"/>
  </si>
  <si>
    <t>作成者</t>
    <rPh sb="0" eb="3">
      <t>サクセイシャ</t>
    </rPh>
    <phoneticPr fontId="21"/>
  </si>
  <si>
    <t>最新更新日</t>
    <rPh sb="0" eb="2">
      <t>サイシン</t>
    </rPh>
    <rPh sb="2" eb="5">
      <t>コウシンビ</t>
    </rPh>
    <phoneticPr fontId="21"/>
  </si>
  <si>
    <t>最新更新者</t>
    <rPh sb="0" eb="2">
      <t>サイシン</t>
    </rPh>
    <rPh sb="2" eb="5">
      <t>コウシンシャ</t>
    </rPh>
    <phoneticPr fontId="21"/>
  </si>
  <si>
    <t>最新Ver.</t>
    <rPh sb="0" eb="2">
      <t>サイシン</t>
    </rPh>
    <phoneticPr fontId="1"/>
  </si>
  <si>
    <t>PowerBI接続手順</t>
    <phoneticPr fontId="21"/>
  </si>
  <si>
    <t>Index</t>
    <phoneticPr fontId="21"/>
  </si>
  <si>
    <t>＜ 変更履歴 ＞</t>
    <phoneticPr fontId="21"/>
  </si>
  <si>
    <t>バージョン</t>
    <phoneticPr fontId="1"/>
  </si>
  <si>
    <t>変更日</t>
  </si>
  <si>
    <t>変更者</t>
    <rPh sb="0" eb="2">
      <t>ヘンコウ</t>
    </rPh>
    <phoneticPr fontId="21"/>
  </si>
  <si>
    <t>変更シート</t>
    <rPh sb="0" eb="2">
      <t>ヘンコウ</t>
    </rPh>
    <phoneticPr fontId="21"/>
  </si>
  <si>
    <t>変更内容</t>
    <rPh sb="0" eb="2">
      <t>ヘンコウ</t>
    </rPh>
    <rPh sb="2" eb="4">
      <t>ナイヨウ</t>
    </rPh>
    <phoneticPr fontId="21"/>
  </si>
  <si>
    <t>備考</t>
    <phoneticPr fontId="21"/>
  </si>
  <si>
    <t>Ver1.0</t>
  </si>
  <si>
    <t>郭　天心</t>
    <rPh sb="0" eb="1">
      <t>カク</t>
    </rPh>
    <rPh sb="2" eb="4">
      <t>テンシン</t>
    </rPh>
    <phoneticPr fontId="1"/>
  </si>
  <si>
    <t>01_フロー</t>
  </si>
  <si>
    <t>新規</t>
    <rPh sb="0" eb="2">
      <t>シンキ</t>
    </rPh>
    <phoneticPr fontId="1"/>
  </si>
  <si>
    <t>02_手順</t>
  </si>
  <si>
    <t>Ver2.0</t>
    <phoneticPr fontId="1"/>
  </si>
  <si>
    <t>対応フローの改修</t>
    <rPh sb="6" eb="8">
      <t>カイシュウ</t>
    </rPh>
    <phoneticPr fontId="1"/>
  </si>
  <si>
    <t>詳細手順の改修</t>
    <rPh sb="0" eb="2">
      <t>ショウサイ</t>
    </rPh>
    <rPh sb="2" eb="4">
      <t>テジュン</t>
    </rPh>
    <rPh sb="5" eb="7">
      <t>カイシュウ</t>
    </rPh>
    <phoneticPr fontId="1"/>
  </si>
  <si>
    <t>対象／実施者ロール／承認要否／監査ログ</t>
    <phoneticPr fontId="1"/>
  </si>
  <si>
    <t>有無</t>
    <rPh sb="0" eb="2">
      <t>ウム</t>
    </rPh>
    <phoneticPr fontId="1"/>
  </si>
  <si>
    <t>備考</t>
    <rPh sb="0" eb="2">
      <t>ビコウ</t>
    </rPh>
    <phoneticPr fontId="1"/>
  </si>
  <si>
    <t>実施対象者(役割)</t>
    <rPh sb="0" eb="2">
      <t>ジッシ</t>
    </rPh>
    <rPh sb="2" eb="4">
      <t>タイショウ</t>
    </rPh>
    <rPh sb="4" eb="5">
      <t>シャ</t>
    </rPh>
    <rPh sb="6" eb="8">
      <t>ヤクワリ</t>
    </rPh>
    <phoneticPr fontId="1"/>
  </si>
  <si>
    <t>Power BI 作成者</t>
    <rPh sb="9" eb="11">
      <t>サクセイ</t>
    </rPh>
    <phoneticPr fontId="1"/>
  </si>
  <si>
    <t>申請・承認必要有無</t>
    <rPh sb="3" eb="5">
      <t>ショウニン</t>
    </rPh>
    <phoneticPr fontId="1"/>
  </si>
  <si>
    <t>無</t>
  </si>
  <si>
    <t>個人ローカル環境での接続設定作業であり、共有リソースへの影響がないため</t>
    <phoneticPr fontId="1"/>
  </si>
  <si>
    <t>作業ログ・証跡有無</t>
  </si>
  <si>
    <t>Power BI Desktop 上のローカル作業のため、操作ログ・証跡は取得されない</t>
    <phoneticPr fontId="1"/>
  </si>
  <si>
    <t>失敗・誤設定時の影響範囲</t>
  </si>
  <si>
    <t>作業者本人のレポート更新やデータ取得が失敗する可能性があるが、他ユーザーや共有データへの影響はない</t>
    <phoneticPr fontId="1"/>
  </si>
  <si>
    <t>ロールバック方法</t>
    <rPh sb="6" eb="8">
      <t>ホウホウ</t>
    </rPh>
    <phoneticPr fontId="1"/>
  </si>
  <si>
    <t>接続設定変更前の情報を控え、問題発生時は元の接続設定に戻す</t>
    <phoneticPr fontId="1"/>
  </si>
  <si>
    <t>前提</t>
    <rPh sb="0" eb="2">
      <t>ゼンテイ</t>
    </rPh>
    <phoneticPr fontId="6"/>
  </si>
  <si>
    <t>開発環境への接続に使用するアカウント情報が準備されていること。</t>
    <phoneticPr fontId="1"/>
  </si>
  <si>
    <t>Power BI Desktop がインストール済みで、開発用レポートの編集・発行権限を有していること。</t>
    <phoneticPr fontId="1"/>
  </si>
  <si>
    <t>この手順書の前に VWH への接続が完了していること（詳細は【VWH切替設定 手順書.xlsx】を参照）</t>
    <rPh sb="2" eb="4">
      <t>テジュン</t>
    </rPh>
    <rPh sb="4" eb="5">
      <t>ショ</t>
    </rPh>
    <rPh sb="6" eb="7">
      <t>マエ</t>
    </rPh>
    <phoneticPr fontId="1"/>
  </si>
  <si>
    <t>※URL：</t>
    <phoneticPr fontId="1"/>
  </si>
  <si>
    <t>https://tatgroup.sharepoint.com/:x:/s/TEC_254/IQCrU2uSmULPTI6HJEFBwZT3AasqYDoUqxCXPkKvcmzfgLc?e=Ose9Kr</t>
  </si>
  <si>
    <t>対応フロー</t>
    <rPh sb="0" eb="2">
      <t>タイオウ</t>
    </rPh>
    <phoneticPr fontId="6"/>
  </si>
  <si>
    <t>フロー</t>
    <phoneticPr fontId="6"/>
  </si>
  <si>
    <t>Power BI Desktop がインストール済みで、開発用レポートの編集・発行権限を有していること。</t>
  </si>
  <si>
    <t>この手順書の前に VWH への接続が完了していること（詳細は【VWH切替設定 手順書.xlsx】を参照）</t>
  </si>
  <si>
    <t>手順一覧</t>
    <rPh sb="0" eb="4">
      <t>テジュンイチラン</t>
    </rPh>
    <phoneticPr fontId="6"/>
  </si>
  <si>
    <t>No</t>
    <phoneticPr fontId="6"/>
  </si>
  <si>
    <t>手順</t>
    <rPh sb="0" eb="2">
      <t>テジュン</t>
    </rPh>
    <phoneticPr fontId="6"/>
  </si>
  <si>
    <t>概要</t>
    <rPh sb="0" eb="2">
      <t>ガイヨウ</t>
    </rPh>
    <phoneticPr fontId="6"/>
  </si>
  <si>
    <t>1</t>
  </si>
  <si>
    <t>開発環境接続</t>
    <rPh sb="0" eb="2">
      <t>カイハツ</t>
    </rPh>
    <rPh sb="2" eb="4">
      <t>カンキョウ</t>
    </rPh>
    <rPh sb="4" eb="6">
      <t>セツゾク</t>
    </rPh>
    <phoneticPr fontId="1"/>
  </si>
  <si>
    <t>Power BI からデータベースに接続して開発を行うための手順を示します。</t>
  </si>
  <si>
    <t>詳細手順</t>
    <rPh sb="0" eb="2">
      <t>ショウサイ</t>
    </rPh>
    <rPh sb="2" eb="4">
      <t>テジュン</t>
    </rPh>
    <phoneticPr fontId="6"/>
  </si>
  <si>
    <t>1) 開発環境接続</t>
  </si>
  <si>
    <t>詳細</t>
    <rPh sb="0" eb="2">
      <t>ショウサイ</t>
    </rPh>
    <phoneticPr fontId="6"/>
  </si>
  <si>
    <t>証跡</t>
  </si>
  <si>
    <t>・ 接続用スクリプトをダウンロードします。</t>
    <phoneticPr fontId="1"/>
  </si>
  <si>
    <t>以下の URL にアクセスし、接続先の環境に応じたスクリプトを選択してください。</t>
  </si>
  <si>
    <t>環境は 開発（dev）／検証（ve）／本番（pr） の 3 種類に分かれています。</t>
  </si>
  <si>
    <t>TEC_U-SLIM（基盤検証） - ドキュメント - script - すべてのドキュメント</t>
  </si>
  <si>
    <t>※上記の URL からバッチファイルを直接ダウンロードできます。</t>
    <rPh sb="1" eb="3">
      <t>ジョウキ</t>
    </rPh>
    <phoneticPr fontId="1"/>
  </si>
  <si>
    <t>ダウンロードできない場合は管理者に連絡してください</t>
    <rPh sb="13" eb="16">
      <t>カンリシャ</t>
    </rPh>
    <phoneticPr fontId="1"/>
  </si>
  <si>
    <t>・各環境の手順内容はほぼ同一のため、</t>
    <phoneticPr fontId="1"/>
  </si>
  <si>
    <t>　本手順では本番環境（pr）を例に説明します。</t>
    <phoneticPr fontId="1"/>
  </si>
  <si>
    <t>・ダウンロードしたフォルダーで、batファイルを実行:</t>
    <phoneticPr fontId="1"/>
  </si>
  <si>
    <r>
      <t>ファイル: ​</t>
    </r>
    <r>
      <rPr>
        <b/>
        <sz val="10"/>
        <color rgb="FF000000"/>
        <rFont val="Meiryo UI"/>
        <family val="3"/>
        <charset val="128"/>
      </rPr>
      <t>bastion-pr-vwh-default.bat</t>
    </r>
    <phoneticPr fontId="1"/>
  </si>
  <si>
    <t>・Power BI で以下の手順を実行します</t>
    <phoneticPr fontId="1"/>
  </si>
  <si>
    <t>1　メニューの「データを取得」をクリックします。</t>
    <phoneticPr fontId="1"/>
  </si>
  <si>
    <t>・</t>
    <phoneticPr fontId="1"/>
  </si>
  <si>
    <t>2　表示されたメニューの一番下にある「詳細」をクリックします。</t>
  </si>
  <si>
    <t>3　「データを取得」画面で「Impala」を選択します。</t>
  </si>
  <si>
    <t>4　右下の「接続」ボタンをクリックします。</t>
  </si>
  <si>
    <t>5　サーバーを入力して、「OK」ボタンをクリックします。</t>
  </si>
  <si>
    <t>6　Impala の認証情報を入力して接続します。</t>
    <rPh sb="19" eb="21">
      <t>セツゾク</t>
    </rPh>
    <phoneticPr fontId="1"/>
  </si>
  <si>
    <t>※ Impala の認証情報をお持ちでない場合は、</t>
    <phoneticPr fontId="1"/>
  </si>
  <si>
    <t xml:space="preserve"> 担当者へ連絡して取得してください。</t>
    <phoneticPr fontId="1"/>
  </si>
  <si>
    <t>・Impala への接続が完了すると、「ナビゲーター」画面が表示され、</t>
    <phoneticPr fontId="1"/>
  </si>
  <si>
    <t>　接続先データベース内のテーブル一覧が表示できるようになります。</t>
    <rPh sb="19" eb="21">
      <t>ヒョウジ</t>
    </rPh>
    <phoneticPr fontId="1"/>
  </si>
  <si>
    <t>　例：ai21rep_pr_kudu データベース配下の各テーブルが表示されます。</t>
  </si>
  <si>
    <t>VWH切替&amp;開発環境接続手順</t>
    <phoneticPr fontId="1"/>
  </si>
  <si>
    <t>開発環境への接続に使用する認証スクリプトおよびアカウント情報が準備されていること</t>
    <phoneticPr fontId="1"/>
  </si>
  <si>
    <t>VWHに接続するための権限付与が済んでいること</t>
    <phoneticPr fontId="1"/>
  </si>
  <si>
    <t xml:space="preserve"> ODBC Driver設定内容：</t>
    <phoneticPr fontId="1"/>
  </si>
  <si>
    <t xml:space="preserve">[Simba Impala ODBC Driver] </t>
  </si>
  <si>
    <t xml:space="preserve"># Oringinally PowerBI will use its embedded driver, we can change it to Cloudera version </t>
  </si>
  <si>
    <t xml:space="preserve"># Driver=Simba Impala ODBC Driver\ImpalaODBC_sb64.dll </t>
  </si>
  <si>
    <t>Driver=Cloudera ODBC Driver for Impala\lib\ClouderaImpalaODBC64.dll</t>
  </si>
  <si>
    <t>cloudera.impalaodbc.ini設定内容：</t>
    <phoneticPr fontId="1"/>
  </si>
  <si>
    <t>[Driver]</t>
  </si>
  <si>
    <t>SSL=1</t>
  </si>
  <si>
    <t>TransportMode=http</t>
  </si>
  <si>
    <t>HTTPPath=cliservice</t>
  </si>
  <si>
    <t>AuthMech=3</t>
  </si>
  <si>
    <t>HTTPAuthCookies=impala.auth,JSESSIONID,KNOXSESSIONID,impala.session.id</t>
  </si>
  <si>
    <t>Host追加内容：</t>
    <phoneticPr fontId="1"/>
  </si>
  <si>
    <t>127.0.0.1 impala-proxy-toyotecdap-vwh-pr-default.dw-toyotecdap-env.kj09-szpi.cloudera.site</t>
    <phoneticPr fontId="1"/>
  </si>
  <si>
    <t>Azure CLI 拡張機能（SSH）</t>
    <phoneticPr fontId="1"/>
  </si>
  <si>
    <t>az extension add -n ssh</t>
    <phoneticPr fontId="1"/>
  </si>
  <si>
    <t>サブスクリプション</t>
    <phoneticPr fontId="1"/>
  </si>
  <si>
    <t>開発</t>
    <phoneticPr fontId="1"/>
  </si>
  <si>
    <t>dev-toyotecdap</t>
    <phoneticPr fontId="1"/>
  </si>
  <si>
    <t>本番</t>
    <phoneticPr fontId="1"/>
  </si>
  <si>
    <t>toyotecdap</t>
    <phoneticPr fontId="1"/>
  </si>
  <si>
    <t>検証</t>
    <phoneticPr fontId="1"/>
  </si>
  <si>
    <t>ve-toyotecdap</t>
    <phoneticPr fontId="1"/>
  </si>
  <si>
    <t>Impaサーバー</t>
    <phoneticPr fontId="1"/>
  </si>
  <si>
    <t>impala-proxy-toyotecdap-vwh-pr-default.dw-toyotecdap-env.kj09-szpi.cloudera.site:443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</si>
</sst>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1"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color indexed="8"/>
      <name val="Meiryo UI"/>
      <family val="3"/>
      <charset val="128"/>
    </font>
    <font>
      <sz val="10"/>
      <color theme="1"/>
      <name val="Meiryo UI"/>
      <family val="2"/>
      <charset val="128"/>
    </font>
    <font>
      <b/>
      <sz val="14"/>
      <color indexed="8"/>
      <name val="Meiryo UI"/>
      <family val="3"/>
      <charset val="128"/>
    </font>
    <font>
      <sz val="6"/>
      <name val="Meiryo UI"/>
      <family val="2"/>
      <charset val="128"/>
    </font>
    <font>
      <sz val="14"/>
      <color indexed="8"/>
      <name val="Meiryo UI"/>
      <family val="3"/>
      <charset val="128"/>
    </font>
    <font>
      <b/>
      <sz val="12"/>
      <color theme="1"/>
      <name val="Meiryo UI"/>
      <family val="3"/>
      <charset val="128"/>
    </font>
    <font>
      <b/>
      <sz val="10"/>
      <color theme="0"/>
      <name val="Meiryo UI"/>
      <family val="3"/>
      <charset val="128"/>
    </font>
    <font>
      <sz val="10"/>
      <color theme="0"/>
      <name val="Meiryo UI"/>
      <family val="3"/>
      <charset val="128"/>
    </font>
    <font>
      <sz val="10"/>
      <color rgb="FFFF0000"/>
      <name val="Meiryo UI"/>
      <family val="3"/>
      <charset val="128"/>
    </font>
    <font>
      <sz val="11"/>
      <name val="Meiryo UI"/>
      <family val="3"/>
      <charset val="128"/>
    </font>
    <font>
      <sz val="8"/>
      <name val="Meiryo UI"/>
      <family val="3"/>
      <charset val="128"/>
    </font>
    <font>
      <sz val="9"/>
      <name val="Meiryo UI"/>
      <family val="3"/>
      <charset val="128"/>
    </font>
    <font>
      <u/>
      <sz val="11"/>
      <name val="Meiryo UI"/>
      <family val="3"/>
      <charset val="128"/>
    </font>
    <font>
      <sz val="12"/>
      <name val="Meiryo UI"/>
      <family val="3"/>
      <charset val="128"/>
    </font>
    <font>
      <b/>
      <sz val="12"/>
      <name val="Meiryo UI"/>
      <family val="3"/>
      <charset val="128"/>
    </font>
    <font>
      <b/>
      <sz val="22"/>
      <name val="Meiryo UI"/>
      <family val="3"/>
      <charset val="128"/>
    </font>
    <font>
      <sz val="11"/>
      <color rgb="FFC00000"/>
      <name val="Meiryo UI"/>
      <family val="3"/>
      <charset val="128"/>
    </font>
    <font>
      <b/>
      <sz val="14"/>
      <color theme="0"/>
      <name val="Meiryo UI"/>
      <family val="3"/>
      <charset val="128"/>
    </font>
    <font>
      <sz val="6"/>
      <name val="ＭＳ Ｐゴシック"/>
      <family val="3"/>
      <charset val="128"/>
    </font>
    <font>
      <sz val="10"/>
      <name val="Meiryo UI"/>
      <family val="3"/>
      <charset val="128"/>
    </font>
    <font>
      <b/>
      <sz val="10"/>
      <name val="Meiryo UI"/>
      <family val="3"/>
      <charset val="128"/>
    </font>
    <font>
      <sz val="12"/>
      <color rgb="FFC00000"/>
      <name val="Meiryo UI"/>
      <family val="3"/>
      <charset val="128"/>
    </font>
    <font>
      <u/>
      <sz val="11"/>
      <color theme="10"/>
      <name val="ＭＳ Ｐゴシック"/>
      <family val="2"/>
      <charset val="128"/>
      <scheme val="minor"/>
    </font>
    <font>
      <sz val="10"/>
      <color theme="1"/>
      <name val="Meiryo UI"/>
      <family val="3"/>
      <charset val="128"/>
    </font>
    <font>
      <sz val="10"/>
      <color rgb="FF000000"/>
      <name val="Meiryo UI"/>
      <family val="3"/>
      <charset val="128"/>
    </font>
    <font>
      <b/>
      <sz val="10"/>
      <color theme="1"/>
      <name val="Meiryo UI"/>
      <family val="3"/>
      <charset val="128"/>
    </font>
    <font>
      <sz val="10"/>
      <color theme="1"/>
      <name val="Meiryo UI"/>
      <family val="3"/>
      <charset val="134"/>
    </font>
    <font>
      <sz val="10"/>
      <name val="Meiryo UI"/>
      <family val="2"/>
      <charset val="128"/>
    </font>
    <font>
      <b/>
      <sz val="10"/>
      <color rgb="FF000000"/>
      <name val="Meiryo UI"/>
      <family val="3"/>
      <charset val="128"/>
    </font>
    <font>
      <u/>
      <sz val="11"/>
      <color theme="10"/>
      <name val="Meiryo UI"/>
      <family val="3"/>
      <charset val="128"/>
    </font>
    <font>
      <sz val="11"/>
      <color theme="1"/>
      <name val="Meiryo UI"/>
      <family val="3"/>
      <charset val="128"/>
    </font>
    <font>
      <sz val="11"/>
      <color indexed="8"/>
      <name val="Meiryo UI"/>
      <family val="3"/>
    </font>
    <font>
      <sz val="11"/>
      <color theme="1"/>
      <name val="Meiryo UI"/>
      <family val="3"/>
    </font>
    <font>
      <b/>
      <sz val="14"/>
      <name val="Meiryo UI"/>
      <family val="3"/>
      <charset val="128"/>
    </font>
    <font>
      <b/>
      <sz val="11"/>
      <color theme="0"/>
      <name val="Meiryo UI"/>
      <family val="3"/>
      <charset val="128"/>
    </font>
    <font>
      <b/>
      <sz val="11"/>
      <color theme="1"/>
      <name val="Meiryo UI"/>
      <family val="3"/>
      <charset val="128"/>
    </font>
    <font>
      <sz val="11"/>
      <color theme="0"/>
      <name val="Meiryo UI"/>
      <family val="3"/>
      <charset val="128"/>
    </font>
    <font>
      <sz val="10"/>
      <color rgb="FFFF0000"/>
      <name val="Meiryo UI"/>
      <family val="2"/>
      <charset val="128"/>
    </font>
  </fonts>
  <fills count="11">
    <fill>
      <patternFill patternType="none"/>
    </fill>
    <fill>
      <patternFill patternType="gray125"/>
    </fill>
    <fill>
      <patternFill patternType="solid">
        <fgColor indexed="8"/>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002060"/>
        <bgColor indexed="64"/>
      </patternFill>
    </fill>
  </fills>
  <borders count="4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auto="1"/>
      </top>
      <bottom style="thin">
        <color auto="1"/>
      </bottom>
      <diagonal/>
    </border>
    <border>
      <left/>
      <right style="thin">
        <color theme="0"/>
      </right>
      <top style="thin">
        <color auto="1"/>
      </top>
      <bottom style="thin">
        <color auto="1"/>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auto="1"/>
      </left>
      <right/>
      <top/>
      <bottom/>
      <diagonal/>
    </border>
    <border>
      <left/>
      <right style="thin">
        <color auto="1"/>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indexed="64"/>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6">
    <xf numFmtId="0" fontId="0" fillId="0" borderId="0">
      <alignment vertical="center"/>
    </xf>
    <xf numFmtId="0" fontId="2" fillId="0" borderId="0"/>
    <xf numFmtId="0" fontId="4" fillId="0" borderId="0">
      <alignment vertical="center"/>
    </xf>
    <xf numFmtId="0" fontId="2"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cellStyleXfs>
  <cellXfs count="156">
    <xf numFmtId="0" fontId="0" fillId="0" borderId="0" xfId="0">
      <alignment vertical="center"/>
    </xf>
    <xf numFmtId="0" fontId="3" fillId="2" borderId="0" xfId="1" applyFont="1" applyFill="1"/>
    <xf numFmtId="0" fontId="3" fillId="0" borderId="0" xfId="1" applyFont="1"/>
    <xf numFmtId="0" fontId="5" fillId="0" borderId="0" xfId="2" applyFont="1" applyAlignment="1"/>
    <xf numFmtId="0" fontId="7" fillId="0" borderId="0" xfId="1" applyFont="1"/>
    <xf numFmtId="0" fontId="5" fillId="0" borderId="0" xfId="1" applyFont="1"/>
    <xf numFmtId="0" fontId="3" fillId="0" borderId="0" xfId="1" applyFont="1" applyAlignment="1">
      <alignment vertical="center"/>
    </xf>
    <xf numFmtId="0" fontId="4" fillId="0" borderId="0" xfId="2">
      <alignment vertical="center"/>
    </xf>
    <xf numFmtId="0" fontId="4" fillId="3" borderId="1" xfId="2" applyFill="1" applyBorder="1">
      <alignment vertical="center"/>
    </xf>
    <xf numFmtId="0" fontId="4" fillId="3" borderId="2" xfId="2" applyFill="1" applyBorder="1">
      <alignment vertical="center"/>
    </xf>
    <xf numFmtId="0" fontId="4" fillId="3" borderId="3" xfId="2" applyFill="1" applyBorder="1">
      <alignment vertical="center"/>
    </xf>
    <xf numFmtId="0" fontId="4" fillId="0" borderId="2" xfId="2" applyBorder="1">
      <alignment vertical="center"/>
    </xf>
    <xf numFmtId="0" fontId="4" fillId="0" borderId="3" xfId="2" applyBorder="1">
      <alignment vertical="center"/>
    </xf>
    <xf numFmtId="0" fontId="4" fillId="0" borderId="4" xfId="2" applyBorder="1">
      <alignment vertical="center"/>
    </xf>
    <xf numFmtId="0" fontId="4" fillId="0" borderId="8" xfId="2" applyBorder="1">
      <alignment vertical="center"/>
    </xf>
    <xf numFmtId="0" fontId="4" fillId="0" borderId="5" xfId="2" applyBorder="1">
      <alignment vertical="center"/>
    </xf>
    <xf numFmtId="0" fontId="4" fillId="0" borderId="6" xfId="2" applyBorder="1">
      <alignment vertical="center"/>
    </xf>
    <xf numFmtId="0" fontId="4" fillId="0" borderId="9" xfId="2" applyBorder="1">
      <alignment vertical="center"/>
    </xf>
    <xf numFmtId="0" fontId="4" fillId="0" borderId="7" xfId="2" applyBorder="1">
      <alignment vertical="center"/>
    </xf>
    <xf numFmtId="0" fontId="8" fillId="0" borderId="0" xfId="2" applyFont="1">
      <alignment vertical="center"/>
    </xf>
    <xf numFmtId="0" fontId="9" fillId="4" borderId="1" xfId="2" applyFont="1" applyFill="1" applyBorder="1">
      <alignment vertical="center"/>
    </xf>
    <xf numFmtId="0" fontId="9" fillId="4" borderId="2" xfId="2" applyFont="1" applyFill="1" applyBorder="1">
      <alignment vertical="center"/>
    </xf>
    <xf numFmtId="0" fontId="9" fillId="4" borderId="10" xfId="2" applyFont="1" applyFill="1" applyBorder="1">
      <alignment vertical="center"/>
    </xf>
    <xf numFmtId="0" fontId="9" fillId="4" borderId="11" xfId="2" applyFont="1" applyFill="1" applyBorder="1">
      <alignment vertical="center"/>
    </xf>
    <xf numFmtId="0" fontId="10" fillId="4" borderId="2" xfId="2" applyFont="1" applyFill="1" applyBorder="1">
      <alignment vertical="center"/>
    </xf>
    <xf numFmtId="0" fontId="10" fillId="4" borderId="3" xfId="2" applyFont="1" applyFill="1" applyBorder="1">
      <alignment vertical="center"/>
    </xf>
    <xf numFmtId="0" fontId="4" fillId="0" borderId="12" xfId="2" applyBorder="1" applyAlignment="1">
      <alignment horizontal="center" vertical="center"/>
    </xf>
    <xf numFmtId="0" fontId="4" fillId="0" borderId="13" xfId="2" applyBorder="1" applyAlignment="1">
      <alignment horizontal="center" vertical="center"/>
    </xf>
    <xf numFmtId="0" fontId="4" fillId="0" borderId="14" xfId="2" applyBorder="1" applyAlignment="1">
      <alignment horizontal="center" vertical="center"/>
    </xf>
    <xf numFmtId="0" fontId="4" fillId="0" borderId="15" xfId="2" applyBorder="1">
      <alignment vertical="center"/>
    </xf>
    <xf numFmtId="0" fontId="4" fillId="0" borderId="16" xfId="2" applyBorder="1">
      <alignment vertical="center"/>
    </xf>
    <xf numFmtId="0" fontId="4" fillId="0" borderId="17" xfId="2" applyBorder="1" applyAlignment="1">
      <alignment horizontal="center" vertical="center"/>
    </xf>
    <xf numFmtId="0" fontId="4" fillId="0" borderId="18" xfId="2" applyBorder="1" applyAlignment="1">
      <alignment horizontal="center" vertical="center"/>
    </xf>
    <xf numFmtId="0" fontId="4" fillId="0" borderId="19" xfId="2" applyBorder="1" applyAlignment="1">
      <alignment horizontal="center" vertical="center"/>
    </xf>
    <xf numFmtId="0" fontId="12" fillId="0" borderId="0" xfId="3" applyFont="1"/>
    <xf numFmtId="0" fontId="12" fillId="0" borderId="0" xfId="3" applyFont="1" applyAlignment="1">
      <alignment horizontal="center"/>
    </xf>
    <xf numFmtId="0" fontId="12" fillId="0" borderId="0" xfId="3" applyFont="1" applyAlignment="1">
      <alignment vertical="center"/>
    </xf>
    <xf numFmtId="0" fontId="12" fillId="0" borderId="0" xfId="3" applyFont="1" applyAlignment="1">
      <alignment horizontal="center" vertical="center"/>
    </xf>
    <xf numFmtId="0" fontId="13" fillId="0" borderId="0" xfId="3" applyFont="1" applyAlignment="1">
      <alignment vertical="center"/>
    </xf>
    <xf numFmtId="0" fontId="14" fillId="0" borderId="0" xfId="3" applyFont="1" applyAlignment="1">
      <alignment vertical="center"/>
    </xf>
    <xf numFmtId="0" fontId="15" fillId="0" borderId="0" xfId="3" applyFont="1" applyAlignment="1">
      <alignment vertical="center"/>
    </xf>
    <xf numFmtId="0" fontId="16" fillId="0" borderId="0" xfId="3" applyFont="1"/>
    <xf numFmtId="0" fontId="16" fillId="0" borderId="0" xfId="3" applyFont="1" applyAlignment="1">
      <alignment vertical="center"/>
    </xf>
    <xf numFmtId="0" fontId="16" fillId="0" borderId="9" xfId="3" applyFont="1" applyBorder="1" applyAlignment="1">
      <alignment vertical="center"/>
    </xf>
    <xf numFmtId="0" fontId="16" fillId="0" borderId="7" xfId="3" applyFont="1" applyBorder="1" applyAlignment="1">
      <alignment vertical="center"/>
    </xf>
    <xf numFmtId="0" fontId="16" fillId="0" borderId="6" xfId="3" applyFont="1" applyBorder="1" applyAlignment="1">
      <alignment vertical="center"/>
    </xf>
    <xf numFmtId="0" fontId="17" fillId="0" borderId="0" xfId="3" applyFont="1" applyAlignment="1">
      <alignment vertical="center"/>
    </xf>
    <xf numFmtId="0" fontId="17" fillId="0" borderId="16" xfId="3" applyFont="1" applyBorder="1" applyAlignment="1">
      <alignment vertical="center"/>
    </xf>
    <xf numFmtId="0" fontId="17" fillId="0" borderId="0" xfId="3" applyFont="1" applyAlignment="1">
      <alignment horizontal="center" vertical="center"/>
    </xf>
    <xf numFmtId="0" fontId="17" fillId="0" borderId="15" xfId="3" applyFont="1" applyBorder="1" applyAlignment="1">
      <alignment vertical="center"/>
    </xf>
    <xf numFmtId="0" fontId="18" fillId="0" borderId="0" xfId="3" applyFont="1" applyAlignment="1">
      <alignment vertical="center"/>
    </xf>
    <xf numFmtId="0" fontId="18" fillId="0" borderId="16" xfId="3" applyFont="1" applyBorder="1" applyAlignment="1">
      <alignment vertical="center"/>
    </xf>
    <xf numFmtId="0" fontId="18" fillId="0" borderId="15" xfId="3" applyFont="1" applyBorder="1" applyAlignment="1">
      <alignment vertical="center"/>
    </xf>
    <xf numFmtId="0" fontId="18" fillId="0" borderId="8" xfId="3" applyFont="1" applyBorder="1" applyAlignment="1">
      <alignment vertical="center"/>
    </xf>
    <xf numFmtId="0" fontId="18" fillId="0" borderId="5" xfId="3" applyFont="1" applyBorder="1" applyAlignment="1">
      <alignment vertical="center"/>
    </xf>
    <xf numFmtId="0" fontId="18" fillId="0" borderId="4" xfId="3" applyFont="1" applyBorder="1" applyAlignment="1">
      <alignment vertical="center"/>
    </xf>
    <xf numFmtId="0" fontId="22" fillId="0" borderId="0" xfId="3" applyFont="1" applyAlignment="1">
      <alignment vertical="center"/>
    </xf>
    <xf numFmtId="49" fontId="22" fillId="0" borderId="20" xfId="3" applyNumberFormat="1" applyFont="1" applyBorder="1" applyAlignment="1">
      <alignment vertical="center"/>
    </xf>
    <xf numFmtId="49" fontId="22" fillId="0" borderId="21" xfId="3" applyNumberFormat="1" applyFont="1" applyBorder="1" applyAlignment="1">
      <alignment vertical="center"/>
    </xf>
    <xf numFmtId="49" fontId="22" fillId="0" borderId="22" xfId="3" applyNumberFormat="1" applyFont="1" applyBorder="1" applyAlignment="1">
      <alignment horizontal="center" vertical="center"/>
    </xf>
    <xf numFmtId="49" fontId="22" fillId="0" borderId="23" xfId="3" applyNumberFormat="1" applyFont="1" applyBorder="1" applyAlignment="1">
      <alignment horizontal="center" vertical="center"/>
    </xf>
    <xf numFmtId="176" fontId="22" fillId="0" borderId="21" xfId="3" applyNumberFormat="1" applyFont="1" applyBorder="1" applyAlignment="1">
      <alignment horizontal="center" vertical="center"/>
    </xf>
    <xf numFmtId="49" fontId="22" fillId="0" borderId="24" xfId="3" applyNumberFormat="1" applyFont="1" applyBorder="1" applyAlignment="1">
      <alignment vertical="center"/>
    </xf>
    <xf numFmtId="49" fontId="22" fillId="0" borderId="25" xfId="3" applyNumberFormat="1" applyFont="1" applyBorder="1" applyAlignment="1">
      <alignment vertical="center"/>
    </xf>
    <xf numFmtId="49" fontId="22" fillId="0" borderId="26" xfId="3" applyNumberFormat="1" applyFont="1" applyBorder="1" applyAlignment="1">
      <alignment horizontal="center" vertical="center"/>
    </xf>
    <xf numFmtId="49" fontId="22" fillId="0" borderId="27" xfId="3" applyNumberFormat="1" applyFont="1" applyBorder="1" applyAlignment="1">
      <alignment horizontal="center" vertical="center"/>
    </xf>
    <xf numFmtId="176" fontId="22" fillId="0" borderId="25" xfId="3" applyNumberFormat="1" applyFont="1" applyBorder="1" applyAlignment="1">
      <alignment horizontal="center" vertical="center"/>
    </xf>
    <xf numFmtId="49" fontId="22" fillId="0" borderId="25" xfId="3" applyNumberFormat="1" applyFont="1" applyBorder="1" applyAlignment="1">
      <alignment vertical="center" shrinkToFit="1"/>
    </xf>
    <xf numFmtId="49" fontId="22" fillId="0" borderId="24" xfId="3" applyNumberFormat="1" applyFont="1" applyBorder="1" applyAlignment="1">
      <alignment vertical="center" shrinkToFit="1"/>
    </xf>
    <xf numFmtId="49" fontId="11" fillId="0" borderId="24" xfId="3" applyNumberFormat="1" applyFont="1" applyBorder="1" applyAlignment="1">
      <alignment vertical="center"/>
    </xf>
    <xf numFmtId="0" fontId="22" fillId="0" borderId="28" xfId="3" applyFont="1" applyBorder="1" applyAlignment="1">
      <alignment horizontal="center" vertical="center"/>
    </xf>
    <xf numFmtId="0" fontId="22" fillId="0" borderId="29" xfId="3" applyFont="1" applyBorder="1" applyAlignment="1">
      <alignment horizontal="center" vertical="center"/>
    </xf>
    <xf numFmtId="0" fontId="22" fillId="0" borderId="30" xfId="3" applyFont="1" applyBorder="1" applyAlignment="1">
      <alignment horizontal="center" vertical="center"/>
    </xf>
    <xf numFmtId="0" fontId="16" fillId="0" borderId="0" xfId="3" applyFont="1" applyAlignment="1">
      <alignment horizontal="right" vertical="center"/>
    </xf>
    <xf numFmtId="0" fontId="23" fillId="0" borderId="0" xfId="3" applyFont="1" applyAlignment="1">
      <alignment vertical="center"/>
    </xf>
    <xf numFmtId="0" fontId="12" fillId="0" borderId="15" xfId="3" applyFont="1" applyBorder="1" applyAlignment="1">
      <alignment vertical="center"/>
    </xf>
    <xf numFmtId="176" fontId="22" fillId="7" borderId="25" xfId="3" applyNumberFormat="1" applyFont="1" applyFill="1" applyBorder="1" applyAlignment="1">
      <alignment horizontal="center" vertical="center"/>
    </xf>
    <xf numFmtId="49" fontId="22" fillId="7" borderId="27" xfId="3" applyNumberFormat="1" applyFont="1" applyFill="1" applyBorder="1" applyAlignment="1">
      <alignment horizontal="center" vertical="center"/>
    </xf>
    <xf numFmtId="49" fontId="22" fillId="7" borderId="24" xfId="3" applyNumberFormat="1" applyFont="1" applyFill="1" applyBorder="1" applyAlignment="1">
      <alignment vertical="center"/>
    </xf>
    <xf numFmtId="0" fontId="18" fillId="0" borderId="2" xfId="3" applyFont="1" applyBorder="1" applyAlignment="1">
      <alignment vertical="center"/>
    </xf>
    <xf numFmtId="0" fontId="19" fillId="0" borderId="2" xfId="3" applyFont="1" applyBorder="1" applyAlignment="1">
      <alignment vertical="center"/>
    </xf>
    <xf numFmtId="0" fontId="16" fillId="0" borderId="36" xfId="3" applyFont="1" applyBorder="1" applyAlignment="1">
      <alignment vertical="center"/>
    </xf>
    <xf numFmtId="0" fontId="24" fillId="0" borderId="36" xfId="3" applyFont="1" applyBorder="1" applyAlignment="1">
      <alignment vertical="center"/>
    </xf>
    <xf numFmtId="0" fontId="18" fillId="0" borderId="36" xfId="3" applyFont="1" applyBorder="1" applyAlignment="1">
      <alignment vertical="center"/>
    </xf>
    <xf numFmtId="0" fontId="18" fillId="0" borderId="37" xfId="3" applyFont="1" applyBorder="1" applyAlignment="1">
      <alignment vertical="center"/>
    </xf>
    <xf numFmtId="0" fontId="16" fillId="0" borderId="38" xfId="3" applyFont="1" applyBorder="1" applyAlignment="1">
      <alignment vertical="center"/>
    </xf>
    <xf numFmtId="0" fontId="18" fillId="0" borderId="39" xfId="3" applyFont="1" applyBorder="1" applyAlignment="1">
      <alignment vertical="center"/>
    </xf>
    <xf numFmtId="0" fontId="16" fillId="0" borderId="40" xfId="3" applyFont="1" applyBorder="1" applyAlignment="1">
      <alignment vertical="center"/>
    </xf>
    <xf numFmtId="0" fontId="18" fillId="0" borderId="41" xfId="3" applyFont="1" applyBorder="1" applyAlignment="1">
      <alignment vertical="center"/>
    </xf>
    <xf numFmtId="0" fontId="18" fillId="0" borderId="42" xfId="3" applyFont="1" applyBorder="1" applyAlignment="1">
      <alignment vertical="center"/>
    </xf>
    <xf numFmtId="0" fontId="12" fillId="5" borderId="43" xfId="3" applyFont="1" applyFill="1" applyBorder="1" applyAlignment="1">
      <alignment horizontal="center" vertical="center" shrinkToFit="1"/>
    </xf>
    <xf numFmtId="0" fontId="12" fillId="5" borderId="44" xfId="3" applyFont="1" applyFill="1" applyBorder="1" applyAlignment="1">
      <alignment horizontal="center" vertical="center"/>
    </xf>
    <xf numFmtId="0" fontId="12" fillId="5" borderId="45" xfId="3" applyFont="1" applyFill="1" applyBorder="1" applyAlignment="1">
      <alignment horizontal="center" vertical="center"/>
    </xf>
    <xf numFmtId="0" fontId="25" fillId="0" borderId="0" xfId="4">
      <alignment vertical="center"/>
    </xf>
    <xf numFmtId="0" fontId="26" fillId="0" borderId="0" xfId="2" applyFont="1">
      <alignment vertical="center"/>
    </xf>
    <xf numFmtId="0" fontId="27" fillId="0" borderId="0" xfId="0" applyFont="1" applyAlignment="1">
      <alignment horizontal="left" vertical="center" readingOrder="1"/>
    </xf>
    <xf numFmtId="49" fontId="22" fillId="0" borderId="26" xfId="3" applyNumberFormat="1" applyFont="1" applyBorder="1" applyAlignment="1">
      <alignment horizontal="center" vertical="center" wrapText="1"/>
    </xf>
    <xf numFmtId="0" fontId="28" fillId="0" borderId="0" xfId="2" applyFont="1">
      <alignment vertical="center"/>
    </xf>
    <xf numFmtId="0" fontId="26" fillId="0" borderId="15" xfId="2" applyFont="1" applyBorder="1">
      <alignment vertical="center"/>
    </xf>
    <xf numFmtId="0" fontId="4" fillId="8" borderId="2" xfId="2" applyFill="1" applyBorder="1">
      <alignment vertical="center"/>
    </xf>
    <xf numFmtId="0" fontId="4" fillId="8" borderId="3" xfId="2" applyFill="1" applyBorder="1">
      <alignment vertical="center"/>
    </xf>
    <xf numFmtId="0" fontId="4" fillId="0" borderId="0" xfId="2" applyAlignment="1">
      <alignment horizontal="center" vertical="center"/>
    </xf>
    <xf numFmtId="0" fontId="29" fillId="0" borderId="0" xfId="2" applyFont="1">
      <alignment vertical="center"/>
    </xf>
    <xf numFmtId="0" fontId="4" fillId="0" borderId="34" xfId="2" applyBorder="1">
      <alignment vertical="center"/>
    </xf>
    <xf numFmtId="0" fontId="30" fillId="0" borderId="0" xfId="2" applyFont="1">
      <alignment vertical="center"/>
    </xf>
    <xf numFmtId="0" fontId="28" fillId="8" borderId="1" xfId="2" applyFont="1" applyFill="1" applyBorder="1">
      <alignment vertical="center"/>
    </xf>
    <xf numFmtId="0" fontId="25" fillId="0" borderId="0" xfId="5">
      <alignment vertical="center"/>
    </xf>
    <xf numFmtId="0" fontId="32" fillId="0" borderId="35" xfId="4" applyFont="1" applyBorder="1" applyAlignment="1">
      <alignment vertical="center" wrapText="1"/>
    </xf>
    <xf numFmtId="0" fontId="3" fillId="0" borderId="31" xfId="1" applyFont="1" applyBorder="1" applyAlignment="1">
      <alignment vertical="center"/>
    </xf>
    <xf numFmtId="0" fontId="3" fillId="0" borderId="32" xfId="1" applyFont="1" applyBorder="1" applyAlignment="1">
      <alignment vertical="center"/>
    </xf>
    <xf numFmtId="0" fontId="3" fillId="0" borderId="46" xfId="1" applyFont="1" applyBorder="1"/>
    <xf numFmtId="0" fontId="3" fillId="0" borderId="47" xfId="1" applyFont="1" applyBorder="1"/>
    <xf numFmtId="0" fontId="33" fillId="0" borderId="0" xfId="0" applyFont="1">
      <alignment vertical="center"/>
    </xf>
    <xf numFmtId="0" fontId="33" fillId="0" borderId="34" xfId="0" applyFont="1" applyBorder="1">
      <alignment vertical="center"/>
    </xf>
    <xf numFmtId="0" fontId="33" fillId="9" borderId="34" xfId="0" applyFont="1" applyFill="1" applyBorder="1">
      <alignment vertical="center"/>
    </xf>
    <xf numFmtId="0" fontId="32" fillId="0" borderId="35" xfId="4" applyFont="1" applyBorder="1" applyAlignment="1">
      <alignment vertical="center"/>
    </xf>
    <xf numFmtId="0" fontId="34" fillId="2" borderId="0" xfId="1" applyFont="1" applyFill="1"/>
    <xf numFmtId="0" fontId="35" fillId="0" borderId="0" xfId="0" applyFont="1">
      <alignment vertical="center"/>
    </xf>
    <xf numFmtId="0" fontId="37" fillId="5" borderId="0" xfId="0" applyFont="1" applyFill="1" applyAlignment="1">
      <alignment horizontal="center" vertical="center"/>
    </xf>
    <xf numFmtId="0" fontId="38" fillId="5" borderId="0" xfId="0" applyFont="1" applyFill="1" applyAlignment="1">
      <alignment horizontal="center" vertical="center"/>
    </xf>
    <xf numFmtId="0" fontId="39" fillId="10" borderId="34" xfId="0" applyFont="1" applyFill="1" applyBorder="1">
      <alignment vertical="center"/>
    </xf>
    <xf numFmtId="0" fontId="33" fillId="0" borderId="34" xfId="0" applyFont="1" applyBorder="1" applyAlignment="1">
      <alignment vertical="center" wrapText="1"/>
    </xf>
    <xf numFmtId="0" fontId="9" fillId="4" borderId="0" xfId="2" applyFont="1" applyFill="1">
      <alignment vertical="center"/>
    </xf>
    <xf numFmtId="0" fontId="9" fillId="4" borderId="16" xfId="2" applyFont="1" applyFill="1" applyBorder="1">
      <alignment vertical="center"/>
    </xf>
    <xf numFmtId="0" fontId="40" fillId="0" borderId="0" xfId="2" applyFont="1">
      <alignment vertical="center"/>
    </xf>
    <xf numFmtId="0" fontId="40" fillId="0" borderId="7" xfId="2" applyFont="1" applyBorder="1">
      <alignment vertical="center"/>
    </xf>
    <xf numFmtId="0" fontId="20" fillId="6" borderId="1" xfId="3" applyFont="1" applyFill="1" applyBorder="1" applyAlignment="1">
      <alignment horizontal="center" vertical="center"/>
    </xf>
    <xf numFmtId="0" fontId="20" fillId="6" borderId="2" xfId="3" applyFont="1" applyFill="1" applyBorder="1" applyAlignment="1">
      <alignment horizontal="center" vertical="center"/>
    </xf>
    <xf numFmtId="0" fontId="20" fillId="6" borderId="3" xfId="3" applyFont="1" applyFill="1" applyBorder="1" applyAlignment="1">
      <alignment horizontal="center" vertical="center"/>
    </xf>
    <xf numFmtId="0" fontId="12" fillId="0" borderId="1" xfId="3" applyFont="1" applyBorder="1" applyAlignment="1">
      <alignment horizontal="center" vertical="center"/>
    </xf>
    <xf numFmtId="0" fontId="12" fillId="0" borderId="2" xfId="3" applyFont="1" applyBorder="1" applyAlignment="1">
      <alignment horizontal="center" vertical="center"/>
    </xf>
    <xf numFmtId="0" fontId="12" fillId="0" borderId="3" xfId="3" applyFont="1" applyBorder="1" applyAlignment="1">
      <alignment horizontal="center" vertical="center"/>
    </xf>
    <xf numFmtId="14" fontId="22" fillId="0" borderId="1" xfId="3" applyNumberFormat="1" applyFont="1" applyBorder="1" applyAlignment="1">
      <alignment vertical="center"/>
    </xf>
    <xf numFmtId="14" fontId="22" fillId="0" borderId="2" xfId="3" applyNumberFormat="1" applyFont="1" applyBorder="1" applyAlignment="1">
      <alignment vertical="center"/>
    </xf>
    <xf numFmtId="49" fontId="22" fillId="0" borderId="1" xfId="3" applyNumberFormat="1" applyFont="1" applyBorder="1" applyAlignment="1">
      <alignment vertical="center"/>
    </xf>
    <xf numFmtId="0" fontId="22" fillId="0" borderId="2" xfId="3" applyFont="1" applyBorder="1" applyAlignment="1">
      <alignment vertical="center"/>
    </xf>
    <xf numFmtId="0" fontId="22" fillId="0" borderId="1" xfId="3" applyFont="1" applyBorder="1" applyAlignment="1">
      <alignment vertical="center"/>
    </xf>
    <xf numFmtId="0" fontId="12" fillId="0" borderId="34" xfId="3" applyFont="1" applyBorder="1" applyAlignment="1">
      <alignment horizontal="center" vertical="center"/>
    </xf>
    <xf numFmtId="0" fontId="22" fillId="0" borderId="34" xfId="3" applyFont="1" applyBorder="1" applyAlignment="1">
      <alignment horizontal="center" vertical="center"/>
    </xf>
    <xf numFmtId="0" fontId="18" fillId="0" borderId="0" xfId="3" applyFont="1" applyAlignment="1">
      <alignment horizontal="center" vertical="center" wrapText="1"/>
    </xf>
    <xf numFmtId="0" fontId="36" fillId="5" borderId="0" xfId="0" applyFont="1" applyFill="1" applyAlignment="1">
      <alignment horizontal="center" vertical="center"/>
    </xf>
    <xf numFmtId="49" fontId="4" fillId="0" borderId="1" xfId="2" applyNumberFormat="1" applyBorder="1" applyAlignment="1">
      <alignment horizontal="left" vertical="center"/>
    </xf>
    <xf numFmtId="49" fontId="4" fillId="0" borderId="3" xfId="2" applyNumberFormat="1" applyBorder="1" applyAlignment="1">
      <alignment horizontal="left" vertical="center"/>
    </xf>
    <xf numFmtId="0" fontId="26" fillId="0" borderId="1" xfId="2" applyFont="1" applyBorder="1">
      <alignment vertical="center"/>
    </xf>
    <xf numFmtId="0" fontId="26" fillId="0" borderId="2" xfId="2" applyFont="1" applyBorder="1">
      <alignment vertical="center"/>
    </xf>
    <xf numFmtId="0" fontId="26" fillId="0" borderId="3" xfId="2" applyFont="1" applyBorder="1">
      <alignment vertical="center"/>
    </xf>
    <xf numFmtId="0" fontId="3" fillId="0" borderId="48" xfId="1" applyFont="1" applyBorder="1" applyAlignment="1">
      <alignment horizontal="left" vertical="center"/>
    </xf>
    <xf numFmtId="0" fontId="3" fillId="0" borderId="46" xfId="1" applyFont="1" applyBorder="1" applyAlignment="1">
      <alignment horizontal="left" vertical="center"/>
    </xf>
    <xf numFmtId="0" fontId="3" fillId="0" borderId="47" xfId="1" applyFont="1" applyBorder="1" applyAlignment="1">
      <alignment horizontal="left" vertical="center"/>
    </xf>
    <xf numFmtId="0" fontId="4" fillId="0" borderId="34" xfId="2" applyBorder="1">
      <alignment vertical="center"/>
    </xf>
    <xf numFmtId="0" fontId="3" fillId="0" borderId="31" xfId="1" applyFont="1" applyBorder="1" applyAlignment="1">
      <alignment horizontal="center"/>
    </xf>
    <xf numFmtId="0" fontId="3" fillId="0" borderId="32" xfId="1" applyFont="1" applyBorder="1" applyAlignment="1">
      <alignment horizontal="center"/>
    </xf>
    <xf numFmtId="0" fontId="3" fillId="0" borderId="31" xfId="1" applyFont="1" applyBorder="1" applyAlignment="1">
      <alignment horizontal="center" vertical="center"/>
    </xf>
    <xf numFmtId="0" fontId="3" fillId="0" borderId="33" xfId="1" applyFont="1" applyBorder="1" applyAlignment="1">
      <alignment horizontal="center" vertical="center"/>
    </xf>
    <xf numFmtId="0" fontId="3" fillId="0" borderId="32" xfId="1" applyFont="1" applyBorder="1" applyAlignment="1">
      <alignment horizontal="center" vertical="center"/>
    </xf>
    <xf numFmtId="0" fontId="28" fillId="8" borderId="34" xfId="2" applyFont="1" applyFill="1" applyBorder="1" applyAlignment="1">
      <alignment horizontal="left" vertical="center"/>
    </xf>
  </cellXfs>
  <cellStyles count="6">
    <cellStyle name="Hyperlink" xfId="5" xr:uid="{00000000-000B-0000-0000-000008000000}"/>
    <cellStyle name="ハイパーリンク" xfId="4" builtinId="8"/>
    <cellStyle name="標準" xfId="0" builtinId="0"/>
    <cellStyle name="標準 2" xfId="2" xr:uid="{00000000-0005-0000-0000-000001000000}"/>
    <cellStyle name="標準 2 2" xfId="3" xr:uid="{4EC891CF-7711-45DC-BFD2-C31F49D00AE2}"/>
    <cellStyle name="標準_BR100_表紙テンプレート"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82550</xdr:rowOff>
    </xdr:from>
    <xdr:to>
      <xdr:col>3</xdr:col>
      <xdr:colOff>518725</xdr:colOff>
      <xdr:row>2</xdr:row>
      <xdr:rowOff>137160</xdr:rowOff>
    </xdr:to>
    <xdr:pic>
      <xdr:nvPicPr>
        <xdr:cNvPr id="2" name="Picture 2">
          <a:extLst>
            <a:ext uri="{FF2B5EF4-FFF2-40B4-BE49-F238E27FC236}">
              <a16:creationId xmlns:a16="http://schemas.microsoft.com/office/drawing/2014/main" id="{AC63D813-CC41-4620-A3F1-65C5F5498DB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7269" b="22490"/>
        <a:stretch/>
      </xdr:blipFill>
      <xdr:spPr bwMode="auto">
        <a:xfrm>
          <a:off x="95250" y="85725"/>
          <a:ext cx="1287075" cy="435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19048</xdr:colOff>
      <xdr:row>6</xdr:row>
      <xdr:rowOff>190499</xdr:rowOff>
    </xdr:from>
    <xdr:to>
      <xdr:col>18</xdr:col>
      <xdr:colOff>282574</xdr:colOff>
      <xdr:row>8</xdr:row>
      <xdr:rowOff>6350</xdr:rowOff>
    </xdr:to>
    <xdr:sp macro="" textlink="">
      <xdr:nvSpPr>
        <xdr:cNvPr id="3" name="正方形/長方形 2">
          <a:extLst>
            <a:ext uri="{FF2B5EF4-FFF2-40B4-BE49-F238E27FC236}">
              <a16:creationId xmlns:a16="http://schemas.microsoft.com/office/drawing/2014/main" id="{378C781D-0404-42A6-A872-B2CFE3D02BC0}"/>
            </a:ext>
          </a:extLst>
        </xdr:cNvPr>
        <xdr:cNvSpPr/>
      </xdr:nvSpPr>
      <xdr:spPr>
        <a:xfrm flipH="1" flipV="1">
          <a:off x="19048" y="1333499"/>
          <a:ext cx="6594476" cy="76201"/>
        </a:xfrm>
        <a:prstGeom prst="rect">
          <a:avLst/>
        </a:prstGeom>
        <a:gradFill flip="none" rotWithShape="1">
          <a:gsLst>
            <a:gs pos="100000">
              <a:srgbClr val="FF0000"/>
            </a:gs>
            <a:gs pos="86000">
              <a:srgbClr val="FF0000"/>
            </a:gs>
            <a:gs pos="0">
              <a:schemeClr val="bg1"/>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5403" tIns="47703" rIns="95403" bIns="47703"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2400"/>
        </a:p>
      </xdr:txBody>
    </xdr:sp>
    <xdr:clientData/>
  </xdr:twoCellAnchor>
  <xdr:twoCellAnchor>
    <xdr:from>
      <xdr:col>0</xdr:col>
      <xdr:colOff>12698</xdr:colOff>
      <xdr:row>12</xdr:row>
      <xdr:rowOff>184149</xdr:rowOff>
    </xdr:from>
    <xdr:to>
      <xdr:col>18</xdr:col>
      <xdr:colOff>276224</xdr:colOff>
      <xdr:row>14</xdr:row>
      <xdr:rowOff>0</xdr:rowOff>
    </xdr:to>
    <xdr:sp macro="" textlink="">
      <xdr:nvSpPr>
        <xdr:cNvPr id="4" name="正方形/長方形 3">
          <a:extLst>
            <a:ext uri="{FF2B5EF4-FFF2-40B4-BE49-F238E27FC236}">
              <a16:creationId xmlns:a16="http://schemas.microsoft.com/office/drawing/2014/main" id="{3BA8AC77-90BB-4106-B82A-05B0E8249D13}"/>
            </a:ext>
          </a:extLst>
        </xdr:cNvPr>
        <xdr:cNvSpPr/>
      </xdr:nvSpPr>
      <xdr:spPr>
        <a:xfrm flipH="1" flipV="1">
          <a:off x="9523" y="2343149"/>
          <a:ext cx="6604001" cy="76201"/>
        </a:xfrm>
        <a:prstGeom prst="rect">
          <a:avLst/>
        </a:prstGeom>
        <a:gradFill flip="none" rotWithShape="1">
          <a:gsLst>
            <a:gs pos="100000">
              <a:srgbClr val="FF0000"/>
            </a:gs>
            <a:gs pos="86000">
              <a:srgbClr val="FF0000"/>
            </a:gs>
            <a:gs pos="0">
              <a:schemeClr val="bg1"/>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5403" tIns="47703" rIns="95403" bIns="47703"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20</xdr:row>
      <xdr:rowOff>76200</xdr:rowOff>
    </xdr:from>
    <xdr:to>
      <xdr:col>19</xdr:col>
      <xdr:colOff>93345</xdr:colOff>
      <xdr:row>24</xdr:row>
      <xdr:rowOff>171450</xdr:rowOff>
    </xdr:to>
    <xdr:sp macro="" textlink="">
      <xdr:nvSpPr>
        <xdr:cNvPr id="23" name="正方形/長方形 22">
          <a:extLst>
            <a:ext uri="{FF2B5EF4-FFF2-40B4-BE49-F238E27FC236}">
              <a16:creationId xmlns:a16="http://schemas.microsoft.com/office/drawing/2014/main" id="{75D11679-740A-EC33-624D-04E59D0C77BF}"/>
            </a:ext>
          </a:extLst>
        </xdr:cNvPr>
        <xdr:cNvSpPr/>
      </xdr:nvSpPr>
      <xdr:spPr>
        <a:xfrm>
          <a:off x="1543050" y="3086100"/>
          <a:ext cx="2426970" cy="819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600"/>
            <a:t>1.</a:t>
          </a:r>
          <a:r>
            <a:rPr lang="ja-JP" altLang="en-US" sz="1600"/>
            <a:t>開発環境接続</a:t>
          </a:r>
          <a:endParaRPr kumimoji="1" lang="ja-JP" altLang="en-US" sz="16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25</xdr:col>
      <xdr:colOff>76200</xdr:colOff>
      <xdr:row>99</xdr:row>
      <xdr:rowOff>104775</xdr:rowOff>
    </xdr:from>
    <xdr:ext cx="5454530" cy="4804257"/>
    <xdr:pic>
      <xdr:nvPicPr>
        <xdr:cNvPr id="61" name="Picture 3">
          <a:extLst>
            <a:ext uri="{FF2B5EF4-FFF2-40B4-BE49-F238E27FC236}">
              <a16:creationId xmlns:a16="http://schemas.microsoft.com/office/drawing/2014/main" id="{253B39A5-E2F3-4D64-A700-943204D29E00}"/>
            </a:ext>
          </a:extLst>
        </xdr:cNvPr>
        <xdr:cNvPicPr>
          <a:picLocks noChangeAspect="1"/>
        </xdr:cNvPicPr>
      </xdr:nvPicPr>
      <xdr:blipFill>
        <a:blip xmlns:r="http://schemas.openxmlformats.org/officeDocument/2006/relationships" r:embed="rId1"/>
        <a:stretch>
          <a:fillRect/>
        </a:stretch>
      </xdr:blipFill>
      <xdr:spPr>
        <a:xfrm>
          <a:off x="5895975" y="17516475"/>
          <a:ext cx="5454530" cy="4804257"/>
        </a:xfrm>
        <a:prstGeom prst="rect">
          <a:avLst/>
        </a:prstGeom>
      </xdr:spPr>
    </xdr:pic>
    <xdr:clientData/>
  </xdr:oneCellAnchor>
  <xdr:oneCellAnchor>
    <xdr:from>
      <xdr:col>18</xdr:col>
      <xdr:colOff>217714</xdr:colOff>
      <xdr:row>129</xdr:row>
      <xdr:rowOff>144236</xdr:rowOff>
    </xdr:from>
    <xdr:ext cx="6114415" cy="4972473"/>
    <xdr:pic>
      <xdr:nvPicPr>
        <xdr:cNvPr id="62" name="Picture 2">
          <a:extLst>
            <a:ext uri="{FF2B5EF4-FFF2-40B4-BE49-F238E27FC236}">
              <a16:creationId xmlns:a16="http://schemas.microsoft.com/office/drawing/2014/main" id="{1212ACCA-4CD4-4195-8997-2EBC1E04A64C}"/>
            </a:ext>
            <a:ext uri="{147F2762-F138-4A5C-976F-8EAC2B608ADB}">
              <a16:predDERef xmlns:a16="http://schemas.microsoft.com/office/drawing/2014/main" pred="{82E5E57E-23F0-CE31-FF70-EB372D811CF8}"/>
            </a:ext>
          </a:extLst>
        </xdr:cNvPr>
        <xdr:cNvPicPr>
          <a:picLocks noChangeAspect="1"/>
        </xdr:cNvPicPr>
      </xdr:nvPicPr>
      <xdr:blipFill>
        <a:blip xmlns:r="http://schemas.openxmlformats.org/officeDocument/2006/relationships" r:embed="rId2"/>
        <a:stretch>
          <a:fillRect/>
        </a:stretch>
      </xdr:blipFill>
      <xdr:spPr>
        <a:xfrm>
          <a:off x="4395107" y="45932272"/>
          <a:ext cx="6114415" cy="4972473"/>
        </a:xfrm>
        <a:prstGeom prst="rect">
          <a:avLst/>
        </a:prstGeom>
      </xdr:spPr>
    </xdr:pic>
    <xdr:clientData/>
  </xdr:oneCellAnchor>
  <xdr:oneCellAnchor>
    <xdr:from>
      <xdr:col>47</xdr:col>
      <xdr:colOff>54428</xdr:colOff>
      <xdr:row>129</xdr:row>
      <xdr:rowOff>54428</xdr:rowOff>
    </xdr:from>
    <xdr:ext cx="5542704" cy="5413163"/>
    <xdr:pic>
      <xdr:nvPicPr>
        <xdr:cNvPr id="63" name="Picture 4">
          <a:extLst>
            <a:ext uri="{FF2B5EF4-FFF2-40B4-BE49-F238E27FC236}">
              <a16:creationId xmlns:a16="http://schemas.microsoft.com/office/drawing/2014/main" id="{E9C11E59-61C5-4122-9CC2-870866551F08}"/>
            </a:ext>
          </a:extLst>
        </xdr:cNvPr>
        <xdr:cNvPicPr>
          <a:picLocks noChangeAspect="1"/>
        </xdr:cNvPicPr>
      </xdr:nvPicPr>
      <xdr:blipFill>
        <a:blip xmlns:r="http://schemas.openxmlformats.org/officeDocument/2006/relationships" r:embed="rId3"/>
        <a:stretch>
          <a:fillRect/>
        </a:stretch>
      </xdr:blipFill>
      <xdr:spPr>
        <a:xfrm>
          <a:off x="11334749" y="45842464"/>
          <a:ext cx="5542704" cy="5413163"/>
        </a:xfrm>
        <a:prstGeom prst="rect">
          <a:avLst/>
        </a:prstGeom>
      </xdr:spPr>
    </xdr:pic>
    <xdr:clientData/>
  </xdr:oneCellAnchor>
  <xdr:oneCellAnchor>
    <xdr:from>
      <xdr:col>19</xdr:col>
      <xdr:colOff>166461</xdr:colOff>
      <xdr:row>160</xdr:row>
      <xdr:rowOff>176892</xdr:rowOff>
    </xdr:from>
    <xdr:ext cx="7322820" cy="4131944"/>
    <xdr:pic>
      <xdr:nvPicPr>
        <xdr:cNvPr id="64" name="Picture 1">
          <a:extLst>
            <a:ext uri="{FF2B5EF4-FFF2-40B4-BE49-F238E27FC236}">
              <a16:creationId xmlns:a16="http://schemas.microsoft.com/office/drawing/2014/main" id="{5BAA2C95-0205-45DB-9026-ACB379CECDA4}"/>
            </a:ext>
          </a:extLst>
        </xdr:cNvPr>
        <xdr:cNvPicPr>
          <a:picLocks noChangeAspect="1"/>
        </xdr:cNvPicPr>
      </xdr:nvPicPr>
      <xdr:blipFill>
        <a:blip xmlns:r="http://schemas.openxmlformats.org/officeDocument/2006/relationships" r:embed="rId4"/>
        <a:stretch>
          <a:fillRect/>
        </a:stretch>
      </xdr:blipFill>
      <xdr:spPr>
        <a:xfrm>
          <a:off x="4207782" y="28017106"/>
          <a:ext cx="7322820" cy="4131944"/>
        </a:xfrm>
        <a:prstGeom prst="rect">
          <a:avLst/>
        </a:prstGeom>
      </xdr:spPr>
    </xdr:pic>
    <xdr:clientData/>
  </xdr:oneCellAnchor>
  <xdr:twoCellAnchor editAs="oneCell">
    <xdr:from>
      <xdr:col>52</xdr:col>
      <xdr:colOff>154655</xdr:colOff>
      <xdr:row>166</xdr:row>
      <xdr:rowOff>112395</xdr:rowOff>
    </xdr:from>
    <xdr:to>
      <xdr:col>75</xdr:col>
      <xdr:colOff>59034</xdr:colOff>
      <xdr:row>178</xdr:row>
      <xdr:rowOff>112771</xdr:rowOff>
    </xdr:to>
    <xdr:pic>
      <xdr:nvPicPr>
        <xdr:cNvPr id="125" name="図 124">
          <a:extLst>
            <a:ext uri="{FF2B5EF4-FFF2-40B4-BE49-F238E27FC236}">
              <a16:creationId xmlns:a16="http://schemas.microsoft.com/office/drawing/2014/main" id="{6B787E7A-89AC-E27E-99DF-B8089D8CEB33}"/>
            </a:ext>
          </a:extLst>
        </xdr:cNvPr>
        <xdr:cNvPicPr>
          <a:picLocks noChangeAspect="1"/>
        </xdr:cNvPicPr>
      </xdr:nvPicPr>
      <xdr:blipFill>
        <a:blip xmlns:r="http://schemas.openxmlformats.org/officeDocument/2006/relationships" r:embed="rId5"/>
        <a:stretch>
          <a:fillRect/>
        </a:stretch>
      </xdr:blipFill>
      <xdr:spPr>
        <a:xfrm>
          <a:off x="11003630" y="104858820"/>
          <a:ext cx="4723077" cy="2172076"/>
        </a:xfrm>
        <a:prstGeom prst="rect">
          <a:avLst/>
        </a:prstGeom>
      </xdr:spPr>
    </xdr:pic>
    <xdr:clientData/>
  </xdr:twoCellAnchor>
  <xdr:twoCellAnchor editAs="oneCell">
    <xdr:from>
      <xdr:col>21</xdr:col>
      <xdr:colOff>28575</xdr:colOff>
      <xdr:row>186</xdr:row>
      <xdr:rowOff>95250</xdr:rowOff>
    </xdr:from>
    <xdr:to>
      <xdr:col>54</xdr:col>
      <xdr:colOff>172567</xdr:colOff>
      <xdr:row>221</xdr:row>
      <xdr:rowOff>869</xdr:rowOff>
    </xdr:to>
    <xdr:pic>
      <xdr:nvPicPr>
        <xdr:cNvPr id="126" name="図 125">
          <a:extLst>
            <a:ext uri="{FF2B5EF4-FFF2-40B4-BE49-F238E27FC236}">
              <a16:creationId xmlns:a16="http://schemas.microsoft.com/office/drawing/2014/main" id="{7FA369C9-32D1-E4C1-B47C-001A490E915D}"/>
            </a:ext>
          </a:extLst>
        </xdr:cNvPr>
        <xdr:cNvPicPr>
          <a:picLocks noChangeAspect="1"/>
        </xdr:cNvPicPr>
      </xdr:nvPicPr>
      <xdr:blipFill>
        <a:blip xmlns:r="http://schemas.openxmlformats.org/officeDocument/2006/relationships" r:embed="rId6"/>
        <a:stretch>
          <a:fillRect/>
        </a:stretch>
      </xdr:blipFill>
      <xdr:spPr>
        <a:xfrm>
          <a:off x="4933950" y="83696175"/>
          <a:ext cx="8002117" cy="6230219"/>
        </a:xfrm>
        <a:prstGeom prst="rect">
          <a:avLst/>
        </a:prstGeom>
      </xdr:spPr>
    </xdr:pic>
    <xdr:clientData/>
  </xdr:twoCellAnchor>
  <xdr:oneCellAnchor>
    <xdr:from>
      <xdr:col>25</xdr:col>
      <xdr:colOff>83820</xdr:colOff>
      <xdr:row>63</xdr:row>
      <xdr:rowOff>123825</xdr:rowOff>
    </xdr:from>
    <xdr:ext cx="9520614" cy="6060656"/>
    <xdr:pic>
      <xdr:nvPicPr>
        <xdr:cNvPr id="2" name="図 1">
          <a:extLst>
            <a:ext uri="{FF2B5EF4-FFF2-40B4-BE49-F238E27FC236}">
              <a16:creationId xmlns:a16="http://schemas.microsoft.com/office/drawing/2014/main" id="{942A1D03-F6A7-4C8E-B48E-D9C98892E9A3}"/>
            </a:ext>
          </a:extLst>
        </xdr:cNvPr>
        <xdr:cNvPicPr>
          <a:picLocks noChangeAspect="1"/>
        </xdr:cNvPicPr>
      </xdr:nvPicPr>
      <xdr:blipFill>
        <a:blip xmlns:r="http://schemas.openxmlformats.org/officeDocument/2006/relationships" r:embed="rId7"/>
        <a:stretch>
          <a:fillRect/>
        </a:stretch>
      </xdr:blipFill>
      <xdr:spPr>
        <a:xfrm>
          <a:off x="5903595" y="4629150"/>
          <a:ext cx="9520614" cy="6060656"/>
        </a:xfrm>
        <a:prstGeom prst="rect">
          <a:avLst/>
        </a:prstGeom>
      </xdr:spPr>
    </xdr:pic>
    <xdr:clientData/>
  </xdr:oneCellAnchor>
  <xdr:twoCellAnchor editAs="oneCell">
    <xdr:from>
      <xdr:col>25</xdr:col>
      <xdr:colOff>122464</xdr:colOff>
      <xdr:row>29</xdr:row>
      <xdr:rowOff>68037</xdr:rowOff>
    </xdr:from>
    <xdr:to>
      <xdr:col>66</xdr:col>
      <xdr:colOff>201985</xdr:colOff>
      <xdr:row>61</xdr:row>
      <xdr:rowOff>455</xdr:rowOff>
    </xdr:to>
    <xdr:pic>
      <xdr:nvPicPr>
        <xdr:cNvPr id="3" name="図 2">
          <a:extLst>
            <a:ext uri="{FF2B5EF4-FFF2-40B4-BE49-F238E27FC236}">
              <a16:creationId xmlns:a16="http://schemas.microsoft.com/office/drawing/2014/main" id="{44FA3D71-D95F-77C9-35C5-9ECC1D2D3458}"/>
            </a:ext>
          </a:extLst>
        </xdr:cNvPr>
        <xdr:cNvPicPr>
          <a:picLocks noChangeAspect="1"/>
        </xdr:cNvPicPr>
      </xdr:nvPicPr>
      <xdr:blipFill>
        <a:blip xmlns:r="http://schemas.openxmlformats.org/officeDocument/2006/relationships" r:embed="rId8"/>
        <a:stretch>
          <a:fillRect/>
        </a:stretch>
      </xdr:blipFill>
      <xdr:spPr>
        <a:xfrm>
          <a:off x="6082393" y="4735287"/>
          <a:ext cx="10121592" cy="5592536"/>
        </a:xfrm>
        <a:prstGeom prst="rect">
          <a:avLst/>
        </a:prstGeom>
      </xdr:spPr>
    </xdr:pic>
    <xdr:clientData/>
  </xdr:twoCellAnchor>
  <xdr:twoCellAnchor>
    <xdr:from>
      <xdr:col>54</xdr:col>
      <xdr:colOff>0</xdr:colOff>
      <xdr:row>161</xdr:row>
      <xdr:rowOff>1</xdr:rowOff>
    </xdr:from>
    <xdr:to>
      <xdr:col>67</xdr:col>
      <xdr:colOff>76200</xdr:colOff>
      <xdr:row>165</xdr:row>
      <xdr:rowOff>57151</xdr:rowOff>
    </xdr:to>
    <xdr:sp macro="" textlink="">
      <xdr:nvSpPr>
        <xdr:cNvPr id="4" name="吹き出し: 角を丸めた四角形 3">
          <a:extLst>
            <a:ext uri="{FF2B5EF4-FFF2-40B4-BE49-F238E27FC236}">
              <a16:creationId xmlns:a16="http://schemas.microsoft.com/office/drawing/2014/main" id="{68C98F6A-B6C0-4EEB-B861-AB30CE9CE72A}"/>
            </a:ext>
          </a:extLst>
        </xdr:cNvPr>
        <xdr:cNvSpPr/>
      </xdr:nvSpPr>
      <xdr:spPr>
        <a:xfrm>
          <a:off x="12211050" y="28575001"/>
          <a:ext cx="3048000" cy="781050"/>
        </a:xfrm>
        <a:prstGeom prst="wedgeRoundRectCallout">
          <a:avLst>
            <a:gd name="adj1" fmla="val -38667"/>
            <a:gd name="adj2" fmla="val 7205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chemeClr val="bg1"/>
              </a:solidFill>
              <a:latin typeface="+mn-ea"/>
              <a:ea typeface="+mn-ea"/>
            </a:rPr>
            <a:t>【</a:t>
          </a:r>
          <a:r>
            <a:rPr lang="ja-JP" altLang="en-US" sz="1100">
              <a:solidFill>
                <a:schemeClr val="bg1"/>
              </a:solidFill>
              <a:latin typeface="+mn-ea"/>
              <a:ea typeface="+mn-ea"/>
            </a:rPr>
            <a:t>補足</a:t>
          </a:r>
          <a:r>
            <a:rPr lang="en-US" altLang="ja-JP" sz="1100">
              <a:solidFill>
                <a:schemeClr val="bg1"/>
              </a:solidFill>
              <a:latin typeface="+mn-ea"/>
              <a:ea typeface="+mn-ea"/>
            </a:rPr>
            <a:t>】</a:t>
          </a:r>
        </a:p>
        <a:p>
          <a:pPr algn="l"/>
          <a:r>
            <a:rPr kumimoji="1" lang="ja-JP" altLang="en-US" sz="1100" b="0">
              <a:solidFill>
                <a:schemeClr val="bg1"/>
              </a:solidFill>
              <a:latin typeface="+mn-ea"/>
              <a:ea typeface="+mn-ea"/>
            </a:rPr>
            <a:t>ユーザ名・パスワードが表示されない場合は</a:t>
          </a:r>
          <a:endParaRPr kumimoji="1" lang="en-US" altLang="ja-JP" sz="1100" b="0">
            <a:solidFill>
              <a:schemeClr val="bg1"/>
            </a:solidFill>
            <a:latin typeface="+mn-ea"/>
            <a:ea typeface="+mn-ea"/>
          </a:endParaRPr>
        </a:p>
        <a:p>
          <a:pPr algn="l"/>
          <a:r>
            <a:rPr kumimoji="1" lang="ja-JP" altLang="en-US" sz="1100" b="0">
              <a:solidFill>
                <a:schemeClr val="bg1"/>
              </a:solidFill>
              <a:latin typeface="+mn-ea"/>
              <a:ea typeface="+mn-ea"/>
            </a:rPr>
            <a:t>左メニュー「データベース」を押下すること</a:t>
          </a:r>
        </a:p>
      </xdr:txBody>
    </xdr:sp>
    <xdr:clientData/>
  </xdr:twoCellAnchor>
  <xdr:twoCellAnchor>
    <xdr:from>
      <xdr:col>48</xdr:col>
      <xdr:colOff>180975</xdr:colOff>
      <xdr:row>179</xdr:row>
      <xdr:rowOff>47625</xdr:rowOff>
    </xdr:from>
    <xdr:to>
      <xdr:col>78</xdr:col>
      <xdr:colOff>122465</xdr:colOff>
      <xdr:row>185</xdr:row>
      <xdr:rowOff>40821</xdr:rowOff>
    </xdr:to>
    <xdr:sp macro="" textlink="">
      <xdr:nvSpPr>
        <xdr:cNvPr id="6" name="吹き出し: 角を丸めた四角形 4">
          <a:extLst>
            <a:ext uri="{FF2B5EF4-FFF2-40B4-BE49-F238E27FC236}">
              <a16:creationId xmlns:a16="http://schemas.microsoft.com/office/drawing/2014/main" id="{867ACDC0-D0EC-42A6-B46B-A8D5673CE43F}"/>
            </a:ext>
            <a:ext uri="{147F2762-F138-4A5C-976F-8EAC2B608ADB}">
              <a16:predDERef xmlns:a16="http://schemas.microsoft.com/office/drawing/2014/main" pred="{68C98F6A-B6C0-4EEB-B861-AB30CE9CE72A}"/>
            </a:ext>
          </a:extLst>
        </xdr:cNvPr>
        <xdr:cNvSpPr/>
      </xdr:nvSpPr>
      <xdr:spPr>
        <a:xfrm>
          <a:off x="10536011" y="31248804"/>
          <a:ext cx="6472918" cy="1054553"/>
        </a:xfrm>
        <a:prstGeom prst="wedgeRoundRectCallout">
          <a:avLst>
            <a:gd name="adj1" fmla="val -53288"/>
            <a:gd name="adj2" fmla="val -4344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chemeClr val="bg1"/>
              </a:solidFill>
              <a:latin typeface="+mn-ea"/>
              <a:ea typeface="+mn-ea"/>
            </a:rPr>
            <a:t>【</a:t>
          </a:r>
          <a:r>
            <a:rPr lang="ja-JP" altLang="en-US" sz="1100">
              <a:solidFill>
                <a:schemeClr val="bg1"/>
              </a:solidFill>
              <a:latin typeface="+mn-ea"/>
              <a:ea typeface="+mn-ea"/>
            </a:rPr>
            <a:t>補足</a:t>
          </a:r>
          <a:r>
            <a:rPr lang="en-US" altLang="ja-JP" sz="1100">
              <a:solidFill>
                <a:schemeClr val="bg1"/>
              </a:solidFill>
              <a:latin typeface="+mn-ea"/>
              <a:ea typeface="+mn-ea"/>
            </a:rPr>
            <a:t>】</a:t>
          </a:r>
        </a:p>
        <a:p>
          <a:pPr algn="l"/>
          <a:r>
            <a:rPr lang="ja-JP" altLang="en-US"/>
            <a:t>号口環境</a:t>
          </a:r>
          <a:r>
            <a:rPr lang="en-US" altLang="ja-JP"/>
            <a:t>: impala-proxy-toyotecdap-vwh-pr-default.dw-toyotecdap-env.kj09-szpi.cloudera.site:4443</a:t>
          </a:r>
          <a:br>
            <a:rPr lang="en-US" altLang="ja-JP"/>
          </a:br>
          <a:r>
            <a:rPr lang="ja-JP" altLang="en-US"/>
            <a:t>検証環境</a:t>
          </a:r>
          <a:r>
            <a:rPr lang="en-US" altLang="ja-JP"/>
            <a:t>: impala-proxy-toyotecdap-vwh-ve-default.dw-toyotecdap-env-ve.kj09-szpi.cloudera.site:4443</a:t>
          </a:r>
          <a:br>
            <a:rPr lang="en-US" altLang="ja-JP"/>
          </a:br>
          <a:r>
            <a:rPr lang="ja-JP" altLang="en-US"/>
            <a:t>開発環境</a:t>
          </a:r>
          <a:r>
            <a:rPr lang="en-US" altLang="ja-JP"/>
            <a:t>: impala-proxy-toyotecdap-vwh-dev-default.dw-toyotecdap-env-dev.kj09-szpi.cloudera.site:4443</a:t>
          </a:r>
          <a:endParaRPr kumimoji="1" lang="ja-JP" altLang="en-US" sz="1100" b="0">
            <a:solidFill>
              <a:schemeClr val="bg1"/>
            </a:solidFill>
            <a:latin typeface="+mn-ea"/>
            <a:ea typeface="+mn-ea"/>
          </a:endParaRPr>
        </a:p>
      </xdr:txBody>
    </xdr:sp>
    <xdr:clientData/>
  </xdr:twoCellAnchor>
  <xdr:twoCellAnchor>
    <xdr:from>
      <xdr:col>6</xdr:col>
      <xdr:colOff>228599</xdr:colOff>
      <xdr:row>40</xdr:row>
      <xdr:rowOff>180974</xdr:rowOff>
    </xdr:from>
    <xdr:to>
      <xdr:col>26</xdr:col>
      <xdr:colOff>114300</xdr:colOff>
      <xdr:row>46</xdr:row>
      <xdr:rowOff>133349</xdr:rowOff>
    </xdr:to>
    <xdr:sp macro="" textlink="">
      <xdr:nvSpPr>
        <xdr:cNvPr id="8" name="吹き出し: 角を丸めた四角形 7">
          <a:extLst>
            <a:ext uri="{FF2B5EF4-FFF2-40B4-BE49-F238E27FC236}">
              <a16:creationId xmlns:a16="http://schemas.microsoft.com/office/drawing/2014/main" id="{8E7DDF8A-0C1F-447F-B93C-22920E9BFB79}"/>
            </a:ext>
          </a:extLst>
        </xdr:cNvPr>
        <xdr:cNvSpPr/>
      </xdr:nvSpPr>
      <xdr:spPr>
        <a:xfrm>
          <a:off x="1447799" y="6857999"/>
          <a:ext cx="4476751" cy="1038225"/>
        </a:xfrm>
        <a:prstGeom prst="wedgeRoundRectCallout">
          <a:avLst>
            <a:gd name="adj1" fmla="val -10542"/>
            <a:gd name="adj2" fmla="val 742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chemeClr val="bg1"/>
              </a:solidFill>
              <a:latin typeface="+mn-ea"/>
              <a:ea typeface="+mn-ea"/>
            </a:rPr>
            <a:t>【</a:t>
          </a:r>
          <a:r>
            <a:rPr lang="ja-JP" altLang="en-US" sz="1100">
              <a:solidFill>
                <a:schemeClr val="bg1"/>
              </a:solidFill>
              <a:latin typeface="+mn-ea"/>
              <a:ea typeface="+mn-ea"/>
            </a:rPr>
            <a:t>補足</a:t>
          </a:r>
          <a:r>
            <a:rPr lang="en-US" altLang="ja-JP" sz="1100">
              <a:solidFill>
                <a:schemeClr val="bg1"/>
              </a:solidFill>
              <a:latin typeface="+mn-ea"/>
              <a:ea typeface="+mn-ea"/>
            </a:rPr>
            <a:t>】</a:t>
          </a:r>
        </a:p>
        <a:p>
          <a:pPr algn="l"/>
          <a:r>
            <a:rPr lang="ja-JP" altLang="en-US" sz="1100">
              <a:solidFill>
                <a:schemeClr val="bg1"/>
              </a:solidFill>
              <a:latin typeface="+mn-ea"/>
              <a:ea typeface="+mn-ea"/>
            </a:rPr>
            <a:t>ダウンロード後、</a:t>
          </a:r>
          <a:endParaRPr lang="en-US" altLang="ja-JP" sz="1100">
            <a:solidFill>
              <a:schemeClr val="bg1"/>
            </a:solidFill>
            <a:latin typeface="+mn-ea"/>
            <a:ea typeface="+mn-ea"/>
          </a:endParaRPr>
        </a:p>
        <a:p>
          <a:pPr algn="l"/>
          <a:r>
            <a:rPr lang="ja-JP" altLang="en-US" sz="1100">
              <a:solidFill>
                <a:schemeClr val="bg1"/>
              </a:solidFill>
              <a:latin typeface="+mn-ea"/>
              <a:ea typeface="+mn-ea"/>
            </a:rPr>
            <a:t>わかりやすい かつ</a:t>
          </a:r>
          <a:r>
            <a:rPr lang="ja-JP" altLang="en-US" sz="1100" baseline="0">
              <a:solidFill>
                <a:schemeClr val="bg1"/>
              </a:solidFill>
              <a:latin typeface="+mn-ea"/>
              <a:ea typeface="+mn-ea"/>
            </a:rPr>
            <a:t> </a:t>
          </a:r>
          <a:r>
            <a:rPr lang="ja-JP" altLang="en-US" sz="1100">
              <a:solidFill>
                <a:schemeClr val="bg1"/>
              </a:solidFill>
              <a:latin typeface="+mn-ea"/>
              <a:ea typeface="+mn-ea"/>
            </a:rPr>
            <a:t>誤って削除しないフォルダ内に格納しておくとよい</a:t>
          </a:r>
          <a:endParaRPr lang="en-US" altLang="ja-JP" sz="1100">
            <a:solidFill>
              <a:schemeClr val="bg1"/>
            </a:solidFill>
            <a:latin typeface="+mn-ea"/>
            <a:ea typeface="+mn-ea"/>
          </a:endParaRPr>
        </a:p>
        <a:p>
          <a:pPr algn="l"/>
          <a:r>
            <a:rPr lang="en-US" altLang="ja-JP" sz="1100">
              <a:solidFill>
                <a:schemeClr val="bg1"/>
              </a:solidFill>
              <a:latin typeface="+mn-ea"/>
              <a:ea typeface="+mn-ea"/>
            </a:rPr>
            <a:t>C:\work\DX</a:t>
          </a:r>
          <a:r>
            <a:rPr lang="ja-JP" altLang="en-US" sz="1100">
              <a:solidFill>
                <a:schemeClr val="bg1"/>
              </a:solidFill>
              <a:latin typeface="+mn-ea"/>
              <a:ea typeface="+mn-ea"/>
            </a:rPr>
            <a:t>道場</a:t>
          </a:r>
          <a:r>
            <a:rPr lang="en-US" altLang="ja-JP" sz="1100">
              <a:solidFill>
                <a:schemeClr val="bg1"/>
              </a:solidFill>
              <a:latin typeface="+mn-ea"/>
              <a:ea typeface="+mn-ea"/>
            </a:rPr>
            <a:t>\script</a:t>
          </a:r>
          <a:r>
            <a:rPr lang="ja-JP" altLang="en-US" sz="1100">
              <a:solidFill>
                <a:schemeClr val="bg1"/>
              </a:solidFill>
              <a:latin typeface="+mn-ea"/>
              <a:ea typeface="+mn-ea"/>
            </a:rPr>
            <a:t>　など</a:t>
          </a:r>
          <a:endParaRPr lang="en-US" altLang="ja-JP" sz="1100">
            <a:solidFill>
              <a:schemeClr val="bg1"/>
            </a:solidFill>
            <a:latin typeface="+mn-ea"/>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x:/s/TEC_254/IQCrU2uSmULPTI6HJEFBwZT3AasqYDoUqxCXPkKvcmzfgLc?e=Ose9Kr"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TEC_U-SLIM879/Shared%20Documents/Forms/AllItems.aspx?id=%2Fsites%2FTEC%5FU%2DSLIM879%2FShared%20Documents%2FGeneral%2F99%5FWork%2F06%5FWhizen%2F%E8%B8%8F%E3%81%BF%E5%8F%B0%E7%92%B0%E5%A2%83%2Fscript&amp;p=true&amp;ct=1770951107348&amp;or=Teams%2DHL&amp;ga=1&amp;LOF=1" TargetMode="External"/><Relationship Id="rId1" Type="http://schemas.openxmlformats.org/officeDocument/2006/relationships/hyperlink" Target="../../../../../../../:x:/s/TEC_254/IQCrU2uSmULPTI6HJEFBwZT3AasqYDoUqxCXPkKvcmzfgLc?e=Ose9Kr"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CE8D5-C741-4226-A1E1-0489A47E2B63}">
  <sheetPr>
    <tabColor theme="2"/>
  </sheetPr>
  <dimension ref="A1:T126"/>
  <sheetViews>
    <sheetView showGridLines="0" tabSelected="1" view="pageBreakPreview" zoomScaleNormal="100" zoomScaleSheetLayoutView="100" workbookViewId="0">
      <selection activeCell="D21" sqref="D21"/>
    </sheetView>
  </sheetViews>
  <sheetFormatPr defaultColWidth="4.453125" defaultRowHeight="15" x14ac:dyDescent="0.35"/>
  <cols>
    <col min="1" max="1" width="4.453125" style="35" customWidth="1"/>
    <col min="2" max="2" width="4.453125" style="34"/>
    <col min="3" max="3" width="3.453125" style="34" customWidth="1"/>
    <col min="4" max="4" width="15.26953125" style="34" bestFit="1" customWidth="1"/>
    <col min="5" max="16384" width="4.453125" style="34"/>
  </cols>
  <sheetData>
    <row r="1" spans="1:19" x14ac:dyDescent="0.35">
      <c r="A1" s="37"/>
      <c r="B1" s="36"/>
      <c r="C1" s="36"/>
      <c r="D1" s="36"/>
      <c r="E1" s="36"/>
      <c r="F1" s="36"/>
      <c r="G1" s="36"/>
      <c r="H1" s="36"/>
      <c r="I1" s="36"/>
      <c r="J1" s="36"/>
      <c r="K1" s="36"/>
      <c r="S1" s="36"/>
    </row>
    <row r="2" spans="1:19" x14ac:dyDescent="0.35">
      <c r="A2" s="37"/>
      <c r="B2" s="36"/>
      <c r="C2" s="36"/>
      <c r="D2" s="36"/>
      <c r="L2" s="129" t="s">
        <v>0</v>
      </c>
      <c r="M2" s="130"/>
      <c r="N2" s="131"/>
      <c r="O2" s="132">
        <f>変更履歴!C4</f>
        <v>45968</v>
      </c>
      <c r="P2" s="133"/>
      <c r="Q2" s="133"/>
      <c r="R2" s="75"/>
      <c r="S2" s="36"/>
    </row>
    <row r="3" spans="1:19" x14ac:dyDescent="0.35">
      <c r="A3" s="37"/>
      <c r="B3" s="36"/>
      <c r="C3" s="36"/>
      <c r="D3" s="36"/>
      <c r="L3" s="129" t="s">
        <v>1</v>
      </c>
      <c r="M3" s="130"/>
      <c r="N3" s="131"/>
      <c r="O3" s="134" t="str">
        <f>変更履歴!D4</f>
        <v>郭　天心</v>
      </c>
      <c r="P3" s="135"/>
      <c r="Q3" s="135"/>
      <c r="R3" s="75"/>
      <c r="S3" s="36"/>
    </row>
    <row r="4" spans="1:19" x14ac:dyDescent="0.35">
      <c r="A4" s="37"/>
      <c r="B4" s="36"/>
      <c r="C4" s="36"/>
      <c r="D4" s="36"/>
      <c r="L4" s="129" t="s">
        <v>2</v>
      </c>
      <c r="M4" s="130"/>
      <c r="N4" s="131"/>
      <c r="O4" s="132" cm="1">
        <f t="array" ref="O4">LOOKUP(2,1/(変更履歴!C:C&lt;&gt;""),変更履歴!C:C)</f>
        <v>45975</v>
      </c>
      <c r="P4" s="133"/>
      <c r="Q4" s="133"/>
      <c r="R4" s="75"/>
      <c r="S4" s="36"/>
    </row>
    <row r="5" spans="1:19" x14ac:dyDescent="0.35">
      <c r="A5" s="37"/>
      <c r="B5" s="36"/>
      <c r="C5" s="36"/>
      <c r="D5" s="36"/>
      <c r="L5" s="129" t="s">
        <v>3</v>
      </c>
      <c r="M5" s="130"/>
      <c r="N5" s="131"/>
      <c r="O5" s="136" t="str" cm="1">
        <f t="array" ref="O5">LOOKUP(2,1/(変更履歴!D:D&lt;&gt;""),変更履歴!D:D)</f>
        <v>郭　天心</v>
      </c>
      <c r="P5" s="135"/>
      <c r="Q5" s="135"/>
      <c r="R5" s="75"/>
      <c r="S5" s="36"/>
    </row>
    <row r="6" spans="1:19" x14ac:dyDescent="0.35">
      <c r="A6" s="37"/>
      <c r="B6" s="36"/>
      <c r="C6" s="36"/>
      <c r="D6" s="36"/>
      <c r="L6" s="137" t="s">
        <v>4</v>
      </c>
      <c r="M6" s="137"/>
      <c r="N6" s="137"/>
      <c r="O6" s="138" t="str" cm="1">
        <f t="array" ref="O6">LOOKUP(2,1/(変更履歴!B:B&lt;&gt;""),変更履歴!B:B)</f>
        <v>Ver2.0</v>
      </c>
      <c r="P6" s="138"/>
      <c r="Q6" s="138"/>
      <c r="R6" s="37"/>
      <c r="S6" s="36"/>
    </row>
    <row r="7" spans="1:19" x14ac:dyDescent="0.35">
      <c r="A7" s="37"/>
      <c r="B7" s="36"/>
      <c r="C7" s="36"/>
      <c r="D7" s="36"/>
      <c r="E7" s="36"/>
      <c r="F7" s="36"/>
      <c r="G7" s="36"/>
      <c r="H7" s="36"/>
      <c r="I7" s="36"/>
      <c r="J7" s="36"/>
      <c r="K7" s="36"/>
      <c r="L7" s="36"/>
      <c r="M7" s="36"/>
      <c r="N7" s="36"/>
      <c r="O7" s="36"/>
      <c r="P7" s="36"/>
      <c r="Q7" s="36"/>
      <c r="R7" s="36"/>
      <c r="S7" s="36"/>
    </row>
    <row r="8" spans="1:19" ht="5.65" customHeight="1" x14ac:dyDescent="0.35">
      <c r="A8" s="37"/>
      <c r="B8" s="36"/>
      <c r="C8" s="36"/>
      <c r="D8" s="36"/>
      <c r="E8" s="36"/>
      <c r="F8" s="36"/>
      <c r="G8" s="36"/>
      <c r="H8" s="36"/>
      <c r="I8" s="36"/>
      <c r="J8" s="36"/>
      <c r="K8" s="36"/>
      <c r="L8" s="36"/>
      <c r="M8" s="36"/>
      <c r="N8" s="36"/>
      <c r="O8" s="36"/>
      <c r="P8" s="36"/>
      <c r="Q8" s="36"/>
      <c r="R8" s="36"/>
      <c r="S8" s="36"/>
    </row>
    <row r="9" spans="1:19" ht="15" customHeight="1" x14ac:dyDescent="0.35">
      <c r="A9" s="139" t="s">
        <v>5</v>
      </c>
      <c r="B9" s="139"/>
      <c r="C9" s="139"/>
      <c r="D9" s="139"/>
      <c r="E9" s="139"/>
      <c r="F9" s="139"/>
      <c r="G9" s="139"/>
      <c r="H9" s="139"/>
      <c r="I9" s="139"/>
      <c r="J9" s="139"/>
      <c r="K9" s="139"/>
      <c r="L9" s="139"/>
      <c r="M9" s="139"/>
      <c r="N9" s="139"/>
      <c r="O9" s="139"/>
      <c r="P9" s="139"/>
      <c r="Q9" s="139"/>
      <c r="R9" s="139"/>
      <c r="S9" s="36"/>
    </row>
    <row r="10" spans="1:19" ht="15" customHeight="1" x14ac:dyDescent="0.35">
      <c r="A10" s="139"/>
      <c r="B10" s="139"/>
      <c r="C10" s="139"/>
      <c r="D10" s="139"/>
      <c r="E10" s="139"/>
      <c r="F10" s="139"/>
      <c r="G10" s="139"/>
      <c r="H10" s="139"/>
      <c r="I10" s="139"/>
      <c r="J10" s="139"/>
      <c r="K10" s="139"/>
      <c r="L10" s="139"/>
      <c r="M10" s="139"/>
      <c r="N10" s="139"/>
      <c r="O10" s="139"/>
      <c r="P10" s="139"/>
      <c r="Q10" s="139"/>
      <c r="R10" s="139"/>
      <c r="S10" s="36"/>
    </row>
    <row r="11" spans="1:19" ht="15" customHeight="1" x14ac:dyDescent="0.35">
      <c r="A11" s="139"/>
      <c r="B11" s="139"/>
      <c r="C11" s="139"/>
      <c r="D11" s="139"/>
      <c r="E11" s="139"/>
      <c r="F11" s="139"/>
      <c r="G11" s="139"/>
      <c r="H11" s="139"/>
      <c r="I11" s="139"/>
      <c r="J11" s="139"/>
      <c r="K11" s="139"/>
      <c r="L11" s="139"/>
      <c r="M11" s="139"/>
      <c r="N11" s="139"/>
      <c r="O11" s="139"/>
      <c r="P11" s="139"/>
      <c r="Q11" s="139"/>
      <c r="R11" s="139"/>
      <c r="S11" s="36"/>
    </row>
    <row r="12" spans="1:19" ht="15" customHeight="1" x14ac:dyDescent="0.35">
      <c r="A12" s="139"/>
      <c r="B12" s="139"/>
      <c r="C12" s="139"/>
      <c r="D12" s="139"/>
      <c r="E12" s="139"/>
      <c r="F12" s="139"/>
      <c r="G12" s="139"/>
      <c r="H12" s="139"/>
      <c r="I12" s="139"/>
      <c r="J12" s="139"/>
      <c r="K12" s="139"/>
      <c r="L12" s="139"/>
      <c r="M12" s="139"/>
      <c r="N12" s="139"/>
      <c r="O12" s="139"/>
      <c r="P12" s="139"/>
      <c r="Q12" s="139"/>
      <c r="R12" s="139"/>
      <c r="S12" s="36"/>
    </row>
    <row r="13" spans="1:19" ht="15" customHeight="1" x14ac:dyDescent="0.35">
      <c r="A13" s="139"/>
      <c r="B13" s="139"/>
      <c r="C13" s="139"/>
      <c r="D13" s="139"/>
      <c r="E13" s="139"/>
      <c r="F13" s="139"/>
      <c r="G13" s="139"/>
      <c r="H13" s="139"/>
      <c r="I13" s="139"/>
      <c r="J13" s="139"/>
      <c r="K13" s="139"/>
      <c r="L13" s="139"/>
      <c r="M13" s="139"/>
      <c r="N13" s="139"/>
      <c r="O13" s="139"/>
      <c r="P13" s="139"/>
      <c r="Q13" s="139"/>
      <c r="R13" s="139"/>
      <c r="S13" s="36"/>
    </row>
    <row r="14" spans="1:19" ht="5.65" customHeight="1" x14ac:dyDescent="0.35">
      <c r="A14" s="37"/>
      <c r="B14" s="36"/>
      <c r="C14" s="36"/>
      <c r="D14" s="36"/>
      <c r="E14" s="36"/>
      <c r="F14" s="36"/>
      <c r="G14" s="36"/>
      <c r="H14" s="36"/>
      <c r="I14" s="36"/>
      <c r="J14" s="36"/>
      <c r="K14" s="36"/>
      <c r="L14" s="36"/>
      <c r="M14" s="36"/>
      <c r="N14" s="36"/>
      <c r="O14" s="36"/>
      <c r="P14" s="36"/>
      <c r="Q14" s="36"/>
      <c r="R14" s="36"/>
      <c r="S14" s="36"/>
    </row>
    <row r="15" spans="1:19" ht="15" customHeight="1" x14ac:dyDescent="0.35">
      <c r="A15" s="50"/>
      <c r="B15" s="50"/>
      <c r="C15" s="50"/>
      <c r="D15" s="50"/>
      <c r="E15" s="50"/>
      <c r="F15" s="50"/>
      <c r="G15" s="50"/>
      <c r="H15" s="50"/>
      <c r="I15" s="50"/>
      <c r="J15" s="50"/>
      <c r="K15" s="50"/>
      <c r="L15" s="50"/>
      <c r="M15" s="50"/>
      <c r="N15" s="50"/>
      <c r="O15" s="50"/>
      <c r="P15" s="50"/>
      <c r="Q15" s="50"/>
      <c r="R15" s="50"/>
      <c r="S15" s="36"/>
    </row>
    <row r="16" spans="1:19" ht="15" customHeight="1" x14ac:dyDescent="0.35">
      <c r="A16" s="50"/>
      <c r="B16" s="50"/>
      <c r="C16" s="50"/>
      <c r="D16" s="50"/>
      <c r="E16" s="50"/>
      <c r="F16" s="50"/>
      <c r="G16" s="50"/>
      <c r="H16" s="50"/>
      <c r="I16" s="50"/>
      <c r="J16" s="50"/>
      <c r="K16" s="50"/>
      <c r="L16" s="50"/>
      <c r="M16" s="50"/>
      <c r="N16" s="50"/>
      <c r="O16" s="50"/>
      <c r="P16" s="50"/>
      <c r="Q16" s="50"/>
      <c r="R16" s="50"/>
      <c r="S16" s="36"/>
    </row>
    <row r="17" spans="1:19" ht="15" customHeight="1" x14ac:dyDescent="0.35">
      <c r="A17" s="50"/>
      <c r="B17" s="50"/>
      <c r="C17" s="50"/>
      <c r="D17" s="50"/>
      <c r="E17" s="50"/>
      <c r="F17" s="50"/>
      <c r="G17" s="50"/>
      <c r="H17" s="50"/>
      <c r="I17" s="50"/>
      <c r="J17" s="50"/>
      <c r="K17" s="50"/>
      <c r="L17" s="50"/>
      <c r="M17" s="50"/>
      <c r="N17" s="50"/>
      <c r="O17" s="50"/>
      <c r="P17" s="50"/>
      <c r="Q17" s="50"/>
      <c r="R17" s="50"/>
      <c r="S17" s="36"/>
    </row>
    <row r="18" spans="1:19" ht="15" customHeight="1" x14ac:dyDescent="0.35">
      <c r="A18" s="50"/>
      <c r="B18" s="50"/>
      <c r="C18" s="50"/>
      <c r="D18" s="50"/>
      <c r="E18" s="50"/>
      <c r="F18" s="50"/>
      <c r="G18" s="50"/>
      <c r="H18" s="50"/>
      <c r="I18" s="50"/>
      <c r="J18" s="50"/>
      <c r="K18" s="50"/>
      <c r="L18" s="50"/>
      <c r="M18" s="50"/>
      <c r="N18" s="50"/>
      <c r="O18" s="50"/>
      <c r="P18" s="50"/>
      <c r="Q18" s="50"/>
      <c r="R18" s="50"/>
      <c r="S18" s="36"/>
    </row>
    <row r="19" spans="1:19" ht="21" customHeight="1" x14ac:dyDescent="0.35">
      <c r="A19" s="50"/>
      <c r="B19" s="126" t="s">
        <v>6</v>
      </c>
      <c r="C19" s="127"/>
      <c r="D19" s="127"/>
      <c r="E19" s="127"/>
      <c r="F19" s="127"/>
      <c r="G19" s="127"/>
      <c r="H19" s="127"/>
      <c r="I19" s="127"/>
      <c r="J19" s="127"/>
      <c r="K19" s="127"/>
      <c r="L19" s="127"/>
      <c r="M19" s="127"/>
      <c r="N19" s="127"/>
      <c r="O19" s="127"/>
      <c r="P19" s="127"/>
      <c r="Q19" s="128"/>
      <c r="R19" s="50"/>
      <c r="S19" s="36"/>
    </row>
    <row r="20" spans="1:19" ht="23.25" customHeight="1" thickBot="1" x14ac:dyDescent="0.4">
      <c r="A20" s="50"/>
      <c r="B20" s="55"/>
      <c r="C20" s="54"/>
      <c r="D20" s="54"/>
      <c r="E20" s="54"/>
      <c r="F20" s="54"/>
      <c r="G20" s="54"/>
      <c r="H20" s="54"/>
      <c r="I20" s="54"/>
      <c r="J20" s="54"/>
      <c r="K20" s="54"/>
      <c r="L20" s="54"/>
      <c r="M20" s="54"/>
      <c r="N20" s="54"/>
      <c r="O20" s="54"/>
      <c r="P20" s="54"/>
      <c r="Q20" s="53"/>
      <c r="R20" s="50"/>
      <c r="S20" s="36"/>
    </row>
    <row r="21" spans="1:19" ht="22.5" customHeight="1" thickBot="1" x14ac:dyDescent="0.4">
      <c r="A21" s="50"/>
      <c r="B21" s="52"/>
      <c r="C21" s="90">
        <v>1</v>
      </c>
      <c r="D21" s="115" t="str">
        <f ca="1">'01_【開発環境接続（PowerBI接続）】フロー'!A3</f>
        <v>01_【開発環境接続（PowerBI接続）】フロー</v>
      </c>
      <c r="E21" s="81"/>
      <c r="F21" s="81"/>
      <c r="G21" s="81"/>
      <c r="H21" s="82"/>
      <c r="I21" s="81"/>
      <c r="J21" s="83"/>
      <c r="K21" s="83"/>
      <c r="L21" s="83"/>
      <c r="M21" s="83"/>
      <c r="N21" s="83"/>
      <c r="O21" s="84"/>
      <c r="Q21" s="51"/>
      <c r="R21" s="50"/>
    </row>
    <row r="22" spans="1:19" ht="22.5" customHeight="1" x14ac:dyDescent="0.35">
      <c r="A22" s="50"/>
      <c r="B22" s="52"/>
      <c r="C22" s="90">
        <v>2</v>
      </c>
      <c r="D22" s="107" t="str">
        <f ca="1">'02_手順'!A3</f>
        <v>02_手順</v>
      </c>
      <c r="E22" s="79"/>
      <c r="F22" s="79"/>
      <c r="G22" s="79"/>
      <c r="H22" s="80"/>
      <c r="I22" s="79"/>
      <c r="J22" s="79"/>
      <c r="K22" s="79"/>
      <c r="L22" s="79"/>
      <c r="M22" s="79"/>
      <c r="N22" s="79"/>
      <c r="O22" s="86"/>
      <c r="Q22" s="51"/>
      <c r="R22" s="50"/>
    </row>
    <row r="23" spans="1:19" ht="22.5" customHeight="1" x14ac:dyDescent="0.35">
      <c r="A23" s="50"/>
      <c r="B23" s="52"/>
      <c r="C23" s="91" t="str">
        <f t="shared" ref="C23:C34" si="0">IF(D23="","",C22+1)</f>
        <v/>
      </c>
      <c r="D23" s="85"/>
      <c r="E23" s="79"/>
      <c r="F23" s="79"/>
      <c r="G23" s="79"/>
      <c r="H23" s="80"/>
      <c r="I23" s="79"/>
      <c r="J23" s="79"/>
      <c r="K23" s="79"/>
      <c r="L23" s="79"/>
      <c r="M23" s="79"/>
      <c r="N23" s="79"/>
      <c r="O23" s="86"/>
      <c r="Q23" s="51"/>
      <c r="R23" s="50"/>
    </row>
    <row r="24" spans="1:19" ht="22.5" customHeight="1" x14ac:dyDescent="0.35">
      <c r="A24" s="50"/>
      <c r="B24" s="52"/>
      <c r="C24" s="91" t="str">
        <f t="shared" si="0"/>
        <v/>
      </c>
      <c r="D24" s="85"/>
      <c r="E24" s="79"/>
      <c r="F24" s="79"/>
      <c r="G24" s="79"/>
      <c r="H24" s="80"/>
      <c r="I24" s="79"/>
      <c r="J24" s="79"/>
      <c r="K24" s="79"/>
      <c r="L24" s="79"/>
      <c r="M24" s="79"/>
      <c r="N24" s="79"/>
      <c r="O24" s="86"/>
      <c r="Q24" s="51"/>
      <c r="R24" s="50"/>
    </row>
    <row r="25" spans="1:19" ht="22.5" customHeight="1" x14ac:dyDescent="0.35">
      <c r="A25" s="50"/>
      <c r="B25" s="52"/>
      <c r="C25" s="91" t="str">
        <f t="shared" si="0"/>
        <v/>
      </c>
      <c r="D25" s="85"/>
      <c r="E25" s="79"/>
      <c r="F25" s="79"/>
      <c r="G25" s="79"/>
      <c r="H25" s="79"/>
      <c r="I25" s="79"/>
      <c r="J25" s="79"/>
      <c r="K25" s="79"/>
      <c r="L25" s="79"/>
      <c r="M25" s="79"/>
      <c r="N25" s="79"/>
      <c r="O25" s="86"/>
      <c r="Q25" s="51"/>
      <c r="R25" s="50"/>
    </row>
    <row r="26" spans="1:19" ht="22.5" customHeight="1" x14ac:dyDescent="0.35">
      <c r="A26" s="50"/>
      <c r="B26" s="52"/>
      <c r="C26" s="91" t="str">
        <f t="shared" si="0"/>
        <v/>
      </c>
      <c r="D26" s="85"/>
      <c r="E26" s="79"/>
      <c r="F26" s="79"/>
      <c r="G26" s="79"/>
      <c r="H26" s="79"/>
      <c r="I26" s="79"/>
      <c r="J26" s="79"/>
      <c r="K26" s="79"/>
      <c r="L26" s="79"/>
      <c r="M26" s="79"/>
      <c r="N26" s="79"/>
      <c r="O26" s="86"/>
      <c r="Q26" s="51"/>
      <c r="R26" s="50"/>
    </row>
    <row r="27" spans="1:19" ht="22.5" customHeight="1" x14ac:dyDescent="0.35">
      <c r="A27" s="50"/>
      <c r="B27" s="52"/>
      <c r="C27" s="91" t="str">
        <f t="shared" si="0"/>
        <v/>
      </c>
      <c r="D27" s="85"/>
      <c r="E27" s="79"/>
      <c r="F27" s="79"/>
      <c r="G27" s="79"/>
      <c r="H27" s="79"/>
      <c r="I27" s="79"/>
      <c r="J27" s="79"/>
      <c r="K27" s="79"/>
      <c r="L27" s="79"/>
      <c r="M27" s="79"/>
      <c r="N27" s="79"/>
      <c r="O27" s="86"/>
      <c r="Q27" s="51"/>
      <c r="R27" s="50"/>
    </row>
    <row r="28" spans="1:19" ht="22.5" customHeight="1" x14ac:dyDescent="0.35">
      <c r="A28" s="50"/>
      <c r="B28" s="52"/>
      <c r="C28" s="91" t="str">
        <f t="shared" si="0"/>
        <v/>
      </c>
      <c r="D28" s="85"/>
      <c r="E28" s="79"/>
      <c r="F28" s="79"/>
      <c r="G28" s="79"/>
      <c r="H28" s="79"/>
      <c r="I28" s="79"/>
      <c r="J28" s="79"/>
      <c r="K28" s="79"/>
      <c r="L28" s="79"/>
      <c r="M28" s="79"/>
      <c r="N28" s="79"/>
      <c r="O28" s="86"/>
      <c r="Q28" s="51"/>
      <c r="R28" s="50"/>
    </row>
    <row r="29" spans="1:19" ht="22.5" customHeight="1" x14ac:dyDescent="0.35">
      <c r="A29" s="50"/>
      <c r="B29" s="52"/>
      <c r="C29" s="91" t="str">
        <f t="shared" si="0"/>
        <v/>
      </c>
      <c r="D29" s="85"/>
      <c r="E29" s="79"/>
      <c r="F29" s="79"/>
      <c r="G29" s="79"/>
      <c r="H29" s="79"/>
      <c r="I29" s="79"/>
      <c r="J29" s="79"/>
      <c r="K29" s="79"/>
      <c r="L29" s="79"/>
      <c r="M29" s="79"/>
      <c r="N29" s="79"/>
      <c r="O29" s="86"/>
      <c r="Q29" s="51"/>
      <c r="R29" s="50"/>
    </row>
    <row r="30" spans="1:19" ht="17.5" customHeight="1" x14ac:dyDescent="0.35">
      <c r="A30" s="50"/>
      <c r="B30" s="49"/>
      <c r="C30" s="91" t="str">
        <f t="shared" si="0"/>
        <v/>
      </c>
      <c r="D30" s="85"/>
      <c r="E30" s="79"/>
      <c r="F30" s="79"/>
      <c r="G30" s="79"/>
      <c r="H30" s="79"/>
      <c r="I30" s="79"/>
      <c r="J30" s="79"/>
      <c r="K30" s="79"/>
      <c r="L30" s="79"/>
      <c r="M30" s="79"/>
      <c r="N30" s="79"/>
      <c r="O30" s="86"/>
      <c r="Q30" s="47"/>
      <c r="R30" s="46"/>
      <c r="S30" s="41"/>
    </row>
    <row r="31" spans="1:19" ht="17.5" customHeight="1" x14ac:dyDescent="0.35">
      <c r="A31" s="50"/>
      <c r="B31" s="49"/>
      <c r="C31" s="91" t="str">
        <f t="shared" si="0"/>
        <v/>
      </c>
      <c r="D31" s="85"/>
      <c r="E31" s="79"/>
      <c r="F31" s="79"/>
      <c r="G31" s="79"/>
      <c r="H31" s="79"/>
      <c r="I31" s="79"/>
      <c r="J31" s="79"/>
      <c r="K31" s="79"/>
      <c r="L31" s="79"/>
      <c r="M31" s="79"/>
      <c r="N31" s="79"/>
      <c r="O31" s="86"/>
      <c r="Q31" s="47"/>
      <c r="R31" s="46"/>
      <c r="S31" s="41"/>
    </row>
    <row r="32" spans="1:19" ht="17.5" customHeight="1" x14ac:dyDescent="0.35">
      <c r="A32" s="50"/>
      <c r="B32" s="49"/>
      <c r="C32" s="91" t="str">
        <f t="shared" si="0"/>
        <v/>
      </c>
      <c r="D32" s="85"/>
      <c r="E32" s="79"/>
      <c r="F32" s="79"/>
      <c r="G32" s="79"/>
      <c r="H32" s="79"/>
      <c r="I32" s="79"/>
      <c r="J32" s="79"/>
      <c r="K32" s="79"/>
      <c r="L32" s="79"/>
      <c r="M32" s="79"/>
      <c r="N32" s="79"/>
      <c r="O32" s="86"/>
      <c r="Q32" s="47"/>
      <c r="R32" s="46"/>
      <c r="S32" s="41"/>
    </row>
    <row r="33" spans="1:20" ht="17.5" customHeight="1" x14ac:dyDescent="0.35">
      <c r="A33" s="50"/>
      <c r="B33" s="49"/>
      <c r="C33" s="91" t="str">
        <f t="shared" si="0"/>
        <v/>
      </c>
      <c r="D33" s="85"/>
      <c r="E33" s="79"/>
      <c r="F33" s="79"/>
      <c r="G33" s="79"/>
      <c r="H33" s="79"/>
      <c r="I33" s="79"/>
      <c r="J33" s="79"/>
      <c r="K33" s="79"/>
      <c r="L33" s="79"/>
      <c r="M33" s="79"/>
      <c r="N33" s="79"/>
      <c r="O33" s="86"/>
      <c r="Q33" s="47"/>
      <c r="R33" s="46"/>
      <c r="S33" s="41"/>
    </row>
    <row r="34" spans="1:20" ht="17.5" customHeight="1" thickBot="1" x14ac:dyDescent="0.4">
      <c r="A34" s="50"/>
      <c r="B34" s="49"/>
      <c r="C34" s="92" t="str">
        <f t="shared" si="0"/>
        <v/>
      </c>
      <c r="D34" s="87"/>
      <c r="E34" s="88"/>
      <c r="F34" s="88"/>
      <c r="G34" s="88"/>
      <c r="H34" s="88"/>
      <c r="I34" s="88"/>
      <c r="J34" s="88"/>
      <c r="K34" s="88"/>
      <c r="L34" s="88"/>
      <c r="M34" s="88"/>
      <c r="N34" s="88"/>
      <c r="O34" s="89"/>
      <c r="Q34" s="47"/>
      <c r="R34" s="46"/>
      <c r="S34" s="41"/>
    </row>
    <row r="35" spans="1:20" ht="17.649999999999999" customHeight="1" x14ac:dyDescent="0.35">
      <c r="A35" s="50"/>
      <c r="B35" s="49"/>
      <c r="C35" s="48"/>
      <c r="D35" s="42"/>
      <c r="E35" s="46"/>
      <c r="F35" s="46"/>
      <c r="G35" s="46"/>
      <c r="H35" s="46"/>
      <c r="I35" s="46"/>
      <c r="J35" s="46"/>
      <c r="K35" s="46"/>
      <c r="L35" s="46"/>
      <c r="M35" s="46"/>
      <c r="N35" s="46"/>
      <c r="O35" s="46"/>
      <c r="P35" s="46"/>
      <c r="Q35" s="47"/>
      <c r="R35" s="46"/>
      <c r="S35" s="42"/>
      <c r="T35" s="41"/>
    </row>
    <row r="36" spans="1:20" ht="16" x14ac:dyDescent="0.35">
      <c r="A36" s="37"/>
      <c r="B36" s="45"/>
      <c r="C36" s="44"/>
      <c r="D36" s="44"/>
      <c r="E36" s="44"/>
      <c r="F36" s="44"/>
      <c r="G36" s="44"/>
      <c r="H36" s="44"/>
      <c r="I36" s="44"/>
      <c r="J36" s="44"/>
      <c r="K36" s="44"/>
      <c r="L36" s="44"/>
      <c r="M36" s="44"/>
      <c r="N36" s="44"/>
      <c r="O36" s="44"/>
      <c r="P36" s="44"/>
      <c r="Q36" s="43"/>
      <c r="R36" s="42"/>
      <c r="S36" s="42"/>
      <c r="T36" s="41"/>
    </row>
    <row r="37" spans="1:20" ht="16" x14ac:dyDescent="0.35">
      <c r="A37" s="37"/>
      <c r="B37" s="42"/>
      <c r="C37" s="42"/>
      <c r="D37" s="42"/>
      <c r="E37" s="42"/>
      <c r="F37" s="42"/>
      <c r="G37" s="42"/>
      <c r="H37" s="42"/>
      <c r="I37" s="42"/>
      <c r="J37" s="42"/>
      <c r="K37" s="42"/>
      <c r="L37" s="42"/>
      <c r="M37" s="42"/>
      <c r="N37" s="42"/>
      <c r="O37" s="42"/>
      <c r="P37" s="42"/>
      <c r="Q37" s="42"/>
      <c r="R37" s="42"/>
      <c r="S37" s="42"/>
      <c r="T37" s="41"/>
    </row>
    <row r="38" spans="1:20" ht="16" x14ac:dyDescent="0.35">
      <c r="A38" s="37"/>
      <c r="B38" s="42"/>
      <c r="C38" s="42"/>
      <c r="D38" s="42"/>
      <c r="E38" s="42"/>
      <c r="F38" s="42"/>
      <c r="G38" s="42"/>
      <c r="H38" s="42"/>
      <c r="I38" s="42"/>
      <c r="J38" s="42"/>
      <c r="K38" s="42"/>
      <c r="L38" s="42"/>
      <c r="M38" s="42"/>
      <c r="N38" s="42"/>
      <c r="O38" s="42"/>
      <c r="P38" s="42"/>
      <c r="Q38" s="42"/>
      <c r="R38" s="42"/>
      <c r="S38" s="42"/>
      <c r="T38" s="41"/>
    </row>
    <row r="39" spans="1:20" x14ac:dyDescent="0.35">
      <c r="A39" s="37"/>
      <c r="B39" s="36"/>
      <c r="C39" s="36"/>
      <c r="D39" s="39"/>
      <c r="E39" s="36"/>
      <c r="F39" s="36"/>
      <c r="G39" s="39"/>
      <c r="H39" s="36"/>
      <c r="I39" s="36"/>
      <c r="J39" s="36"/>
      <c r="K39" s="36"/>
      <c r="L39" s="36"/>
      <c r="M39" s="36"/>
      <c r="N39" s="36"/>
      <c r="O39" s="36"/>
      <c r="P39" s="36"/>
      <c r="Q39" s="36"/>
      <c r="R39" s="36"/>
      <c r="S39" s="36"/>
    </row>
    <row r="40" spans="1:20" x14ac:dyDescent="0.35">
      <c r="A40" s="37"/>
      <c r="B40" s="36"/>
      <c r="C40" s="36"/>
      <c r="D40" s="39"/>
      <c r="E40" s="36"/>
      <c r="F40" s="36"/>
      <c r="G40" s="39"/>
      <c r="H40" s="36"/>
      <c r="I40" s="36"/>
      <c r="J40" s="36"/>
      <c r="K40" s="36"/>
      <c r="L40" s="36"/>
      <c r="M40" s="36"/>
      <c r="N40" s="36"/>
      <c r="O40" s="36"/>
      <c r="P40" s="36"/>
      <c r="Q40" s="36"/>
      <c r="R40" s="36"/>
      <c r="S40" s="36"/>
    </row>
    <row r="41" spans="1:20" x14ac:dyDescent="0.35">
      <c r="A41" s="37"/>
      <c r="B41" s="36"/>
      <c r="C41" s="36"/>
      <c r="D41" s="39"/>
      <c r="E41" s="36"/>
      <c r="F41" s="36"/>
      <c r="G41" s="39"/>
      <c r="H41" s="36"/>
      <c r="I41" s="36"/>
      <c r="J41" s="36"/>
      <c r="K41" s="36"/>
      <c r="L41" s="36"/>
      <c r="M41" s="36"/>
      <c r="N41" s="36"/>
      <c r="O41" s="36"/>
      <c r="P41" s="36"/>
      <c r="Q41" s="36"/>
      <c r="R41" s="36"/>
      <c r="S41" s="36"/>
    </row>
    <row r="42" spans="1:20" x14ac:dyDescent="0.35">
      <c r="A42" s="37"/>
      <c r="B42" s="36"/>
      <c r="C42" s="36"/>
      <c r="D42" s="39"/>
      <c r="E42" s="36"/>
      <c r="F42" s="36"/>
      <c r="G42" s="39"/>
      <c r="H42" s="36"/>
      <c r="I42" s="36"/>
      <c r="J42" s="36"/>
      <c r="K42" s="36"/>
      <c r="L42" s="36"/>
      <c r="M42" s="36"/>
      <c r="N42" s="36"/>
      <c r="O42" s="36"/>
      <c r="P42" s="36"/>
      <c r="Q42" s="36"/>
      <c r="R42" s="36"/>
      <c r="S42" s="36"/>
    </row>
    <row r="43" spans="1:20" x14ac:dyDescent="0.35">
      <c r="A43" s="37"/>
      <c r="B43" s="36"/>
      <c r="C43" s="36"/>
      <c r="D43" s="39"/>
      <c r="E43" s="36"/>
      <c r="F43" s="36"/>
      <c r="G43" s="39"/>
      <c r="H43" s="36"/>
      <c r="I43" s="40"/>
      <c r="J43" s="36"/>
      <c r="K43" s="36"/>
      <c r="L43" s="36"/>
      <c r="M43" s="36"/>
      <c r="N43" s="36"/>
      <c r="O43" s="36"/>
      <c r="P43" s="36"/>
      <c r="Q43" s="36"/>
      <c r="R43" s="36"/>
      <c r="S43" s="36"/>
    </row>
    <row r="44" spans="1:20" x14ac:dyDescent="0.35">
      <c r="A44" s="37"/>
      <c r="B44" s="36"/>
      <c r="C44" s="36"/>
      <c r="D44" s="39"/>
      <c r="E44" s="36"/>
      <c r="F44" s="36"/>
      <c r="G44" s="39"/>
      <c r="H44" s="36"/>
      <c r="I44" s="36"/>
      <c r="J44" s="36"/>
      <c r="K44" s="36"/>
      <c r="L44" s="36"/>
      <c r="M44" s="36"/>
      <c r="N44" s="36"/>
      <c r="O44" s="36"/>
      <c r="P44" s="36"/>
      <c r="Q44" s="36"/>
      <c r="R44" s="36"/>
      <c r="S44" s="36"/>
    </row>
    <row r="45" spans="1:20" x14ac:dyDescent="0.35">
      <c r="A45" s="37"/>
      <c r="B45" s="36"/>
      <c r="C45" s="36"/>
      <c r="D45" s="39"/>
      <c r="E45" s="36"/>
      <c r="F45" s="36"/>
      <c r="G45" s="39"/>
      <c r="H45" s="36"/>
      <c r="I45" s="36"/>
      <c r="J45" s="36"/>
      <c r="K45" s="36"/>
      <c r="L45" s="36"/>
      <c r="M45" s="36"/>
      <c r="N45" s="36"/>
      <c r="O45" s="36"/>
      <c r="P45" s="36"/>
      <c r="Q45" s="36"/>
      <c r="R45" s="36"/>
      <c r="S45" s="36"/>
    </row>
    <row r="46" spans="1:20" x14ac:dyDescent="0.35">
      <c r="A46" s="37"/>
      <c r="B46" s="36"/>
      <c r="C46" s="36"/>
      <c r="D46" s="39"/>
      <c r="E46" s="36"/>
      <c r="F46" s="36"/>
      <c r="G46" s="39"/>
      <c r="H46" s="36"/>
      <c r="I46" s="36"/>
      <c r="J46" s="36"/>
      <c r="K46" s="36"/>
      <c r="L46" s="36"/>
      <c r="M46" s="36"/>
      <c r="N46" s="36"/>
      <c r="O46" s="36"/>
      <c r="P46" s="36"/>
      <c r="Q46" s="36"/>
      <c r="R46" s="36"/>
      <c r="S46" s="36"/>
    </row>
    <row r="47" spans="1:20" x14ac:dyDescent="0.35">
      <c r="A47" s="37"/>
      <c r="B47" s="36"/>
      <c r="C47" s="36"/>
      <c r="D47" s="38"/>
      <c r="E47" s="38"/>
      <c r="F47" s="38"/>
      <c r="G47" s="38"/>
      <c r="H47" s="38"/>
      <c r="I47" s="38"/>
      <c r="J47" s="38"/>
      <c r="K47" s="38"/>
      <c r="L47" s="38"/>
      <c r="M47" s="38"/>
      <c r="N47" s="38"/>
      <c r="O47" s="38"/>
      <c r="P47" s="38"/>
      <c r="Q47" s="36"/>
      <c r="R47" s="36"/>
      <c r="S47" s="36"/>
    </row>
    <row r="48" spans="1:20" x14ac:dyDescent="0.35">
      <c r="A48" s="37"/>
      <c r="B48" s="36"/>
      <c r="C48" s="36"/>
      <c r="D48" s="36"/>
      <c r="E48" s="36"/>
      <c r="F48" s="36"/>
      <c r="G48" s="36"/>
      <c r="H48" s="36"/>
      <c r="I48" s="36"/>
      <c r="J48" s="36"/>
      <c r="K48" s="36"/>
      <c r="L48" s="36"/>
      <c r="M48" s="36"/>
      <c r="N48" s="36"/>
      <c r="O48" s="36"/>
      <c r="P48" s="36"/>
      <c r="Q48" s="36"/>
      <c r="R48" s="36"/>
      <c r="S48" s="36"/>
    </row>
    <row r="49" spans="1:19" x14ac:dyDescent="0.35">
      <c r="A49" s="37"/>
      <c r="B49" s="36"/>
      <c r="C49" s="36"/>
      <c r="D49" s="36"/>
      <c r="E49" s="36"/>
      <c r="F49" s="36"/>
      <c r="G49" s="36"/>
      <c r="H49" s="36"/>
      <c r="I49" s="36"/>
      <c r="J49" s="36"/>
      <c r="K49" s="36"/>
      <c r="L49" s="36"/>
      <c r="M49" s="36"/>
      <c r="N49" s="36"/>
      <c r="O49" s="36"/>
      <c r="P49" s="36"/>
      <c r="Q49" s="36"/>
      <c r="R49" s="36"/>
      <c r="S49" s="36"/>
    </row>
    <row r="50" spans="1:19" x14ac:dyDescent="0.35">
      <c r="A50" s="37"/>
      <c r="B50" s="36"/>
      <c r="C50" s="36"/>
      <c r="D50" s="36"/>
      <c r="E50" s="36"/>
      <c r="F50" s="36"/>
      <c r="G50" s="36"/>
      <c r="H50" s="36"/>
      <c r="I50" s="36"/>
      <c r="J50" s="36"/>
      <c r="K50" s="36"/>
      <c r="L50" s="36"/>
      <c r="M50" s="36"/>
      <c r="N50" s="36"/>
      <c r="O50" s="36"/>
      <c r="P50" s="36"/>
      <c r="Q50" s="36"/>
      <c r="R50" s="36"/>
      <c r="S50" s="36"/>
    </row>
    <row r="51" spans="1:19" x14ac:dyDescent="0.35">
      <c r="A51" s="37"/>
      <c r="B51" s="36"/>
      <c r="C51" s="36"/>
      <c r="D51" s="36"/>
      <c r="E51" s="36"/>
      <c r="F51" s="36"/>
      <c r="G51" s="36"/>
      <c r="H51" s="36"/>
      <c r="I51" s="36"/>
      <c r="J51" s="36"/>
      <c r="K51" s="36"/>
      <c r="L51" s="36"/>
      <c r="M51" s="36"/>
      <c r="N51" s="36"/>
      <c r="O51" s="36"/>
      <c r="P51" s="36"/>
      <c r="Q51" s="36"/>
      <c r="R51" s="36"/>
      <c r="S51" s="36"/>
    </row>
    <row r="52" spans="1:19" x14ac:dyDescent="0.35">
      <c r="A52" s="37"/>
      <c r="B52" s="36"/>
      <c r="C52" s="36"/>
      <c r="D52" s="36"/>
      <c r="E52" s="36"/>
      <c r="F52" s="36"/>
      <c r="G52" s="36"/>
      <c r="H52" s="36"/>
      <c r="I52" s="36"/>
      <c r="J52" s="36"/>
      <c r="K52" s="36"/>
      <c r="L52" s="36"/>
      <c r="M52" s="36"/>
      <c r="N52" s="36"/>
      <c r="O52" s="36"/>
      <c r="P52" s="36"/>
      <c r="Q52" s="36"/>
      <c r="R52" s="36"/>
      <c r="S52" s="36"/>
    </row>
    <row r="54" spans="1:19" x14ac:dyDescent="0.35">
      <c r="A54" s="34"/>
    </row>
    <row r="55" spans="1:19" x14ac:dyDescent="0.35">
      <c r="A55" s="34"/>
    </row>
    <row r="56" spans="1:19" x14ac:dyDescent="0.35">
      <c r="A56" s="34"/>
    </row>
    <row r="57" spans="1:19" x14ac:dyDescent="0.35">
      <c r="A57" s="34"/>
    </row>
    <row r="58" spans="1:19" x14ac:dyDescent="0.35">
      <c r="A58" s="34"/>
    </row>
    <row r="59" spans="1:19" x14ac:dyDescent="0.35">
      <c r="A59" s="34"/>
    </row>
    <row r="60" spans="1:19" x14ac:dyDescent="0.35">
      <c r="A60" s="34"/>
    </row>
    <row r="61" spans="1:19" x14ac:dyDescent="0.35">
      <c r="A61" s="34"/>
    </row>
    <row r="62" spans="1:19" x14ac:dyDescent="0.35">
      <c r="A62" s="34"/>
    </row>
    <row r="63" spans="1:19" x14ac:dyDescent="0.35">
      <c r="A63" s="34"/>
    </row>
    <row r="64" spans="1:19" x14ac:dyDescent="0.35">
      <c r="A64" s="34"/>
    </row>
    <row r="65" spans="1:1" x14ac:dyDescent="0.35">
      <c r="A65" s="34"/>
    </row>
    <row r="66" spans="1:1" x14ac:dyDescent="0.35">
      <c r="A66" s="34"/>
    </row>
    <row r="67" spans="1:1" x14ac:dyDescent="0.35">
      <c r="A67" s="34"/>
    </row>
    <row r="68" spans="1:1" x14ac:dyDescent="0.35">
      <c r="A68" s="34"/>
    </row>
    <row r="69" spans="1:1" x14ac:dyDescent="0.35">
      <c r="A69" s="34"/>
    </row>
    <row r="70" spans="1:1" x14ac:dyDescent="0.35">
      <c r="A70" s="34"/>
    </row>
    <row r="71" spans="1:1" x14ac:dyDescent="0.35">
      <c r="A71" s="34"/>
    </row>
    <row r="72" spans="1:1" x14ac:dyDescent="0.35">
      <c r="A72" s="34"/>
    </row>
    <row r="73" spans="1:1" x14ac:dyDescent="0.35">
      <c r="A73" s="34"/>
    </row>
    <row r="74" spans="1:1" x14ac:dyDescent="0.35">
      <c r="A74" s="34"/>
    </row>
    <row r="75" spans="1:1" x14ac:dyDescent="0.35">
      <c r="A75" s="34"/>
    </row>
    <row r="76" spans="1:1" x14ac:dyDescent="0.35">
      <c r="A76" s="34"/>
    </row>
    <row r="77" spans="1:1" x14ac:dyDescent="0.35">
      <c r="A77" s="34"/>
    </row>
    <row r="78" spans="1:1" x14ac:dyDescent="0.35">
      <c r="A78" s="34"/>
    </row>
    <row r="79" spans="1:1" x14ac:dyDescent="0.35">
      <c r="A79" s="34"/>
    </row>
    <row r="80" spans="1:1" x14ac:dyDescent="0.35">
      <c r="A80" s="34"/>
    </row>
    <row r="81" spans="1:1" x14ac:dyDescent="0.35">
      <c r="A81" s="34"/>
    </row>
    <row r="82" spans="1:1" x14ac:dyDescent="0.35">
      <c r="A82" s="34"/>
    </row>
    <row r="83" spans="1:1" x14ac:dyDescent="0.35">
      <c r="A83" s="34"/>
    </row>
    <row r="84" spans="1:1" x14ac:dyDescent="0.35">
      <c r="A84" s="34"/>
    </row>
    <row r="85" spans="1:1" x14ac:dyDescent="0.35">
      <c r="A85" s="34"/>
    </row>
    <row r="86" spans="1:1" x14ac:dyDescent="0.35">
      <c r="A86" s="34"/>
    </row>
    <row r="87" spans="1:1" x14ac:dyDescent="0.35">
      <c r="A87" s="34"/>
    </row>
    <row r="88" spans="1:1" x14ac:dyDescent="0.35">
      <c r="A88" s="34"/>
    </row>
    <row r="89" spans="1:1" x14ac:dyDescent="0.35">
      <c r="A89" s="34"/>
    </row>
    <row r="90" spans="1:1" x14ac:dyDescent="0.35">
      <c r="A90" s="34"/>
    </row>
    <row r="91" spans="1:1" x14ac:dyDescent="0.35">
      <c r="A91" s="34"/>
    </row>
    <row r="92" spans="1:1" x14ac:dyDescent="0.35">
      <c r="A92" s="34"/>
    </row>
    <row r="93" spans="1:1" x14ac:dyDescent="0.35">
      <c r="A93" s="34"/>
    </row>
    <row r="94" spans="1:1" x14ac:dyDescent="0.35">
      <c r="A94" s="34"/>
    </row>
    <row r="95" spans="1:1" x14ac:dyDescent="0.35">
      <c r="A95" s="34"/>
    </row>
    <row r="96" spans="1:1" x14ac:dyDescent="0.35">
      <c r="A96" s="34"/>
    </row>
    <row r="97" spans="1:1" x14ac:dyDescent="0.35">
      <c r="A97" s="34"/>
    </row>
    <row r="98" spans="1:1" x14ac:dyDescent="0.35">
      <c r="A98" s="34"/>
    </row>
    <row r="99" spans="1:1" x14ac:dyDescent="0.35">
      <c r="A99" s="34"/>
    </row>
    <row r="100" spans="1:1" x14ac:dyDescent="0.35">
      <c r="A100" s="34"/>
    </row>
    <row r="101" spans="1:1" x14ac:dyDescent="0.35">
      <c r="A101" s="34"/>
    </row>
    <row r="102" spans="1:1" x14ac:dyDescent="0.35">
      <c r="A102" s="34"/>
    </row>
    <row r="103" spans="1:1" x14ac:dyDescent="0.35">
      <c r="A103" s="34"/>
    </row>
    <row r="104" spans="1:1" x14ac:dyDescent="0.35">
      <c r="A104" s="34"/>
    </row>
    <row r="105" spans="1:1" x14ac:dyDescent="0.35">
      <c r="A105" s="34"/>
    </row>
    <row r="106" spans="1:1" x14ac:dyDescent="0.35">
      <c r="A106" s="34"/>
    </row>
    <row r="107" spans="1:1" x14ac:dyDescent="0.35">
      <c r="A107" s="34"/>
    </row>
    <row r="108" spans="1:1" x14ac:dyDescent="0.35">
      <c r="A108" s="34"/>
    </row>
    <row r="109" spans="1:1" x14ac:dyDescent="0.35">
      <c r="A109" s="34"/>
    </row>
    <row r="110" spans="1:1" x14ac:dyDescent="0.35">
      <c r="A110" s="34"/>
    </row>
    <row r="111" spans="1:1" x14ac:dyDescent="0.35">
      <c r="A111" s="34"/>
    </row>
    <row r="112" spans="1:1" x14ac:dyDescent="0.35">
      <c r="A112" s="34"/>
    </row>
    <row r="113" spans="1:1" x14ac:dyDescent="0.35">
      <c r="A113" s="34"/>
    </row>
    <row r="114" spans="1:1" x14ac:dyDescent="0.35">
      <c r="A114" s="34"/>
    </row>
    <row r="115" spans="1:1" x14ac:dyDescent="0.35">
      <c r="A115" s="34"/>
    </row>
    <row r="116" spans="1:1" x14ac:dyDescent="0.35">
      <c r="A116" s="34"/>
    </row>
    <row r="117" spans="1:1" x14ac:dyDescent="0.35">
      <c r="A117" s="34"/>
    </row>
    <row r="118" spans="1:1" x14ac:dyDescent="0.35">
      <c r="A118" s="34"/>
    </row>
    <row r="119" spans="1:1" x14ac:dyDescent="0.35">
      <c r="A119" s="34"/>
    </row>
    <row r="120" spans="1:1" x14ac:dyDescent="0.35">
      <c r="A120" s="34"/>
    </row>
    <row r="121" spans="1:1" x14ac:dyDescent="0.35">
      <c r="A121" s="34"/>
    </row>
    <row r="122" spans="1:1" x14ac:dyDescent="0.35">
      <c r="A122" s="34"/>
    </row>
    <row r="123" spans="1:1" x14ac:dyDescent="0.35">
      <c r="A123" s="34"/>
    </row>
    <row r="124" spans="1:1" x14ac:dyDescent="0.35">
      <c r="A124" s="34"/>
    </row>
    <row r="125" spans="1:1" x14ac:dyDescent="0.35">
      <c r="A125" s="34"/>
    </row>
    <row r="126" spans="1:1" x14ac:dyDescent="0.35">
      <c r="A126" s="34"/>
    </row>
  </sheetData>
  <mergeCells count="12">
    <mergeCell ref="B19:Q19"/>
    <mergeCell ref="L2:N2"/>
    <mergeCell ref="O2:Q2"/>
    <mergeCell ref="L3:N3"/>
    <mergeCell ref="O3:Q3"/>
    <mergeCell ref="L4:N4"/>
    <mergeCell ref="O4:Q4"/>
    <mergeCell ref="L5:N5"/>
    <mergeCell ref="O5:Q5"/>
    <mergeCell ref="L6:N6"/>
    <mergeCell ref="O6:Q6"/>
    <mergeCell ref="A9:R13"/>
  </mergeCells>
  <phoneticPr fontId="1"/>
  <printOptions horizontalCentered="1" verticalCentered="1" gridLines="1"/>
  <pageMargins left="0.39370078740157483" right="0.39370078740157483" top="0.39370078740157483" bottom="0.39370078740157483" header="0.51181102362204722" footer="0.51181102362204722"/>
  <pageSetup paperSize="9" orientation="portrait" r:id="rId1"/>
  <headerFooter alignWithMargins="0">
    <oddHeader xml:space="preserve">&amp;L&amp;9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337-2928-4BD9-834F-3214705719C4}">
  <sheetPr>
    <tabColor theme="2"/>
  </sheetPr>
  <dimension ref="B1:G39"/>
  <sheetViews>
    <sheetView showGridLines="0" zoomScale="110" zoomScaleNormal="110" zoomScaleSheetLayoutView="100" workbookViewId="0">
      <selection activeCell="F21" sqref="F21"/>
    </sheetView>
  </sheetViews>
  <sheetFormatPr defaultColWidth="1.453125" defaultRowHeight="13.5" x14ac:dyDescent="0.2"/>
  <cols>
    <col min="1" max="1" width="4" style="56" customWidth="1"/>
    <col min="2" max="2" width="10.1796875" style="56" bestFit="1" customWidth="1"/>
    <col min="3" max="3" width="12.453125" style="56" customWidth="1"/>
    <col min="4" max="5" width="10.26953125" style="56" customWidth="1"/>
    <col min="6" max="6" width="36.453125" style="56" bestFit="1" customWidth="1"/>
    <col min="7" max="7" width="18.453125" style="56" customWidth="1"/>
    <col min="8" max="78" width="3.1796875" style="56" customWidth="1"/>
    <col min="79" max="256" width="1.453125" style="56"/>
    <col min="257" max="257" width="4" style="56" customWidth="1"/>
    <col min="258" max="258" width="8.453125" style="56" customWidth="1"/>
    <col min="259" max="259" width="12.453125" style="56" customWidth="1"/>
    <col min="260" max="260" width="6.453125" style="56" customWidth="1"/>
    <col min="261" max="261" width="8.453125" style="56" customWidth="1"/>
    <col min="262" max="262" width="34.453125" style="56" customWidth="1"/>
    <col min="263" max="263" width="18.453125" style="56" customWidth="1"/>
    <col min="264" max="512" width="1.453125" style="56"/>
    <col min="513" max="513" width="4" style="56" customWidth="1"/>
    <col min="514" max="514" width="8.453125" style="56" customWidth="1"/>
    <col min="515" max="515" width="12.453125" style="56" customWidth="1"/>
    <col min="516" max="516" width="6.453125" style="56" customWidth="1"/>
    <col min="517" max="517" width="8.453125" style="56" customWidth="1"/>
    <col min="518" max="518" width="34.453125" style="56" customWidth="1"/>
    <col min="519" max="519" width="18.453125" style="56" customWidth="1"/>
    <col min="520" max="768" width="1.453125" style="56"/>
    <col min="769" max="769" width="4" style="56" customWidth="1"/>
    <col min="770" max="770" width="8.453125" style="56" customWidth="1"/>
    <col min="771" max="771" width="12.453125" style="56" customWidth="1"/>
    <col min="772" max="772" width="6.453125" style="56" customWidth="1"/>
    <col min="773" max="773" width="8.453125" style="56" customWidth="1"/>
    <col min="774" max="774" width="34.453125" style="56" customWidth="1"/>
    <col min="775" max="775" width="18.453125" style="56" customWidth="1"/>
    <col min="776" max="1024" width="1.453125" style="56"/>
    <col min="1025" max="1025" width="4" style="56" customWidth="1"/>
    <col min="1026" max="1026" width="8.453125" style="56" customWidth="1"/>
    <col min="1027" max="1027" width="12.453125" style="56" customWidth="1"/>
    <col min="1028" max="1028" width="6.453125" style="56" customWidth="1"/>
    <col min="1029" max="1029" width="8.453125" style="56" customWidth="1"/>
    <col min="1030" max="1030" width="34.453125" style="56" customWidth="1"/>
    <col min="1031" max="1031" width="18.453125" style="56" customWidth="1"/>
    <col min="1032" max="1280" width="1.453125" style="56"/>
    <col min="1281" max="1281" width="4" style="56" customWidth="1"/>
    <col min="1282" max="1282" width="8.453125" style="56" customWidth="1"/>
    <col min="1283" max="1283" width="12.453125" style="56" customWidth="1"/>
    <col min="1284" max="1284" width="6.453125" style="56" customWidth="1"/>
    <col min="1285" max="1285" width="8.453125" style="56" customWidth="1"/>
    <col min="1286" max="1286" width="34.453125" style="56" customWidth="1"/>
    <col min="1287" max="1287" width="18.453125" style="56" customWidth="1"/>
    <col min="1288" max="1536" width="1.453125" style="56"/>
    <col min="1537" max="1537" width="4" style="56" customWidth="1"/>
    <col min="1538" max="1538" width="8.453125" style="56" customWidth="1"/>
    <col min="1539" max="1539" width="12.453125" style="56" customWidth="1"/>
    <col min="1540" max="1540" width="6.453125" style="56" customWidth="1"/>
    <col min="1541" max="1541" width="8.453125" style="56" customWidth="1"/>
    <col min="1542" max="1542" width="34.453125" style="56" customWidth="1"/>
    <col min="1543" max="1543" width="18.453125" style="56" customWidth="1"/>
    <col min="1544" max="1792" width="1.453125" style="56"/>
    <col min="1793" max="1793" width="4" style="56" customWidth="1"/>
    <col min="1794" max="1794" width="8.453125" style="56" customWidth="1"/>
    <col min="1795" max="1795" width="12.453125" style="56" customWidth="1"/>
    <col min="1796" max="1796" width="6.453125" style="56" customWidth="1"/>
    <col min="1797" max="1797" width="8.453125" style="56" customWidth="1"/>
    <col min="1798" max="1798" width="34.453125" style="56" customWidth="1"/>
    <col min="1799" max="1799" width="18.453125" style="56" customWidth="1"/>
    <col min="1800" max="2048" width="1.453125" style="56"/>
    <col min="2049" max="2049" width="4" style="56" customWidth="1"/>
    <col min="2050" max="2050" width="8.453125" style="56" customWidth="1"/>
    <col min="2051" max="2051" width="12.453125" style="56" customWidth="1"/>
    <col min="2052" max="2052" width="6.453125" style="56" customWidth="1"/>
    <col min="2053" max="2053" width="8.453125" style="56" customWidth="1"/>
    <col min="2054" max="2054" width="34.453125" style="56" customWidth="1"/>
    <col min="2055" max="2055" width="18.453125" style="56" customWidth="1"/>
    <col min="2056" max="2304" width="1.453125" style="56"/>
    <col min="2305" max="2305" width="4" style="56" customWidth="1"/>
    <col min="2306" max="2306" width="8.453125" style="56" customWidth="1"/>
    <col min="2307" max="2307" width="12.453125" style="56" customWidth="1"/>
    <col min="2308" max="2308" width="6.453125" style="56" customWidth="1"/>
    <col min="2309" max="2309" width="8.453125" style="56" customWidth="1"/>
    <col min="2310" max="2310" width="34.453125" style="56" customWidth="1"/>
    <col min="2311" max="2311" width="18.453125" style="56" customWidth="1"/>
    <col min="2312" max="2560" width="1.453125" style="56"/>
    <col min="2561" max="2561" width="4" style="56" customWidth="1"/>
    <col min="2562" max="2562" width="8.453125" style="56" customWidth="1"/>
    <col min="2563" max="2563" width="12.453125" style="56" customWidth="1"/>
    <col min="2564" max="2564" width="6.453125" style="56" customWidth="1"/>
    <col min="2565" max="2565" width="8.453125" style="56" customWidth="1"/>
    <col min="2566" max="2566" width="34.453125" style="56" customWidth="1"/>
    <col min="2567" max="2567" width="18.453125" style="56" customWidth="1"/>
    <col min="2568" max="2816" width="1.453125" style="56"/>
    <col min="2817" max="2817" width="4" style="56" customWidth="1"/>
    <col min="2818" max="2818" width="8.453125" style="56" customWidth="1"/>
    <col min="2819" max="2819" width="12.453125" style="56" customWidth="1"/>
    <col min="2820" max="2820" width="6.453125" style="56" customWidth="1"/>
    <col min="2821" max="2821" width="8.453125" style="56" customWidth="1"/>
    <col min="2822" max="2822" width="34.453125" style="56" customWidth="1"/>
    <col min="2823" max="2823" width="18.453125" style="56" customWidth="1"/>
    <col min="2824" max="3072" width="1.453125" style="56"/>
    <col min="3073" max="3073" width="4" style="56" customWidth="1"/>
    <col min="3074" max="3074" width="8.453125" style="56" customWidth="1"/>
    <col min="3075" max="3075" width="12.453125" style="56" customWidth="1"/>
    <col min="3076" max="3076" width="6.453125" style="56" customWidth="1"/>
    <col min="3077" max="3077" width="8.453125" style="56" customWidth="1"/>
    <col min="3078" max="3078" width="34.453125" style="56" customWidth="1"/>
    <col min="3079" max="3079" width="18.453125" style="56" customWidth="1"/>
    <col min="3080" max="3328" width="1.453125" style="56"/>
    <col min="3329" max="3329" width="4" style="56" customWidth="1"/>
    <col min="3330" max="3330" width="8.453125" style="56" customWidth="1"/>
    <col min="3331" max="3331" width="12.453125" style="56" customWidth="1"/>
    <col min="3332" max="3332" width="6.453125" style="56" customWidth="1"/>
    <col min="3333" max="3333" width="8.453125" style="56" customWidth="1"/>
    <col min="3334" max="3334" width="34.453125" style="56" customWidth="1"/>
    <col min="3335" max="3335" width="18.453125" style="56" customWidth="1"/>
    <col min="3336" max="3584" width="1.453125" style="56"/>
    <col min="3585" max="3585" width="4" style="56" customWidth="1"/>
    <col min="3586" max="3586" width="8.453125" style="56" customWidth="1"/>
    <col min="3587" max="3587" width="12.453125" style="56" customWidth="1"/>
    <col min="3588" max="3588" width="6.453125" style="56" customWidth="1"/>
    <col min="3589" max="3589" width="8.453125" style="56" customWidth="1"/>
    <col min="3590" max="3590" width="34.453125" style="56" customWidth="1"/>
    <col min="3591" max="3591" width="18.453125" style="56" customWidth="1"/>
    <col min="3592" max="3840" width="1.453125" style="56"/>
    <col min="3841" max="3841" width="4" style="56" customWidth="1"/>
    <col min="3842" max="3842" width="8.453125" style="56" customWidth="1"/>
    <col min="3843" max="3843" width="12.453125" style="56" customWidth="1"/>
    <col min="3844" max="3844" width="6.453125" style="56" customWidth="1"/>
    <col min="3845" max="3845" width="8.453125" style="56" customWidth="1"/>
    <col min="3846" max="3846" width="34.453125" style="56" customWidth="1"/>
    <col min="3847" max="3847" width="18.453125" style="56" customWidth="1"/>
    <col min="3848" max="4096" width="1.453125" style="56"/>
    <col min="4097" max="4097" width="4" style="56" customWidth="1"/>
    <col min="4098" max="4098" width="8.453125" style="56" customWidth="1"/>
    <col min="4099" max="4099" width="12.453125" style="56" customWidth="1"/>
    <col min="4100" max="4100" width="6.453125" style="56" customWidth="1"/>
    <col min="4101" max="4101" width="8.453125" style="56" customWidth="1"/>
    <col min="4102" max="4102" width="34.453125" style="56" customWidth="1"/>
    <col min="4103" max="4103" width="18.453125" style="56" customWidth="1"/>
    <col min="4104" max="4352" width="1.453125" style="56"/>
    <col min="4353" max="4353" width="4" style="56" customWidth="1"/>
    <col min="4354" max="4354" width="8.453125" style="56" customWidth="1"/>
    <col min="4355" max="4355" width="12.453125" style="56" customWidth="1"/>
    <col min="4356" max="4356" width="6.453125" style="56" customWidth="1"/>
    <col min="4357" max="4357" width="8.453125" style="56" customWidth="1"/>
    <col min="4358" max="4358" width="34.453125" style="56" customWidth="1"/>
    <col min="4359" max="4359" width="18.453125" style="56" customWidth="1"/>
    <col min="4360" max="4608" width="1.453125" style="56"/>
    <col min="4609" max="4609" width="4" style="56" customWidth="1"/>
    <col min="4610" max="4610" width="8.453125" style="56" customWidth="1"/>
    <col min="4611" max="4611" width="12.453125" style="56" customWidth="1"/>
    <col min="4612" max="4612" width="6.453125" style="56" customWidth="1"/>
    <col min="4613" max="4613" width="8.453125" style="56" customWidth="1"/>
    <col min="4614" max="4614" width="34.453125" style="56" customWidth="1"/>
    <col min="4615" max="4615" width="18.453125" style="56" customWidth="1"/>
    <col min="4616" max="4864" width="1.453125" style="56"/>
    <col min="4865" max="4865" width="4" style="56" customWidth="1"/>
    <col min="4866" max="4866" width="8.453125" style="56" customWidth="1"/>
    <col min="4867" max="4867" width="12.453125" style="56" customWidth="1"/>
    <col min="4868" max="4868" width="6.453125" style="56" customWidth="1"/>
    <col min="4869" max="4869" width="8.453125" style="56" customWidth="1"/>
    <col min="4870" max="4870" width="34.453125" style="56" customWidth="1"/>
    <col min="4871" max="4871" width="18.453125" style="56" customWidth="1"/>
    <col min="4872" max="5120" width="1.453125" style="56"/>
    <col min="5121" max="5121" width="4" style="56" customWidth="1"/>
    <col min="5122" max="5122" width="8.453125" style="56" customWidth="1"/>
    <col min="5123" max="5123" width="12.453125" style="56" customWidth="1"/>
    <col min="5124" max="5124" width="6.453125" style="56" customWidth="1"/>
    <col min="5125" max="5125" width="8.453125" style="56" customWidth="1"/>
    <col min="5126" max="5126" width="34.453125" style="56" customWidth="1"/>
    <col min="5127" max="5127" width="18.453125" style="56" customWidth="1"/>
    <col min="5128" max="5376" width="1.453125" style="56"/>
    <col min="5377" max="5377" width="4" style="56" customWidth="1"/>
    <col min="5378" max="5378" width="8.453125" style="56" customWidth="1"/>
    <col min="5379" max="5379" width="12.453125" style="56" customWidth="1"/>
    <col min="5380" max="5380" width="6.453125" style="56" customWidth="1"/>
    <col min="5381" max="5381" width="8.453125" style="56" customWidth="1"/>
    <col min="5382" max="5382" width="34.453125" style="56" customWidth="1"/>
    <col min="5383" max="5383" width="18.453125" style="56" customWidth="1"/>
    <col min="5384" max="5632" width="1.453125" style="56"/>
    <col min="5633" max="5633" width="4" style="56" customWidth="1"/>
    <col min="5634" max="5634" width="8.453125" style="56" customWidth="1"/>
    <col min="5635" max="5635" width="12.453125" style="56" customWidth="1"/>
    <col min="5636" max="5636" width="6.453125" style="56" customWidth="1"/>
    <col min="5637" max="5637" width="8.453125" style="56" customWidth="1"/>
    <col min="5638" max="5638" width="34.453125" style="56" customWidth="1"/>
    <col min="5639" max="5639" width="18.453125" style="56" customWidth="1"/>
    <col min="5640" max="5888" width="1.453125" style="56"/>
    <col min="5889" max="5889" width="4" style="56" customWidth="1"/>
    <col min="5890" max="5890" width="8.453125" style="56" customWidth="1"/>
    <col min="5891" max="5891" width="12.453125" style="56" customWidth="1"/>
    <col min="5892" max="5892" width="6.453125" style="56" customWidth="1"/>
    <col min="5893" max="5893" width="8.453125" style="56" customWidth="1"/>
    <col min="5894" max="5894" width="34.453125" style="56" customWidth="1"/>
    <col min="5895" max="5895" width="18.453125" style="56" customWidth="1"/>
    <col min="5896" max="6144" width="1.453125" style="56"/>
    <col min="6145" max="6145" width="4" style="56" customWidth="1"/>
    <col min="6146" max="6146" width="8.453125" style="56" customWidth="1"/>
    <col min="6147" max="6147" width="12.453125" style="56" customWidth="1"/>
    <col min="6148" max="6148" width="6.453125" style="56" customWidth="1"/>
    <col min="6149" max="6149" width="8.453125" style="56" customWidth="1"/>
    <col min="6150" max="6150" width="34.453125" style="56" customWidth="1"/>
    <col min="6151" max="6151" width="18.453125" style="56" customWidth="1"/>
    <col min="6152" max="6400" width="1.453125" style="56"/>
    <col min="6401" max="6401" width="4" style="56" customWidth="1"/>
    <col min="6402" max="6402" width="8.453125" style="56" customWidth="1"/>
    <col min="6403" max="6403" width="12.453125" style="56" customWidth="1"/>
    <col min="6404" max="6404" width="6.453125" style="56" customWidth="1"/>
    <col min="6405" max="6405" width="8.453125" style="56" customWidth="1"/>
    <col min="6406" max="6406" width="34.453125" style="56" customWidth="1"/>
    <col min="6407" max="6407" width="18.453125" style="56" customWidth="1"/>
    <col min="6408" max="6656" width="1.453125" style="56"/>
    <col min="6657" max="6657" width="4" style="56" customWidth="1"/>
    <col min="6658" max="6658" width="8.453125" style="56" customWidth="1"/>
    <col min="6659" max="6659" width="12.453125" style="56" customWidth="1"/>
    <col min="6660" max="6660" width="6.453125" style="56" customWidth="1"/>
    <col min="6661" max="6661" width="8.453125" style="56" customWidth="1"/>
    <col min="6662" max="6662" width="34.453125" style="56" customWidth="1"/>
    <col min="6663" max="6663" width="18.453125" style="56" customWidth="1"/>
    <col min="6664" max="6912" width="1.453125" style="56"/>
    <col min="6913" max="6913" width="4" style="56" customWidth="1"/>
    <col min="6914" max="6914" width="8.453125" style="56" customWidth="1"/>
    <col min="6915" max="6915" width="12.453125" style="56" customWidth="1"/>
    <col min="6916" max="6916" width="6.453125" style="56" customWidth="1"/>
    <col min="6917" max="6917" width="8.453125" style="56" customWidth="1"/>
    <col min="6918" max="6918" width="34.453125" style="56" customWidth="1"/>
    <col min="6919" max="6919" width="18.453125" style="56" customWidth="1"/>
    <col min="6920" max="7168" width="1.453125" style="56"/>
    <col min="7169" max="7169" width="4" style="56" customWidth="1"/>
    <col min="7170" max="7170" width="8.453125" style="56" customWidth="1"/>
    <col min="7171" max="7171" width="12.453125" style="56" customWidth="1"/>
    <col min="7172" max="7172" width="6.453125" style="56" customWidth="1"/>
    <col min="7173" max="7173" width="8.453125" style="56" customWidth="1"/>
    <col min="7174" max="7174" width="34.453125" style="56" customWidth="1"/>
    <col min="7175" max="7175" width="18.453125" style="56" customWidth="1"/>
    <col min="7176" max="7424" width="1.453125" style="56"/>
    <col min="7425" max="7425" width="4" style="56" customWidth="1"/>
    <col min="7426" max="7426" width="8.453125" style="56" customWidth="1"/>
    <col min="7427" max="7427" width="12.453125" style="56" customWidth="1"/>
    <col min="7428" max="7428" width="6.453125" style="56" customWidth="1"/>
    <col min="7429" max="7429" width="8.453125" style="56" customWidth="1"/>
    <col min="7430" max="7430" width="34.453125" style="56" customWidth="1"/>
    <col min="7431" max="7431" width="18.453125" style="56" customWidth="1"/>
    <col min="7432" max="7680" width="1.453125" style="56"/>
    <col min="7681" max="7681" width="4" style="56" customWidth="1"/>
    <col min="7682" max="7682" width="8.453125" style="56" customWidth="1"/>
    <col min="7683" max="7683" width="12.453125" style="56" customWidth="1"/>
    <col min="7684" max="7684" width="6.453125" style="56" customWidth="1"/>
    <col min="7685" max="7685" width="8.453125" style="56" customWidth="1"/>
    <col min="7686" max="7686" width="34.453125" style="56" customWidth="1"/>
    <col min="7687" max="7687" width="18.453125" style="56" customWidth="1"/>
    <col min="7688" max="7936" width="1.453125" style="56"/>
    <col min="7937" max="7937" width="4" style="56" customWidth="1"/>
    <col min="7938" max="7938" width="8.453125" style="56" customWidth="1"/>
    <col min="7939" max="7939" width="12.453125" style="56" customWidth="1"/>
    <col min="7940" max="7940" width="6.453125" style="56" customWidth="1"/>
    <col min="7941" max="7941" width="8.453125" style="56" customWidth="1"/>
    <col min="7942" max="7942" width="34.453125" style="56" customWidth="1"/>
    <col min="7943" max="7943" width="18.453125" style="56" customWidth="1"/>
    <col min="7944" max="8192" width="1.453125" style="56"/>
    <col min="8193" max="8193" width="4" style="56" customWidth="1"/>
    <col min="8194" max="8194" width="8.453125" style="56" customWidth="1"/>
    <col min="8195" max="8195" width="12.453125" style="56" customWidth="1"/>
    <col min="8196" max="8196" width="6.453125" style="56" customWidth="1"/>
    <col min="8197" max="8197" width="8.453125" style="56" customWidth="1"/>
    <col min="8198" max="8198" width="34.453125" style="56" customWidth="1"/>
    <col min="8199" max="8199" width="18.453125" style="56" customWidth="1"/>
    <col min="8200" max="8448" width="1.453125" style="56"/>
    <col min="8449" max="8449" width="4" style="56" customWidth="1"/>
    <col min="8450" max="8450" width="8.453125" style="56" customWidth="1"/>
    <col min="8451" max="8451" width="12.453125" style="56" customWidth="1"/>
    <col min="8452" max="8452" width="6.453125" style="56" customWidth="1"/>
    <col min="8453" max="8453" width="8.453125" style="56" customWidth="1"/>
    <col min="8454" max="8454" width="34.453125" style="56" customWidth="1"/>
    <col min="8455" max="8455" width="18.453125" style="56" customWidth="1"/>
    <col min="8456" max="8704" width="1.453125" style="56"/>
    <col min="8705" max="8705" width="4" style="56" customWidth="1"/>
    <col min="8706" max="8706" width="8.453125" style="56" customWidth="1"/>
    <col min="8707" max="8707" width="12.453125" style="56" customWidth="1"/>
    <col min="8708" max="8708" width="6.453125" style="56" customWidth="1"/>
    <col min="8709" max="8709" width="8.453125" style="56" customWidth="1"/>
    <col min="8710" max="8710" width="34.453125" style="56" customWidth="1"/>
    <col min="8711" max="8711" width="18.453125" style="56" customWidth="1"/>
    <col min="8712" max="8960" width="1.453125" style="56"/>
    <col min="8961" max="8961" width="4" style="56" customWidth="1"/>
    <col min="8962" max="8962" width="8.453125" style="56" customWidth="1"/>
    <col min="8963" max="8963" width="12.453125" style="56" customWidth="1"/>
    <col min="8964" max="8964" width="6.453125" style="56" customWidth="1"/>
    <col min="8965" max="8965" width="8.453125" style="56" customWidth="1"/>
    <col min="8966" max="8966" width="34.453125" style="56" customWidth="1"/>
    <col min="8967" max="8967" width="18.453125" style="56" customWidth="1"/>
    <col min="8968" max="9216" width="1.453125" style="56"/>
    <col min="9217" max="9217" width="4" style="56" customWidth="1"/>
    <col min="9218" max="9218" width="8.453125" style="56" customWidth="1"/>
    <col min="9219" max="9219" width="12.453125" style="56" customWidth="1"/>
    <col min="9220" max="9220" width="6.453125" style="56" customWidth="1"/>
    <col min="9221" max="9221" width="8.453125" style="56" customWidth="1"/>
    <col min="9222" max="9222" width="34.453125" style="56" customWidth="1"/>
    <col min="9223" max="9223" width="18.453125" style="56" customWidth="1"/>
    <col min="9224" max="9472" width="1.453125" style="56"/>
    <col min="9473" max="9473" width="4" style="56" customWidth="1"/>
    <col min="9474" max="9474" width="8.453125" style="56" customWidth="1"/>
    <col min="9475" max="9475" width="12.453125" style="56" customWidth="1"/>
    <col min="9476" max="9476" width="6.453125" style="56" customWidth="1"/>
    <col min="9477" max="9477" width="8.453125" style="56" customWidth="1"/>
    <col min="9478" max="9478" width="34.453125" style="56" customWidth="1"/>
    <col min="9479" max="9479" width="18.453125" style="56" customWidth="1"/>
    <col min="9480" max="9728" width="1.453125" style="56"/>
    <col min="9729" max="9729" width="4" style="56" customWidth="1"/>
    <col min="9730" max="9730" width="8.453125" style="56" customWidth="1"/>
    <col min="9731" max="9731" width="12.453125" style="56" customWidth="1"/>
    <col min="9732" max="9732" width="6.453125" style="56" customWidth="1"/>
    <col min="9733" max="9733" width="8.453125" style="56" customWidth="1"/>
    <col min="9734" max="9734" width="34.453125" style="56" customWidth="1"/>
    <col min="9735" max="9735" width="18.453125" style="56" customWidth="1"/>
    <col min="9736" max="9984" width="1.453125" style="56"/>
    <col min="9985" max="9985" width="4" style="56" customWidth="1"/>
    <col min="9986" max="9986" width="8.453125" style="56" customWidth="1"/>
    <col min="9987" max="9987" width="12.453125" style="56" customWidth="1"/>
    <col min="9988" max="9988" width="6.453125" style="56" customWidth="1"/>
    <col min="9989" max="9989" width="8.453125" style="56" customWidth="1"/>
    <col min="9990" max="9990" width="34.453125" style="56" customWidth="1"/>
    <col min="9991" max="9991" width="18.453125" style="56" customWidth="1"/>
    <col min="9992" max="10240" width="1.453125" style="56"/>
    <col min="10241" max="10241" width="4" style="56" customWidth="1"/>
    <col min="10242" max="10242" width="8.453125" style="56" customWidth="1"/>
    <col min="10243" max="10243" width="12.453125" style="56" customWidth="1"/>
    <col min="10244" max="10244" width="6.453125" style="56" customWidth="1"/>
    <col min="10245" max="10245" width="8.453125" style="56" customWidth="1"/>
    <col min="10246" max="10246" width="34.453125" style="56" customWidth="1"/>
    <col min="10247" max="10247" width="18.453125" style="56" customWidth="1"/>
    <col min="10248" max="10496" width="1.453125" style="56"/>
    <col min="10497" max="10497" width="4" style="56" customWidth="1"/>
    <col min="10498" max="10498" width="8.453125" style="56" customWidth="1"/>
    <col min="10499" max="10499" width="12.453125" style="56" customWidth="1"/>
    <col min="10500" max="10500" width="6.453125" style="56" customWidth="1"/>
    <col min="10501" max="10501" width="8.453125" style="56" customWidth="1"/>
    <col min="10502" max="10502" width="34.453125" style="56" customWidth="1"/>
    <col min="10503" max="10503" width="18.453125" style="56" customWidth="1"/>
    <col min="10504" max="10752" width="1.453125" style="56"/>
    <col min="10753" max="10753" width="4" style="56" customWidth="1"/>
    <col min="10754" max="10754" width="8.453125" style="56" customWidth="1"/>
    <col min="10755" max="10755" width="12.453125" style="56" customWidth="1"/>
    <col min="10756" max="10756" width="6.453125" style="56" customWidth="1"/>
    <col min="10757" max="10757" width="8.453125" style="56" customWidth="1"/>
    <col min="10758" max="10758" width="34.453125" style="56" customWidth="1"/>
    <col min="10759" max="10759" width="18.453125" style="56" customWidth="1"/>
    <col min="10760" max="11008" width="1.453125" style="56"/>
    <col min="11009" max="11009" width="4" style="56" customWidth="1"/>
    <col min="11010" max="11010" width="8.453125" style="56" customWidth="1"/>
    <col min="11011" max="11011" width="12.453125" style="56" customWidth="1"/>
    <col min="11012" max="11012" width="6.453125" style="56" customWidth="1"/>
    <col min="11013" max="11013" width="8.453125" style="56" customWidth="1"/>
    <col min="11014" max="11014" width="34.453125" style="56" customWidth="1"/>
    <col min="11015" max="11015" width="18.453125" style="56" customWidth="1"/>
    <col min="11016" max="11264" width="1.453125" style="56"/>
    <col min="11265" max="11265" width="4" style="56" customWidth="1"/>
    <col min="11266" max="11266" width="8.453125" style="56" customWidth="1"/>
    <col min="11267" max="11267" width="12.453125" style="56" customWidth="1"/>
    <col min="11268" max="11268" width="6.453125" style="56" customWidth="1"/>
    <col min="11269" max="11269" width="8.453125" style="56" customWidth="1"/>
    <col min="11270" max="11270" width="34.453125" style="56" customWidth="1"/>
    <col min="11271" max="11271" width="18.453125" style="56" customWidth="1"/>
    <col min="11272" max="11520" width="1.453125" style="56"/>
    <col min="11521" max="11521" width="4" style="56" customWidth="1"/>
    <col min="11522" max="11522" width="8.453125" style="56" customWidth="1"/>
    <col min="11523" max="11523" width="12.453125" style="56" customWidth="1"/>
    <col min="11524" max="11524" width="6.453125" style="56" customWidth="1"/>
    <col min="11525" max="11525" width="8.453125" style="56" customWidth="1"/>
    <col min="11526" max="11526" width="34.453125" style="56" customWidth="1"/>
    <col min="11527" max="11527" width="18.453125" style="56" customWidth="1"/>
    <col min="11528" max="11776" width="1.453125" style="56"/>
    <col min="11777" max="11777" width="4" style="56" customWidth="1"/>
    <col min="11778" max="11778" width="8.453125" style="56" customWidth="1"/>
    <col min="11779" max="11779" width="12.453125" style="56" customWidth="1"/>
    <col min="11780" max="11780" width="6.453125" style="56" customWidth="1"/>
    <col min="11781" max="11781" width="8.453125" style="56" customWidth="1"/>
    <col min="11782" max="11782" width="34.453125" style="56" customWidth="1"/>
    <col min="11783" max="11783" width="18.453125" style="56" customWidth="1"/>
    <col min="11784" max="12032" width="1.453125" style="56"/>
    <col min="12033" max="12033" width="4" style="56" customWidth="1"/>
    <col min="12034" max="12034" width="8.453125" style="56" customWidth="1"/>
    <col min="12035" max="12035" width="12.453125" style="56" customWidth="1"/>
    <col min="12036" max="12036" width="6.453125" style="56" customWidth="1"/>
    <col min="12037" max="12037" width="8.453125" style="56" customWidth="1"/>
    <col min="12038" max="12038" width="34.453125" style="56" customWidth="1"/>
    <col min="12039" max="12039" width="18.453125" style="56" customWidth="1"/>
    <col min="12040" max="12288" width="1.453125" style="56"/>
    <col min="12289" max="12289" width="4" style="56" customWidth="1"/>
    <col min="12290" max="12290" width="8.453125" style="56" customWidth="1"/>
    <col min="12291" max="12291" width="12.453125" style="56" customWidth="1"/>
    <col min="12292" max="12292" width="6.453125" style="56" customWidth="1"/>
    <col min="12293" max="12293" width="8.453125" style="56" customWidth="1"/>
    <col min="12294" max="12294" width="34.453125" style="56" customWidth="1"/>
    <col min="12295" max="12295" width="18.453125" style="56" customWidth="1"/>
    <col min="12296" max="12544" width="1.453125" style="56"/>
    <col min="12545" max="12545" width="4" style="56" customWidth="1"/>
    <col min="12546" max="12546" width="8.453125" style="56" customWidth="1"/>
    <col min="12547" max="12547" width="12.453125" style="56" customWidth="1"/>
    <col min="12548" max="12548" width="6.453125" style="56" customWidth="1"/>
    <col min="12549" max="12549" width="8.453125" style="56" customWidth="1"/>
    <col min="12550" max="12550" width="34.453125" style="56" customWidth="1"/>
    <col min="12551" max="12551" width="18.453125" style="56" customWidth="1"/>
    <col min="12552" max="12800" width="1.453125" style="56"/>
    <col min="12801" max="12801" width="4" style="56" customWidth="1"/>
    <col min="12802" max="12802" width="8.453125" style="56" customWidth="1"/>
    <col min="12803" max="12803" width="12.453125" style="56" customWidth="1"/>
    <col min="12804" max="12804" width="6.453125" style="56" customWidth="1"/>
    <col min="12805" max="12805" width="8.453125" style="56" customWidth="1"/>
    <col min="12806" max="12806" width="34.453125" style="56" customWidth="1"/>
    <col min="12807" max="12807" width="18.453125" style="56" customWidth="1"/>
    <col min="12808" max="13056" width="1.453125" style="56"/>
    <col min="13057" max="13057" width="4" style="56" customWidth="1"/>
    <col min="13058" max="13058" width="8.453125" style="56" customWidth="1"/>
    <col min="13059" max="13059" width="12.453125" style="56" customWidth="1"/>
    <col min="13060" max="13060" width="6.453125" style="56" customWidth="1"/>
    <col min="13061" max="13061" width="8.453125" style="56" customWidth="1"/>
    <col min="13062" max="13062" width="34.453125" style="56" customWidth="1"/>
    <col min="13063" max="13063" width="18.453125" style="56" customWidth="1"/>
    <col min="13064" max="13312" width="1.453125" style="56"/>
    <col min="13313" max="13313" width="4" style="56" customWidth="1"/>
    <col min="13314" max="13314" width="8.453125" style="56" customWidth="1"/>
    <col min="13315" max="13315" width="12.453125" style="56" customWidth="1"/>
    <col min="13316" max="13316" width="6.453125" style="56" customWidth="1"/>
    <col min="13317" max="13317" width="8.453125" style="56" customWidth="1"/>
    <col min="13318" max="13318" width="34.453125" style="56" customWidth="1"/>
    <col min="13319" max="13319" width="18.453125" style="56" customWidth="1"/>
    <col min="13320" max="13568" width="1.453125" style="56"/>
    <col min="13569" max="13569" width="4" style="56" customWidth="1"/>
    <col min="13570" max="13570" width="8.453125" style="56" customWidth="1"/>
    <col min="13571" max="13571" width="12.453125" style="56" customWidth="1"/>
    <col min="13572" max="13572" width="6.453125" style="56" customWidth="1"/>
    <col min="13573" max="13573" width="8.453125" style="56" customWidth="1"/>
    <col min="13574" max="13574" width="34.453125" style="56" customWidth="1"/>
    <col min="13575" max="13575" width="18.453125" style="56" customWidth="1"/>
    <col min="13576" max="13824" width="1.453125" style="56"/>
    <col min="13825" max="13825" width="4" style="56" customWidth="1"/>
    <col min="13826" max="13826" width="8.453125" style="56" customWidth="1"/>
    <col min="13827" max="13827" width="12.453125" style="56" customWidth="1"/>
    <col min="13828" max="13828" width="6.453125" style="56" customWidth="1"/>
    <col min="13829" max="13829" width="8.453125" style="56" customWidth="1"/>
    <col min="13830" max="13830" width="34.453125" style="56" customWidth="1"/>
    <col min="13831" max="13831" width="18.453125" style="56" customWidth="1"/>
    <col min="13832" max="14080" width="1.453125" style="56"/>
    <col min="14081" max="14081" width="4" style="56" customWidth="1"/>
    <col min="14082" max="14082" width="8.453125" style="56" customWidth="1"/>
    <col min="14083" max="14083" width="12.453125" style="56" customWidth="1"/>
    <col min="14084" max="14084" width="6.453125" style="56" customWidth="1"/>
    <col min="14085" max="14085" width="8.453125" style="56" customWidth="1"/>
    <col min="14086" max="14086" width="34.453125" style="56" customWidth="1"/>
    <col min="14087" max="14087" width="18.453125" style="56" customWidth="1"/>
    <col min="14088" max="14336" width="1.453125" style="56"/>
    <col min="14337" max="14337" width="4" style="56" customWidth="1"/>
    <col min="14338" max="14338" width="8.453125" style="56" customWidth="1"/>
    <col min="14339" max="14339" width="12.453125" style="56" customWidth="1"/>
    <col min="14340" max="14340" width="6.453125" style="56" customWidth="1"/>
    <col min="14341" max="14341" width="8.453125" style="56" customWidth="1"/>
    <col min="14342" max="14342" width="34.453125" style="56" customWidth="1"/>
    <col min="14343" max="14343" width="18.453125" style="56" customWidth="1"/>
    <col min="14344" max="14592" width="1.453125" style="56"/>
    <col min="14593" max="14593" width="4" style="56" customWidth="1"/>
    <col min="14594" max="14594" width="8.453125" style="56" customWidth="1"/>
    <col min="14595" max="14595" width="12.453125" style="56" customWidth="1"/>
    <col min="14596" max="14596" width="6.453125" style="56" customWidth="1"/>
    <col min="14597" max="14597" width="8.453125" style="56" customWidth="1"/>
    <col min="14598" max="14598" width="34.453125" style="56" customWidth="1"/>
    <col min="14599" max="14599" width="18.453125" style="56" customWidth="1"/>
    <col min="14600" max="14848" width="1.453125" style="56"/>
    <col min="14849" max="14849" width="4" style="56" customWidth="1"/>
    <col min="14850" max="14850" width="8.453125" style="56" customWidth="1"/>
    <col min="14851" max="14851" width="12.453125" style="56" customWidth="1"/>
    <col min="14852" max="14852" width="6.453125" style="56" customWidth="1"/>
    <col min="14853" max="14853" width="8.453125" style="56" customWidth="1"/>
    <col min="14854" max="14854" width="34.453125" style="56" customWidth="1"/>
    <col min="14855" max="14855" width="18.453125" style="56" customWidth="1"/>
    <col min="14856" max="15104" width="1.453125" style="56"/>
    <col min="15105" max="15105" width="4" style="56" customWidth="1"/>
    <col min="15106" max="15106" width="8.453125" style="56" customWidth="1"/>
    <col min="15107" max="15107" width="12.453125" style="56" customWidth="1"/>
    <col min="15108" max="15108" width="6.453125" style="56" customWidth="1"/>
    <col min="15109" max="15109" width="8.453125" style="56" customWidth="1"/>
    <col min="15110" max="15110" width="34.453125" style="56" customWidth="1"/>
    <col min="15111" max="15111" width="18.453125" style="56" customWidth="1"/>
    <col min="15112" max="15360" width="1.453125" style="56"/>
    <col min="15361" max="15361" width="4" style="56" customWidth="1"/>
    <col min="15362" max="15362" width="8.453125" style="56" customWidth="1"/>
    <col min="15363" max="15363" width="12.453125" style="56" customWidth="1"/>
    <col min="15364" max="15364" width="6.453125" style="56" customWidth="1"/>
    <col min="15365" max="15365" width="8.453125" style="56" customWidth="1"/>
    <col min="15366" max="15366" width="34.453125" style="56" customWidth="1"/>
    <col min="15367" max="15367" width="18.453125" style="56" customWidth="1"/>
    <col min="15368" max="15616" width="1.453125" style="56"/>
    <col min="15617" max="15617" width="4" style="56" customWidth="1"/>
    <col min="15618" max="15618" width="8.453125" style="56" customWidth="1"/>
    <col min="15619" max="15619" width="12.453125" style="56" customWidth="1"/>
    <col min="15620" max="15620" width="6.453125" style="56" customWidth="1"/>
    <col min="15621" max="15621" width="8.453125" style="56" customWidth="1"/>
    <col min="15622" max="15622" width="34.453125" style="56" customWidth="1"/>
    <col min="15623" max="15623" width="18.453125" style="56" customWidth="1"/>
    <col min="15624" max="15872" width="1.453125" style="56"/>
    <col min="15873" max="15873" width="4" style="56" customWidth="1"/>
    <col min="15874" max="15874" width="8.453125" style="56" customWidth="1"/>
    <col min="15875" max="15875" width="12.453125" style="56" customWidth="1"/>
    <col min="15876" max="15876" width="6.453125" style="56" customWidth="1"/>
    <col min="15877" max="15877" width="8.453125" style="56" customWidth="1"/>
    <col min="15878" max="15878" width="34.453125" style="56" customWidth="1"/>
    <col min="15879" max="15879" width="18.453125" style="56" customWidth="1"/>
    <col min="15880" max="16128" width="1.453125" style="56"/>
    <col min="16129" max="16129" width="4" style="56" customWidth="1"/>
    <col min="16130" max="16130" width="8.453125" style="56" customWidth="1"/>
    <col min="16131" max="16131" width="12.453125" style="56" customWidth="1"/>
    <col min="16132" max="16132" width="6.453125" style="56" customWidth="1"/>
    <col min="16133" max="16133" width="8.453125" style="56" customWidth="1"/>
    <col min="16134" max="16134" width="34.453125" style="56" customWidth="1"/>
    <col min="16135" max="16135" width="18.453125" style="56" customWidth="1"/>
    <col min="16136" max="16384" width="1.453125" style="56"/>
  </cols>
  <sheetData>
    <row r="1" spans="2:7" ht="16" x14ac:dyDescent="0.2">
      <c r="G1" s="73"/>
    </row>
    <row r="2" spans="2:7" ht="12.75" customHeight="1" x14ac:dyDescent="0.2">
      <c r="B2" s="74" t="s">
        <v>7</v>
      </c>
    </row>
    <row r="3" spans="2:7" ht="18.75" customHeight="1" thickBot="1" x14ac:dyDescent="0.25">
      <c r="B3" s="71" t="s">
        <v>8</v>
      </c>
      <c r="C3" s="71" t="s">
        <v>9</v>
      </c>
      <c r="D3" s="72" t="s">
        <v>10</v>
      </c>
      <c r="E3" s="72" t="s">
        <v>11</v>
      </c>
      <c r="F3" s="71" t="s">
        <v>12</v>
      </c>
      <c r="G3" s="70" t="s">
        <v>13</v>
      </c>
    </row>
    <row r="4" spans="2:7" ht="15" customHeight="1" x14ac:dyDescent="0.2">
      <c r="B4" s="76" t="s">
        <v>14</v>
      </c>
      <c r="C4" s="66">
        <v>45968</v>
      </c>
      <c r="D4" s="77" t="s">
        <v>15</v>
      </c>
      <c r="E4" s="96" t="s">
        <v>16</v>
      </c>
      <c r="F4" s="63" t="s">
        <v>17</v>
      </c>
      <c r="G4" s="78"/>
    </row>
    <row r="5" spans="2:7" ht="15" customHeight="1" x14ac:dyDescent="0.2">
      <c r="B5" s="76" t="s">
        <v>14</v>
      </c>
      <c r="C5" s="66">
        <v>45968</v>
      </c>
      <c r="D5" s="77" t="s">
        <v>15</v>
      </c>
      <c r="E5" s="96" t="s">
        <v>18</v>
      </c>
      <c r="F5" s="63" t="s">
        <v>17</v>
      </c>
      <c r="G5" s="78"/>
    </row>
    <row r="6" spans="2:7" ht="15" customHeight="1" x14ac:dyDescent="0.2">
      <c r="B6" s="76" t="s">
        <v>19</v>
      </c>
      <c r="C6" s="66">
        <v>45974</v>
      </c>
      <c r="D6" s="77" t="s">
        <v>15</v>
      </c>
      <c r="E6" s="96" t="s">
        <v>16</v>
      </c>
      <c r="F6" s="63" t="s">
        <v>20</v>
      </c>
      <c r="G6" s="62"/>
    </row>
    <row r="7" spans="2:7" ht="15" customHeight="1" x14ac:dyDescent="0.2">
      <c r="B7" s="76" t="s">
        <v>19</v>
      </c>
      <c r="C7" s="66">
        <v>45975</v>
      </c>
      <c r="D7" s="77" t="s">
        <v>15</v>
      </c>
      <c r="E7" s="96" t="s">
        <v>18</v>
      </c>
      <c r="F7" s="63" t="s">
        <v>21</v>
      </c>
      <c r="G7" s="62"/>
    </row>
    <row r="8" spans="2:7" ht="15" customHeight="1" x14ac:dyDescent="0.2">
      <c r="B8" s="66"/>
      <c r="C8" s="66"/>
      <c r="D8" s="65"/>
      <c r="E8" s="64"/>
      <c r="F8" s="63"/>
      <c r="G8" s="69"/>
    </row>
    <row r="9" spans="2:7" ht="15" customHeight="1" x14ac:dyDescent="0.2">
      <c r="B9" s="66"/>
      <c r="C9" s="66"/>
      <c r="D9" s="65"/>
      <c r="E9" s="64"/>
      <c r="F9" s="63"/>
      <c r="G9" s="62"/>
    </row>
    <row r="10" spans="2:7" ht="15" customHeight="1" x14ac:dyDescent="0.2">
      <c r="B10" s="66"/>
      <c r="C10" s="66"/>
      <c r="D10" s="65"/>
      <c r="E10" s="64"/>
      <c r="F10" s="63"/>
      <c r="G10" s="68"/>
    </row>
    <row r="11" spans="2:7" ht="15" customHeight="1" x14ac:dyDescent="0.2">
      <c r="B11" s="66"/>
      <c r="C11" s="66"/>
      <c r="D11" s="65"/>
      <c r="E11" s="64"/>
      <c r="F11" s="63"/>
      <c r="G11" s="62"/>
    </row>
    <row r="12" spans="2:7" ht="15" customHeight="1" x14ac:dyDescent="0.2">
      <c r="B12" s="66"/>
      <c r="C12" s="66"/>
      <c r="D12" s="65"/>
      <c r="E12" s="64"/>
      <c r="F12" s="67"/>
      <c r="G12" s="62"/>
    </row>
    <row r="13" spans="2:7" ht="15" customHeight="1" x14ac:dyDescent="0.2">
      <c r="B13" s="66"/>
      <c r="C13" s="66"/>
      <c r="D13" s="65"/>
      <c r="E13" s="64"/>
      <c r="F13" s="67"/>
      <c r="G13" s="62"/>
    </row>
    <row r="14" spans="2:7" ht="15" customHeight="1" x14ac:dyDescent="0.2">
      <c r="B14" s="66"/>
      <c r="C14" s="66"/>
      <c r="D14" s="65"/>
      <c r="E14" s="64"/>
      <c r="F14" s="63"/>
      <c r="G14" s="62"/>
    </row>
    <row r="15" spans="2:7" ht="15" customHeight="1" x14ac:dyDescent="0.2">
      <c r="B15" s="66"/>
      <c r="C15" s="66"/>
      <c r="D15" s="65"/>
      <c r="E15" s="64"/>
      <c r="F15" s="63"/>
      <c r="G15" s="62"/>
    </row>
    <row r="16" spans="2:7" ht="15" customHeight="1" x14ac:dyDescent="0.2">
      <c r="B16" s="66"/>
      <c r="C16" s="66"/>
      <c r="D16" s="65"/>
      <c r="E16" s="64"/>
      <c r="F16" s="63"/>
      <c r="G16" s="62"/>
    </row>
    <row r="17" spans="2:7" ht="15" customHeight="1" x14ac:dyDescent="0.2">
      <c r="B17" s="66"/>
      <c r="C17" s="66"/>
      <c r="D17" s="65"/>
      <c r="E17" s="64"/>
      <c r="F17" s="63"/>
      <c r="G17" s="62"/>
    </row>
    <row r="18" spans="2:7" ht="15" customHeight="1" x14ac:dyDescent="0.2">
      <c r="B18" s="66"/>
      <c r="C18" s="66"/>
      <c r="D18" s="65"/>
      <c r="E18" s="64"/>
      <c r="F18" s="63"/>
      <c r="G18" s="62"/>
    </row>
    <row r="19" spans="2:7" ht="15" customHeight="1" x14ac:dyDescent="0.2">
      <c r="B19" s="66"/>
      <c r="C19" s="66"/>
      <c r="D19" s="65"/>
      <c r="E19" s="64"/>
      <c r="F19" s="63"/>
      <c r="G19" s="62"/>
    </row>
    <row r="20" spans="2:7" ht="15" customHeight="1" x14ac:dyDescent="0.2">
      <c r="B20" s="66"/>
      <c r="C20" s="66"/>
      <c r="D20" s="65"/>
      <c r="E20" s="64"/>
      <c r="F20" s="63"/>
      <c r="G20" s="62"/>
    </row>
    <row r="21" spans="2:7" ht="15" customHeight="1" x14ac:dyDescent="0.2">
      <c r="B21" s="66"/>
      <c r="C21" s="66"/>
      <c r="D21" s="65"/>
      <c r="E21" s="64"/>
      <c r="F21" s="63"/>
      <c r="G21" s="62"/>
    </row>
    <row r="22" spans="2:7" ht="15" customHeight="1" x14ac:dyDescent="0.2">
      <c r="B22" s="66"/>
      <c r="C22" s="66"/>
      <c r="D22" s="65"/>
      <c r="E22" s="64"/>
      <c r="F22" s="63"/>
      <c r="G22" s="62"/>
    </row>
    <row r="23" spans="2:7" ht="15" customHeight="1" x14ac:dyDescent="0.2">
      <c r="B23" s="66"/>
      <c r="C23" s="66"/>
      <c r="D23" s="65"/>
      <c r="E23" s="64"/>
      <c r="F23" s="63"/>
      <c r="G23" s="62"/>
    </row>
    <row r="24" spans="2:7" ht="15" customHeight="1" x14ac:dyDescent="0.2">
      <c r="B24" s="66"/>
      <c r="C24" s="66"/>
      <c r="D24" s="65"/>
      <c r="E24" s="64"/>
      <c r="F24" s="63"/>
      <c r="G24" s="62"/>
    </row>
    <row r="25" spans="2:7" ht="15" customHeight="1" x14ac:dyDescent="0.2">
      <c r="B25" s="66"/>
      <c r="C25" s="66"/>
      <c r="D25" s="65"/>
      <c r="E25" s="64"/>
      <c r="F25" s="63"/>
      <c r="G25" s="62"/>
    </row>
    <row r="26" spans="2:7" ht="15" customHeight="1" x14ac:dyDescent="0.2">
      <c r="B26" s="66"/>
      <c r="C26" s="66"/>
      <c r="D26" s="65"/>
      <c r="E26" s="64"/>
      <c r="F26" s="63"/>
      <c r="G26" s="62"/>
    </row>
    <row r="27" spans="2:7" ht="15" customHeight="1" x14ac:dyDescent="0.2">
      <c r="B27" s="66"/>
      <c r="C27" s="66"/>
      <c r="D27" s="65"/>
      <c r="E27" s="64"/>
      <c r="F27" s="63"/>
      <c r="G27" s="62"/>
    </row>
    <row r="28" spans="2:7" ht="15" customHeight="1" x14ac:dyDescent="0.2">
      <c r="B28" s="66"/>
      <c r="C28" s="66"/>
      <c r="D28" s="65"/>
      <c r="E28" s="64"/>
      <c r="F28" s="63"/>
      <c r="G28" s="62"/>
    </row>
    <row r="29" spans="2:7" ht="15" customHeight="1" x14ac:dyDescent="0.2">
      <c r="B29" s="66"/>
      <c r="C29" s="66"/>
      <c r="D29" s="65"/>
      <c r="E29" s="64"/>
      <c r="F29" s="63"/>
      <c r="G29" s="62"/>
    </row>
    <row r="30" spans="2:7" ht="15" customHeight="1" x14ac:dyDescent="0.2">
      <c r="B30" s="66"/>
      <c r="C30" s="66"/>
      <c r="D30" s="65"/>
      <c r="E30" s="64"/>
      <c r="F30" s="63"/>
      <c r="G30" s="62"/>
    </row>
    <row r="31" spans="2:7" ht="15" customHeight="1" x14ac:dyDescent="0.2">
      <c r="B31" s="66"/>
      <c r="C31" s="66"/>
      <c r="D31" s="65"/>
      <c r="E31" s="64"/>
      <c r="F31" s="63"/>
      <c r="G31" s="62"/>
    </row>
    <row r="32" spans="2:7" ht="15" customHeight="1" x14ac:dyDescent="0.2">
      <c r="B32" s="66"/>
      <c r="C32" s="66"/>
      <c r="D32" s="65"/>
      <c r="E32" s="64"/>
      <c r="F32" s="63"/>
      <c r="G32" s="62"/>
    </row>
    <row r="33" spans="2:7" ht="15" customHeight="1" x14ac:dyDescent="0.2">
      <c r="B33" s="66"/>
      <c r="C33" s="66"/>
      <c r="D33" s="65"/>
      <c r="E33" s="64"/>
      <c r="F33" s="63"/>
      <c r="G33" s="62"/>
    </row>
    <row r="34" spans="2:7" ht="15" customHeight="1" x14ac:dyDescent="0.2">
      <c r="B34" s="66"/>
      <c r="C34" s="66"/>
      <c r="D34" s="65"/>
      <c r="E34" s="64"/>
      <c r="F34" s="63"/>
      <c r="G34" s="62"/>
    </row>
    <row r="35" spans="2:7" ht="15" customHeight="1" x14ac:dyDescent="0.2">
      <c r="B35" s="66"/>
      <c r="C35" s="66"/>
      <c r="D35" s="65"/>
      <c r="E35" s="64"/>
      <c r="F35" s="63"/>
      <c r="G35" s="62"/>
    </row>
    <row r="36" spans="2:7" ht="15" customHeight="1" x14ac:dyDescent="0.2">
      <c r="B36" s="66"/>
      <c r="C36" s="66"/>
      <c r="D36" s="65"/>
      <c r="E36" s="64"/>
      <c r="F36" s="63"/>
      <c r="G36" s="62"/>
    </row>
    <row r="37" spans="2:7" ht="15" customHeight="1" x14ac:dyDescent="0.2">
      <c r="B37" s="66"/>
      <c r="C37" s="66"/>
      <c r="D37" s="65"/>
      <c r="E37" s="64"/>
      <c r="F37" s="63"/>
      <c r="G37" s="62"/>
    </row>
    <row r="38" spans="2:7" ht="15" customHeight="1" x14ac:dyDescent="0.2">
      <c r="B38" s="66"/>
      <c r="C38" s="66"/>
      <c r="D38" s="65"/>
      <c r="E38" s="64"/>
      <c r="F38" s="63"/>
      <c r="G38" s="62"/>
    </row>
    <row r="39" spans="2:7" ht="15" customHeight="1" x14ac:dyDescent="0.2">
      <c r="B39" s="61"/>
      <c r="C39" s="61"/>
      <c r="D39" s="60"/>
      <c r="E39" s="59"/>
      <c r="F39" s="58"/>
      <c r="G39" s="57"/>
    </row>
  </sheetData>
  <phoneticPr fontId="1"/>
  <printOptions horizontalCentered="1" verticalCentered="1"/>
  <pageMargins left="0.39370078740157483" right="0.39370078740157483" top="0.39370078740157483" bottom="0.39370078740157483" header="0.51181102362204722" footer="0.51181102362204722"/>
  <pageSetup paperSize="9" fitToWidth="0" fitToHeight="0" orientation="portrait" r:id="rId1"/>
  <headerFooter alignWithMargins="0">
    <oddHeader xml:space="preserve">&amp;L&amp;9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9F488-0C17-4CDB-ADD5-9F5736DF0A78}">
  <sheetPr>
    <tabColor theme="2"/>
  </sheetPr>
  <dimension ref="B3:K12"/>
  <sheetViews>
    <sheetView showGridLines="0" zoomScaleNormal="100" workbookViewId="0">
      <selection activeCell="F21" sqref="F21"/>
    </sheetView>
  </sheetViews>
  <sheetFormatPr defaultColWidth="8.7265625" defaultRowHeight="15" x14ac:dyDescent="0.2"/>
  <cols>
    <col min="1" max="1" width="8.7265625" style="112"/>
    <col min="2" max="2" width="28.1796875" style="112" customWidth="1"/>
    <col min="3" max="3" width="11.453125" style="112" customWidth="1"/>
    <col min="4" max="4" width="42.26953125" style="112" customWidth="1"/>
    <col min="5" max="16384" width="8.7265625" style="112"/>
  </cols>
  <sheetData>
    <row r="3" spans="2:11" ht="4.5" customHeight="1" x14ac:dyDescent="0.35">
      <c r="B3" s="116"/>
      <c r="C3" s="116"/>
      <c r="D3" s="116"/>
      <c r="E3" s="117"/>
      <c r="F3" s="117"/>
      <c r="G3" s="117"/>
      <c r="H3" s="117"/>
      <c r="I3" s="117"/>
      <c r="J3" s="117"/>
      <c r="K3" s="117"/>
    </row>
    <row r="4" spans="2:11" ht="28.5" customHeight="1" x14ac:dyDescent="0.2">
      <c r="B4" s="140" t="s">
        <v>22</v>
      </c>
      <c r="C4" s="140"/>
      <c r="D4" s="140"/>
    </row>
    <row r="5" spans="2:11" ht="4.5" customHeight="1" x14ac:dyDescent="0.35">
      <c r="B5" s="116"/>
      <c r="C5" s="116"/>
      <c r="D5" s="116"/>
      <c r="E5" s="117"/>
      <c r="F5" s="117"/>
      <c r="G5" s="117"/>
      <c r="H5" s="117"/>
      <c r="I5" s="117"/>
      <c r="J5" s="117"/>
    </row>
    <row r="6" spans="2:11" x14ac:dyDescent="0.2">
      <c r="B6" s="118"/>
      <c r="C6" s="119"/>
      <c r="D6" s="119"/>
    </row>
    <row r="7" spans="2:11" x14ac:dyDescent="0.2">
      <c r="B7" s="120"/>
      <c r="C7" s="120" t="s">
        <v>23</v>
      </c>
      <c r="D7" s="120" t="s">
        <v>24</v>
      </c>
    </row>
    <row r="8" spans="2:11" x14ac:dyDescent="0.2">
      <c r="B8" s="113" t="s">
        <v>25</v>
      </c>
      <c r="C8" s="114"/>
      <c r="D8" s="113" t="s">
        <v>26</v>
      </c>
    </row>
    <row r="9" spans="2:11" ht="30" x14ac:dyDescent="0.2">
      <c r="B9" s="113" t="s">
        <v>27</v>
      </c>
      <c r="C9" s="113" t="s">
        <v>28</v>
      </c>
      <c r="D9" s="121" t="s">
        <v>29</v>
      </c>
    </row>
    <row r="10" spans="2:11" ht="30" x14ac:dyDescent="0.2">
      <c r="B10" s="113" t="s">
        <v>30</v>
      </c>
      <c r="C10" s="113" t="s">
        <v>28</v>
      </c>
      <c r="D10" s="121" t="s">
        <v>31</v>
      </c>
    </row>
    <row r="11" spans="2:11" ht="45" x14ac:dyDescent="0.2">
      <c r="B11" s="113" t="s">
        <v>32</v>
      </c>
      <c r="C11" s="114"/>
      <c r="D11" s="121" t="s">
        <v>33</v>
      </c>
    </row>
    <row r="12" spans="2:11" ht="30" x14ac:dyDescent="0.2">
      <c r="B12" s="113" t="s">
        <v>34</v>
      </c>
      <c r="C12" s="113"/>
      <c r="D12" s="121" t="s">
        <v>35</v>
      </c>
    </row>
  </sheetData>
  <mergeCells count="1">
    <mergeCell ref="B4:D4"/>
  </mergeCells>
  <phoneticPr fontId="1"/>
  <dataValidations count="2">
    <dataValidation type="list" allowBlank="1" showInputMessage="1" showErrorMessage="1" sqref="C12 C10" xr:uid="{EB921387-E7C7-42E0-AFDD-83168C064069}">
      <formula1>"有,無,-"</formula1>
    </dataValidation>
    <dataValidation type="list" allowBlank="1" showInputMessage="1" showErrorMessage="1" sqref="C9" xr:uid="{D0923C2B-D7AD-4216-B4AB-44DA614E9D0E}">
      <formula1>"有,無"</formula1>
    </dataValidation>
  </dataValidations>
  <pageMargins left="0.7" right="0.7" top="0.75" bottom="0.75" header="0.3" footer="0.3"/>
  <pageSetup paperSize="9" orientation="portrait"/>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4509-76BB-4B40-8F18-11E5383E3907}">
  <dimension ref="A1:AQ29"/>
  <sheetViews>
    <sheetView showGridLines="0" topLeftCell="A15" zoomScale="74" zoomScaleNormal="74" workbookViewId="0">
      <selection activeCell="F21" sqref="F21"/>
    </sheetView>
  </sheetViews>
  <sheetFormatPr defaultColWidth="3.1796875" defaultRowHeight="13.5" x14ac:dyDescent="0.2"/>
  <cols>
    <col min="1" max="2" width="3.1796875" style="7"/>
    <col min="3" max="3" width="1.453125" style="7" customWidth="1"/>
    <col min="4" max="16384" width="3.1796875" style="7"/>
  </cols>
  <sheetData>
    <row r="1" spans="1:42" s="2" customFormat="1" ht="6" customHeight="1" x14ac:dyDescent="0.35">
      <c r="A1" s="1">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s="2" customFormat="1" ht="6" customHeight="1" thickBot="1" x14ac:dyDescent="0.4"/>
    <row r="3" spans="1:42" s="2" customFormat="1" ht="22.5" customHeight="1" thickBot="1" x14ac:dyDescent="0.4">
      <c r="A3" s="108" t="str" cm="1">
        <f t="array" aca="1" ref="A3" ca="1">MID(CELL("filename",A1),FIND("]",CELL("filename",A1))+1,50)</f>
        <v>01_【開発環境接続（PowerBI接続）】フロー</v>
      </c>
      <c r="B3" s="109"/>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1"/>
    </row>
    <row r="4" spans="1:42" s="2" customFormat="1" ht="12" customHeight="1" x14ac:dyDescent="0.45">
      <c r="A4" s="5"/>
    </row>
    <row r="5" spans="1:42" s="2" customFormat="1" ht="4" customHeight="1" x14ac:dyDescent="0.35">
      <c r="A5" s="1"/>
      <c r="B5" s="1"/>
      <c r="C5" s="1"/>
      <c r="D5" s="1"/>
      <c r="E5" s="1"/>
      <c r="F5" s="1"/>
      <c r="G5" s="1"/>
      <c r="H5" s="1"/>
      <c r="I5" s="1"/>
      <c r="J5" s="1"/>
      <c r="K5" s="1"/>
    </row>
    <row r="6" spans="1:42" s="2" customFormat="1" ht="6" customHeight="1" x14ac:dyDescent="0.35"/>
    <row r="7" spans="1:42" s="2" customFormat="1" ht="22.5" customHeight="1" x14ac:dyDescent="0.45">
      <c r="A7" s="3" t="s">
        <v>36</v>
      </c>
      <c r="E7" s="4"/>
    </row>
    <row r="8" spans="1:42" x14ac:dyDescent="0.2">
      <c r="B8" s="7" t="s">
        <v>37</v>
      </c>
    </row>
    <row r="9" spans="1:42" x14ac:dyDescent="0.2">
      <c r="B9" s="7" t="s">
        <v>38</v>
      </c>
    </row>
    <row r="10" spans="1:42" x14ac:dyDescent="0.2">
      <c r="B10" s="104" t="s">
        <v>39</v>
      </c>
    </row>
    <row r="11" spans="1:42" x14ac:dyDescent="0.2">
      <c r="B11" s="104" t="s">
        <v>40</v>
      </c>
      <c r="E11" s="106" t="s">
        <v>41</v>
      </c>
      <c r="Y11" s="106"/>
    </row>
    <row r="12" spans="1:42" s="2" customFormat="1" ht="12" customHeight="1" x14ac:dyDescent="0.45">
      <c r="A12" s="5"/>
    </row>
    <row r="13" spans="1:42" s="2" customFormat="1" ht="4" customHeight="1" x14ac:dyDescent="0.35">
      <c r="A13" s="1"/>
      <c r="B13" s="1"/>
      <c r="C13" s="1"/>
      <c r="D13" s="1"/>
      <c r="E13" s="1"/>
      <c r="F13" s="1"/>
      <c r="G13" s="1"/>
      <c r="H13" s="1"/>
      <c r="I13" s="1"/>
      <c r="J13" s="1"/>
      <c r="K13" s="1"/>
    </row>
    <row r="14" spans="1:42" s="2" customFormat="1" ht="6" customHeight="1" x14ac:dyDescent="0.35"/>
    <row r="15" spans="1:42" s="2" customFormat="1" ht="22.5" customHeight="1" x14ac:dyDescent="0.45">
      <c r="A15" s="3" t="s">
        <v>42</v>
      </c>
      <c r="E15" s="4"/>
    </row>
    <row r="18" spans="3:43" x14ac:dyDescent="0.2">
      <c r="C18" s="21" t="s">
        <v>43</v>
      </c>
      <c r="D18" s="21"/>
      <c r="E18" s="21"/>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5"/>
    </row>
    <row r="19" spans="3:43" x14ac:dyDescent="0.2">
      <c r="C19" s="13"/>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4"/>
    </row>
    <row r="20" spans="3:43" x14ac:dyDescent="0.2">
      <c r="C20" s="29"/>
      <c r="AQ20" s="30"/>
    </row>
    <row r="21" spans="3:43" x14ac:dyDescent="0.2">
      <c r="C21" s="29"/>
      <c r="AQ21" s="30"/>
    </row>
    <row r="22" spans="3:43" x14ac:dyDescent="0.2">
      <c r="C22" s="29"/>
      <c r="AQ22" s="30"/>
    </row>
    <row r="23" spans="3:43" x14ac:dyDescent="0.2">
      <c r="C23" s="29"/>
      <c r="AQ23" s="30"/>
    </row>
    <row r="24" spans="3:43" x14ac:dyDescent="0.2">
      <c r="C24" s="29"/>
      <c r="AQ24" s="30"/>
    </row>
    <row r="25" spans="3:43" x14ac:dyDescent="0.2">
      <c r="C25" s="29"/>
      <c r="AQ25" s="30"/>
    </row>
    <row r="26" spans="3:43" x14ac:dyDescent="0.2">
      <c r="C26" s="29"/>
      <c r="AQ26" s="30"/>
    </row>
    <row r="27" spans="3:43" x14ac:dyDescent="0.2">
      <c r="C27" s="29"/>
      <c r="AQ27" s="30"/>
    </row>
    <row r="28" spans="3:43" x14ac:dyDescent="0.2">
      <c r="C28" s="29"/>
      <c r="AQ28" s="30"/>
    </row>
    <row r="29" spans="3:43" x14ac:dyDescent="0.2">
      <c r="C29" s="16"/>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7"/>
    </row>
  </sheetData>
  <phoneticPr fontId="1"/>
  <hyperlinks>
    <hyperlink ref="E11" r:id="rId1" xr:uid="{FDB42831-5925-423C-8482-702320D9DE6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A238-CC9F-4978-A78C-BA9571B2D019}">
  <dimension ref="A1:CU222"/>
  <sheetViews>
    <sheetView showGridLines="0" zoomScale="70" zoomScaleNormal="100" workbookViewId="0">
      <selection activeCell="X39" sqref="X39"/>
    </sheetView>
  </sheetViews>
  <sheetFormatPr defaultColWidth="3.1796875" defaultRowHeight="13.5" x14ac:dyDescent="0.2"/>
  <cols>
    <col min="1" max="3" width="2.453125" style="7" customWidth="1"/>
    <col min="4" max="17" width="3.1796875" style="7"/>
    <col min="18" max="18" width="3.453125" style="7" customWidth="1"/>
    <col min="19" max="16384" width="3.1796875" style="7"/>
  </cols>
  <sheetData>
    <row r="1" spans="1:45" s="2" customFormat="1" ht="6"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5" s="2" customFormat="1" ht="6" customHeight="1" thickBot="1" x14ac:dyDescent="0.4"/>
    <row r="3" spans="1:45" s="2" customFormat="1" ht="22.5" customHeight="1" thickBot="1" x14ac:dyDescent="0.4">
      <c r="A3" s="146" t="str" cm="1">
        <f t="array" aca="1" ref="A3" ca="1">MID(CELL("filename",A1),FIND("]",CELL("filename",A1))+1,10)</f>
        <v>02_手順</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8"/>
    </row>
    <row r="4" spans="1:45" s="2" customFormat="1" ht="12" customHeight="1" x14ac:dyDescent="0.45">
      <c r="A4" s="5"/>
      <c r="AS4" s="6"/>
    </row>
    <row r="5" spans="1:45" s="2" customFormat="1" ht="4" customHeight="1" x14ac:dyDescent="0.35">
      <c r="A5" s="1"/>
      <c r="B5" s="1"/>
      <c r="C5" s="1"/>
      <c r="D5" s="1"/>
      <c r="E5" s="1"/>
      <c r="F5" s="1"/>
      <c r="G5" s="1"/>
      <c r="H5" s="1"/>
      <c r="I5" s="1"/>
      <c r="J5" s="1"/>
      <c r="K5" s="1"/>
    </row>
    <row r="6" spans="1:45" s="2" customFormat="1" ht="6" customHeight="1" x14ac:dyDescent="0.35"/>
    <row r="7" spans="1:45" s="2" customFormat="1" ht="22.5" customHeight="1" x14ac:dyDescent="0.45">
      <c r="A7" s="3" t="s">
        <v>36</v>
      </c>
      <c r="E7" s="4"/>
    </row>
    <row r="8" spans="1:45" x14ac:dyDescent="0.2">
      <c r="B8" s="7" t="s">
        <v>37</v>
      </c>
    </row>
    <row r="9" spans="1:45" x14ac:dyDescent="0.2">
      <c r="B9" s="7" t="s">
        <v>44</v>
      </c>
    </row>
    <row r="10" spans="1:45" x14ac:dyDescent="0.2">
      <c r="B10" s="104" t="s">
        <v>45</v>
      </c>
      <c r="Y10" s="106"/>
    </row>
    <row r="11" spans="1:45" x14ac:dyDescent="0.2">
      <c r="B11" s="104" t="s">
        <v>40</v>
      </c>
      <c r="E11" s="106" t="s">
        <v>41</v>
      </c>
      <c r="Y11" s="106"/>
    </row>
    <row r="12" spans="1:45" s="2" customFormat="1" ht="12" customHeight="1" x14ac:dyDescent="0.45">
      <c r="A12" s="5"/>
      <c r="AS12" s="6"/>
    </row>
    <row r="13" spans="1:45" s="2" customFormat="1" ht="4" customHeight="1" x14ac:dyDescent="0.35">
      <c r="A13" s="1"/>
      <c r="B13" s="1"/>
      <c r="C13" s="1"/>
      <c r="D13" s="1"/>
      <c r="E13" s="1"/>
      <c r="F13" s="1"/>
      <c r="G13" s="1"/>
      <c r="H13" s="1"/>
      <c r="I13" s="1"/>
      <c r="J13" s="1"/>
      <c r="K13" s="1"/>
    </row>
    <row r="14" spans="1:45" s="2" customFormat="1" ht="6" customHeight="1" x14ac:dyDescent="0.35"/>
    <row r="15" spans="1:45" s="2" customFormat="1" ht="22.5" customHeight="1" x14ac:dyDescent="0.45">
      <c r="A15" s="3" t="s">
        <v>46</v>
      </c>
      <c r="E15" s="4"/>
    </row>
    <row r="17" spans="1:99" x14ac:dyDescent="0.2">
      <c r="B17" s="8" t="s">
        <v>47</v>
      </c>
      <c r="C17" s="10"/>
      <c r="D17" s="9" t="s">
        <v>48</v>
      </c>
      <c r="E17" s="9"/>
      <c r="F17" s="9"/>
      <c r="G17" s="9"/>
      <c r="H17" s="9"/>
      <c r="I17" s="9"/>
      <c r="J17" s="9"/>
      <c r="K17" s="9"/>
      <c r="L17" s="9"/>
      <c r="M17" s="8" t="s">
        <v>49</v>
      </c>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10"/>
    </row>
    <row r="18" spans="1:99" x14ac:dyDescent="0.2">
      <c r="B18" s="141" t="s">
        <v>50</v>
      </c>
      <c r="C18" s="142"/>
      <c r="D18" s="11" t="s">
        <v>51</v>
      </c>
      <c r="E18" s="11"/>
      <c r="F18" s="11"/>
      <c r="G18" s="11"/>
      <c r="H18" s="11"/>
      <c r="I18" s="11"/>
      <c r="J18" s="11"/>
      <c r="K18" s="11"/>
      <c r="L18" s="11"/>
      <c r="M18" s="143" t="s">
        <v>52</v>
      </c>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5"/>
    </row>
    <row r="20" spans="1:99" s="2" customFormat="1" ht="12" customHeight="1" x14ac:dyDescent="0.45">
      <c r="A20" s="5"/>
      <c r="AS20" s="6"/>
    </row>
    <row r="21" spans="1:99" s="2" customFormat="1" ht="4" customHeight="1" x14ac:dyDescent="0.35">
      <c r="A21" s="1"/>
      <c r="B21" s="1"/>
      <c r="C21" s="1"/>
      <c r="D21" s="1"/>
      <c r="E21" s="1"/>
      <c r="F21" s="1"/>
      <c r="G21" s="1"/>
      <c r="H21" s="1"/>
      <c r="I21" s="1"/>
      <c r="J21" s="1"/>
      <c r="K21" s="1"/>
    </row>
    <row r="22" spans="1:99" s="2" customFormat="1" ht="6" customHeight="1" x14ac:dyDescent="0.35"/>
    <row r="23" spans="1:99" s="2" customFormat="1" ht="22.5" customHeight="1" x14ac:dyDescent="0.45">
      <c r="A23" s="3" t="s">
        <v>53</v>
      </c>
      <c r="E23" s="4"/>
    </row>
    <row r="25" spans="1:99" x14ac:dyDescent="0.2">
      <c r="C25" s="101"/>
      <c r="D25" s="101"/>
      <c r="E25" s="101"/>
    </row>
    <row r="26" spans="1:99" s="19" customFormat="1" ht="16" x14ac:dyDescent="0.2">
      <c r="B26" s="19" t="s">
        <v>54</v>
      </c>
    </row>
    <row r="28" spans="1:99" x14ac:dyDescent="0.2">
      <c r="C28" s="20" t="s">
        <v>47</v>
      </c>
      <c r="D28" s="21"/>
      <c r="E28" s="21"/>
      <c r="F28" s="22" t="s">
        <v>48</v>
      </c>
      <c r="G28" s="21"/>
      <c r="H28" s="21"/>
      <c r="I28" s="21"/>
      <c r="J28" s="21"/>
      <c r="K28" s="21"/>
      <c r="L28" s="21"/>
      <c r="M28" s="21"/>
      <c r="N28" s="21"/>
      <c r="O28" s="21"/>
      <c r="P28" s="21"/>
      <c r="Q28" s="21"/>
      <c r="R28" s="23"/>
      <c r="S28" s="21" t="s">
        <v>55</v>
      </c>
      <c r="T28" s="21"/>
      <c r="U28" s="21"/>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5"/>
      <c r="CA28" s="122" t="s">
        <v>56</v>
      </c>
      <c r="CB28" s="122"/>
      <c r="CC28" s="122"/>
      <c r="CD28" s="122"/>
      <c r="CE28" s="122"/>
      <c r="CF28" s="122"/>
      <c r="CG28" s="122"/>
      <c r="CH28" s="122"/>
      <c r="CI28" s="122"/>
      <c r="CJ28" s="122"/>
      <c r="CK28" s="122"/>
      <c r="CL28" s="122"/>
      <c r="CM28" s="122"/>
      <c r="CN28" s="122"/>
      <c r="CO28" s="122"/>
      <c r="CP28" s="122"/>
      <c r="CQ28" s="122"/>
      <c r="CR28" s="122"/>
      <c r="CS28" s="122"/>
      <c r="CT28" s="122"/>
      <c r="CU28" s="123"/>
    </row>
    <row r="29" spans="1:99" x14ac:dyDescent="0.2">
      <c r="C29" s="26">
        <v>1</v>
      </c>
      <c r="D29" s="27"/>
      <c r="E29" s="28"/>
      <c r="F29" s="7" t="s">
        <v>57</v>
      </c>
      <c r="H29" s="94"/>
      <c r="I29" s="94"/>
      <c r="J29" s="94"/>
      <c r="K29" s="94"/>
      <c r="L29" s="94"/>
      <c r="M29" s="94"/>
      <c r="N29" s="94"/>
      <c r="O29" s="94"/>
      <c r="R29" s="30"/>
      <c r="S29" s="29"/>
      <c r="BZ29" s="14"/>
      <c r="CU29" s="30"/>
    </row>
    <row r="30" spans="1:99" x14ac:dyDescent="0.2">
      <c r="C30" s="26"/>
      <c r="D30" s="27"/>
      <c r="E30" s="28"/>
      <c r="H30" s="94"/>
      <c r="I30" s="94"/>
      <c r="J30" s="94"/>
      <c r="K30" s="94"/>
      <c r="L30" s="94"/>
      <c r="M30" s="94"/>
      <c r="N30" s="94"/>
      <c r="O30" s="94"/>
      <c r="R30" s="30"/>
      <c r="S30" s="29"/>
      <c r="BZ30" s="30"/>
      <c r="CU30" s="30"/>
    </row>
    <row r="31" spans="1:99" x14ac:dyDescent="0.2">
      <c r="C31" s="26"/>
      <c r="D31" s="27"/>
      <c r="E31" s="28"/>
      <c r="F31" s="7" t="s">
        <v>58</v>
      </c>
      <c r="H31" s="94"/>
      <c r="I31" s="94"/>
      <c r="J31" s="94"/>
      <c r="K31" s="94"/>
      <c r="L31" s="94"/>
      <c r="M31" s="94"/>
      <c r="N31" s="94"/>
      <c r="O31" s="94"/>
      <c r="R31" s="30"/>
      <c r="S31" s="29"/>
      <c r="BZ31" s="30"/>
      <c r="CU31" s="30"/>
    </row>
    <row r="32" spans="1:99" x14ac:dyDescent="0.2">
      <c r="C32" s="26"/>
      <c r="D32" s="27"/>
      <c r="E32" s="28"/>
      <c r="F32" s="7" t="s">
        <v>59</v>
      </c>
      <c r="H32" s="94"/>
      <c r="I32" s="94"/>
      <c r="J32" s="94"/>
      <c r="K32" s="94"/>
      <c r="L32" s="94"/>
      <c r="M32" s="94"/>
      <c r="N32" s="94"/>
      <c r="O32" s="94"/>
      <c r="R32" s="30"/>
      <c r="S32" s="29"/>
      <c r="BZ32" s="30"/>
      <c r="CU32" s="30"/>
    </row>
    <row r="33" spans="3:99" x14ac:dyDescent="0.2">
      <c r="C33" s="26"/>
      <c r="D33" s="27"/>
      <c r="E33" s="28"/>
      <c r="R33" s="30"/>
      <c r="S33" s="29"/>
      <c r="BZ33" s="30"/>
      <c r="CU33" s="30"/>
    </row>
    <row r="34" spans="3:99" x14ac:dyDescent="0.2">
      <c r="C34" s="26"/>
      <c r="D34" s="27"/>
      <c r="E34" s="28"/>
      <c r="F34" s="106" t="s">
        <v>60</v>
      </c>
      <c r="R34" s="30"/>
      <c r="S34" s="29"/>
      <c r="BZ34" s="30"/>
      <c r="CU34" s="30"/>
    </row>
    <row r="35" spans="3:99" x14ac:dyDescent="0.2">
      <c r="C35" s="26"/>
      <c r="D35" s="27"/>
      <c r="E35" s="28"/>
      <c r="F35" s="106"/>
      <c r="R35" s="30"/>
      <c r="S35" s="29"/>
      <c r="BZ35" s="30"/>
      <c r="CU35" s="30"/>
    </row>
    <row r="36" spans="3:99" x14ac:dyDescent="0.2">
      <c r="C36" s="26"/>
      <c r="D36" s="27"/>
      <c r="E36" s="28"/>
      <c r="F36" s="98" t="s">
        <v>61</v>
      </c>
      <c r="R36" s="30"/>
      <c r="S36" s="29"/>
      <c r="BZ36" s="30"/>
      <c r="CU36" s="30"/>
    </row>
    <row r="37" spans="3:99" x14ac:dyDescent="0.2">
      <c r="C37" s="26"/>
      <c r="D37" s="27"/>
      <c r="E37" s="28"/>
      <c r="F37" s="98" t="s">
        <v>62</v>
      </c>
      <c r="R37" s="30"/>
      <c r="S37" s="29"/>
      <c r="BZ37" s="30"/>
      <c r="CU37" s="30"/>
    </row>
    <row r="38" spans="3:99" x14ac:dyDescent="0.2">
      <c r="C38" s="26"/>
      <c r="D38" s="27"/>
      <c r="E38" s="28"/>
      <c r="R38" s="30"/>
      <c r="S38" s="29"/>
      <c r="BZ38" s="30"/>
      <c r="CU38" s="30"/>
    </row>
    <row r="39" spans="3:99" x14ac:dyDescent="0.2">
      <c r="C39" s="26"/>
      <c r="D39" s="27"/>
      <c r="E39" s="28"/>
      <c r="R39" s="30"/>
      <c r="S39" s="29"/>
      <c r="BZ39" s="30"/>
      <c r="CU39" s="30"/>
    </row>
    <row r="40" spans="3:99" x14ac:dyDescent="0.2">
      <c r="C40" s="26"/>
      <c r="D40" s="27"/>
      <c r="E40" s="28"/>
      <c r="F40" s="98"/>
      <c r="R40" s="30"/>
      <c r="S40" s="29"/>
      <c r="BZ40" s="30"/>
      <c r="CU40" s="30"/>
    </row>
    <row r="41" spans="3:99" x14ac:dyDescent="0.2">
      <c r="C41" s="26"/>
      <c r="D41" s="27"/>
      <c r="E41" s="28"/>
      <c r="F41" s="98"/>
      <c r="R41" s="30"/>
      <c r="S41" s="29"/>
      <c r="BZ41" s="30"/>
      <c r="CU41" s="30"/>
    </row>
    <row r="42" spans="3:99" x14ac:dyDescent="0.2">
      <c r="C42" s="26"/>
      <c r="D42" s="27"/>
      <c r="E42" s="28"/>
      <c r="F42" s="98"/>
      <c r="R42" s="30"/>
      <c r="S42" s="29"/>
      <c r="BZ42" s="30"/>
      <c r="CU42" s="30"/>
    </row>
    <row r="43" spans="3:99" x14ac:dyDescent="0.2">
      <c r="C43" s="26"/>
      <c r="D43" s="27"/>
      <c r="E43" s="28"/>
      <c r="F43" s="98"/>
      <c r="R43" s="30"/>
      <c r="S43" s="29"/>
      <c r="BZ43" s="30"/>
      <c r="CU43" s="30"/>
    </row>
    <row r="44" spans="3:99" x14ac:dyDescent="0.2">
      <c r="C44" s="26"/>
      <c r="D44" s="27"/>
      <c r="E44" s="28"/>
      <c r="F44" s="98"/>
      <c r="R44" s="30"/>
      <c r="S44" s="29"/>
      <c r="BZ44" s="30"/>
      <c r="CU44" s="30"/>
    </row>
    <row r="45" spans="3:99" x14ac:dyDescent="0.2">
      <c r="C45" s="26"/>
      <c r="D45" s="27"/>
      <c r="E45" s="28"/>
      <c r="F45" s="98"/>
      <c r="R45" s="30"/>
      <c r="S45" s="29"/>
      <c r="BZ45" s="30"/>
      <c r="CU45" s="30"/>
    </row>
    <row r="46" spans="3:99" x14ac:dyDescent="0.2">
      <c r="C46" s="26"/>
      <c r="D46" s="27"/>
      <c r="E46" s="28"/>
      <c r="F46" s="98"/>
      <c r="R46" s="30"/>
      <c r="S46" s="29"/>
      <c r="BZ46" s="30"/>
      <c r="CU46" s="30"/>
    </row>
    <row r="47" spans="3:99" x14ac:dyDescent="0.2">
      <c r="C47" s="26"/>
      <c r="D47" s="27"/>
      <c r="E47" s="28"/>
      <c r="F47" s="98"/>
      <c r="R47" s="30"/>
      <c r="S47" s="29"/>
      <c r="BZ47" s="30"/>
      <c r="CU47" s="30"/>
    </row>
    <row r="48" spans="3:99" x14ac:dyDescent="0.2">
      <c r="C48" s="26"/>
      <c r="D48" s="27"/>
      <c r="E48" s="28"/>
      <c r="F48" s="98"/>
      <c r="R48" s="30"/>
      <c r="S48" s="29"/>
      <c r="BZ48" s="30"/>
      <c r="CU48" s="30"/>
    </row>
    <row r="49" spans="3:99" x14ac:dyDescent="0.2">
      <c r="C49" s="26"/>
      <c r="D49" s="27"/>
      <c r="E49" s="28"/>
      <c r="F49" s="98"/>
      <c r="R49" s="30"/>
      <c r="S49" s="29"/>
      <c r="BZ49" s="30"/>
      <c r="CU49" s="30"/>
    </row>
    <row r="50" spans="3:99" x14ac:dyDescent="0.2">
      <c r="C50" s="26"/>
      <c r="D50" s="27"/>
      <c r="E50" s="28"/>
      <c r="F50" s="98"/>
      <c r="R50" s="30"/>
      <c r="S50" s="29"/>
      <c r="BZ50" s="30"/>
      <c r="CU50" s="30"/>
    </row>
    <row r="51" spans="3:99" x14ac:dyDescent="0.2">
      <c r="C51" s="26"/>
      <c r="D51" s="27"/>
      <c r="E51" s="28"/>
      <c r="F51" s="98"/>
      <c r="R51" s="30"/>
      <c r="S51" s="29"/>
      <c r="BZ51" s="30"/>
      <c r="CU51" s="30"/>
    </row>
    <row r="52" spans="3:99" x14ac:dyDescent="0.2">
      <c r="C52" s="26"/>
      <c r="D52" s="27"/>
      <c r="E52" s="28"/>
      <c r="F52" s="98"/>
      <c r="R52" s="30"/>
      <c r="S52" s="29"/>
      <c r="BZ52" s="30"/>
      <c r="CU52" s="30"/>
    </row>
    <row r="53" spans="3:99" x14ac:dyDescent="0.2">
      <c r="C53" s="26"/>
      <c r="D53" s="27"/>
      <c r="E53" s="28"/>
      <c r="F53" s="98"/>
      <c r="R53" s="30"/>
      <c r="S53" s="29"/>
      <c r="BZ53" s="30"/>
      <c r="CU53" s="30"/>
    </row>
    <row r="54" spans="3:99" x14ac:dyDescent="0.2">
      <c r="C54" s="26"/>
      <c r="D54" s="27"/>
      <c r="E54" s="28"/>
      <c r="F54" s="98"/>
      <c r="R54" s="30"/>
      <c r="S54" s="29"/>
      <c r="BZ54" s="30"/>
      <c r="CU54" s="30"/>
    </row>
    <row r="55" spans="3:99" x14ac:dyDescent="0.2">
      <c r="C55" s="26"/>
      <c r="D55" s="27"/>
      <c r="E55" s="28"/>
      <c r="F55" s="98"/>
      <c r="R55" s="30"/>
      <c r="S55" s="29"/>
      <c r="BZ55" s="30"/>
      <c r="CU55" s="30"/>
    </row>
    <row r="56" spans="3:99" x14ac:dyDescent="0.2">
      <c r="C56" s="26"/>
      <c r="D56" s="27"/>
      <c r="E56" s="28"/>
      <c r="F56" s="98"/>
      <c r="R56" s="30"/>
      <c r="S56" s="29"/>
      <c r="BZ56" s="30"/>
      <c r="CU56" s="30"/>
    </row>
    <row r="57" spans="3:99" x14ac:dyDescent="0.2">
      <c r="C57" s="26"/>
      <c r="D57" s="27"/>
      <c r="E57" s="28"/>
      <c r="F57" s="98"/>
      <c r="R57" s="30"/>
      <c r="S57" s="29"/>
      <c r="BZ57" s="30"/>
      <c r="CU57" s="30"/>
    </row>
    <row r="58" spans="3:99" x14ac:dyDescent="0.2">
      <c r="C58" s="26"/>
      <c r="D58" s="27"/>
      <c r="E58" s="28"/>
      <c r="F58" s="98"/>
      <c r="R58" s="30"/>
      <c r="S58" s="29"/>
      <c r="BZ58" s="30"/>
      <c r="CU58" s="30"/>
    </row>
    <row r="59" spans="3:99" x14ac:dyDescent="0.2">
      <c r="C59" s="26"/>
      <c r="D59" s="27"/>
      <c r="E59" s="28"/>
      <c r="F59" s="98"/>
      <c r="R59" s="30"/>
      <c r="S59" s="29"/>
      <c r="BZ59" s="30"/>
      <c r="CU59" s="30"/>
    </row>
    <row r="60" spans="3:99" x14ac:dyDescent="0.2">
      <c r="C60" s="26"/>
      <c r="D60" s="27"/>
      <c r="E60" s="28"/>
      <c r="F60" s="98"/>
      <c r="R60" s="30"/>
      <c r="S60" s="29"/>
      <c r="BZ60" s="30"/>
      <c r="CU60" s="30"/>
    </row>
    <row r="61" spans="3:99" x14ac:dyDescent="0.2">
      <c r="C61" s="26"/>
      <c r="D61" s="27"/>
      <c r="E61" s="28"/>
      <c r="F61" s="98"/>
      <c r="R61" s="30"/>
      <c r="S61" s="29"/>
      <c r="BZ61" s="30"/>
      <c r="CU61" s="30"/>
    </row>
    <row r="62" spans="3:99" x14ac:dyDescent="0.2">
      <c r="C62" s="26"/>
      <c r="D62" s="27"/>
      <c r="E62" s="28"/>
      <c r="F62" s="98"/>
      <c r="R62" s="30"/>
      <c r="S62" s="29"/>
      <c r="BZ62" s="30"/>
      <c r="CU62" s="30"/>
    </row>
    <row r="63" spans="3:99" x14ac:dyDescent="0.2">
      <c r="C63" s="31"/>
      <c r="D63" s="32"/>
      <c r="E63" s="33"/>
      <c r="F63" s="18"/>
      <c r="G63" s="18"/>
      <c r="H63" s="18"/>
      <c r="I63" s="18"/>
      <c r="J63" s="18"/>
      <c r="K63" s="18"/>
      <c r="L63" s="18"/>
      <c r="M63" s="18"/>
      <c r="N63" s="18"/>
      <c r="O63" s="18"/>
      <c r="P63" s="18"/>
      <c r="Q63" s="18"/>
      <c r="R63" s="17"/>
      <c r="S63" s="16"/>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7"/>
      <c r="CA63" s="16"/>
      <c r="CB63" s="18"/>
      <c r="CC63" s="18"/>
      <c r="CD63" s="18"/>
      <c r="CE63" s="18"/>
      <c r="CF63" s="18"/>
      <c r="CG63" s="18"/>
      <c r="CH63" s="18"/>
      <c r="CI63" s="18"/>
      <c r="CJ63" s="18"/>
      <c r="CK63" s="18"/>
      <c r="CL63" s="18"/>
      <c r="CM63" s="18"/>
      <c r="CN63" s="18"/>
      <c r="CO63" s="18"/>
      <c r="CP63" s="18"/>
      <c r="CQ63" s="18"/>
      <c r="CR63" s="18"/>
      <c r="CS63" s="18"/>
      <c r="CT63" s="18"/>
      <c r="CU63" s="17"/>
    </row>
    <row r="64" spans="3:99" x14ac:dyDescent="0.2">
      <c r="C64" s="26">
        <v>2</v>
      </c>
      <c r="D64" s="27"/>
      <c r="E64" s="28"/>
      <c r="F64" s="98" t="s">
        <v>63</v>
      </c>
      <c r="G64" s="94"/>
      <c r="H64" s="94"/>
      <c r="I64" s="94"/>
      <c r="J64" s="94"/>
      <c r="K64" s="94"/>
      <c r="L64" s="94"/>
      <c r="M64" s="94"/>
      <c r="N64" s="94"/>
      <c r="O64" s="94"/>
      <c r="R64" s="30"/>
      <c r="S64" s="29"/>
      <c r="BZ64" s="14"/>
      <c r="CU64" s="30"/>
    </row>
    <row r="65" spans="3:99" x14ac:dyDescent="0.2">
      <c r="C65" s="26"/>
      <c r="D65" s="27"/>
      <c r="E65" s="28"/>
      <c r="F65" s="102" t="s">
        <v>64</v>
      </c>
      <c r="G65" s="94"/>
      <c r="H65" s="94"/>
      <c r="I65" s="94"/>
      <c r="J65" s="94"/>
      <c r="K65" s="94"/>
      <c r="L65" s="94"/>
      <c r="M65" s="94"/>
      <c r="N65" s="94"/>
      <c r="O65" s="94"/>
      <c r="R65" s="30"/>
      <c r="S65" s="29"/>
      <c r="BZ65" s="30"/>
      <c r="CU65" s="30"/>
    </row>
    <row r="66" spans="3:99" x14ac:dyDescent="0.2">
      <c r="C66" s="26"/>
      <c r="D66" s="27"/>
      <c r="E66" s="28"/>
      <c r="F66" s="93"/>
      <c r="G66" s="94"/>
      <c r="H66" s="94"/>
      <c r="I66" s="94"/>
      <c r="J66" s="94"/>
      <c r="K66" s="94"/>
      <c r="L66" s="94"/>
      <c r="M66" s="94"/>
      <c r="N66" s="94"/>
      <c r="O66" s="94"/>
      <c r="R66" s="30"/>
      <c r="S66" s="29"/>
      <c r="BZ66" s="30"/>
      <c r="CU66" s="30"/>
    </row>
    <row r="67" spans="3:99" x14ac:dyDescent="0.2">
      <c r="C67" s="26"/>
      <c r="D67" s="27"/>
      <c r="E67" s="28"/>
      <c r="F67" s="98"/>
      <c r="G67" s="97"/>
      <c r="H67" s="94"/>
      <c r="I67" s="94"/>
      <c r="J67" s="94"/>
      <c r="K67" s="94"/>
      <c r="L67" s="94"/>
      <c r="M67" s="94"/>
      <c r="N67" s="94"/>
      <c r="O67" s="94"/>
      <c r="R67" s="30"/>
      <c r="S67" s="29"/>
      <c r="BZ67" s="30"/>
      <c r="CU67" s="30"/>
    </row>
    <row r="68" spans="3:99" x14ac:dyDescent="0.2">
      <c r="C68" s="26"/>
      <c r="D68" s="27"/>
      <c r="E68" s="28"/>
      <c r="F68" s="98"/>
      <c r="R68" s="30"/>
      <c r="S68" s="29"/>
      <c r="BZ68" s="30"/>
      <c r="CU68" s="30"/>
    </row>
    <row r="69" spans="3:99" x14ac:dyDescent="0.2">
      <c r="C69" s="26"/>
      <c r="D69" s="27"/>
      <c r="E69" s="28"/>
      <c r="F69" s="98"/>
      <c r="R69" s="30"/>
      <c r="S69" s="29"/>
      <c r="BZ69" s="30"/>
      <c r="CU69" s="30"/>
    </row>
    <row r="70" spans="3:99" x14ac:dyDescent="0.2">
      <c r="C70" s="26"/>
      <c r="D70" s="27"/>
      <c r="E70" s="28"/>
      <c r="F70" s="98"/>
      <c r="R70" s="30"/>
      <c r="S70" s="29"/>
      <c r="BZ70" s="30"/>
      <c r="CU70" s="30"/>
    </row>
    <row r="71" spans="3:99" x14ac:dyDescent="0.2">
      <c r="C71" s="26"/>
      <c r="D71" s="27"/>
      <c r="E71" s="28"/>
      <c r="F71" s="98"/>
      <c r="R71" s="30"/>
      <c r="S71" s="29"/>
      <c r="BZ71" s="30"/>
      <c r="CU71" s="30"/>
    </row>
    <row r="72" spans="3:99" x14ac:dyDescent="0.2">
      <c r="C72" s="26"/>
      <c r="D72" s="27"/>
      <c r="E72" s="28"/>
      <c r="F72" s="98"/>
      <c r="R72" s="30"/>
      <c r="S72" s="29"/>
      <c r="BZ72" s="30"/>
      <c r="CU72" s="30"/>
    </row>
    <row r="73" spans="3:99" x14ac:dyDescent="0.2">
      <c r="C73" s="26"/>
      <c r="D73" s="27"/>
      <c r="E73" s="28"/>
      <c r="F73" s="98"/>
      <c r="R73" s="30"/>
      <c r="S73" s="29"/>
      <c r="BZ73" s="30"/>
      <c r="CU73" s="30"/>
    </row>
    <row r="74" spans="3:99" x14ac:dyDescent="0.2">
      <c r="C74" s="26"/>
      <c r="D74" s="27"/>
      <c r="E74" s="28"/>
      <c r="F74" s="98"/>
      <c r="R74" s="30"/>
      <c r="S74" s="29"/>
      <c r="BZ74" s="30"/>
      <c r="CU74" s="30"/>
    </row>
    <row r="75" spans="3:99" x14ac:dyDescent="0.2">
      <c r="C75" s="26"/>
      <c r="D75" s="27"/>
      <c r="E75" s="28"/>
      <c r="F75" s="98"/>
      <c r="R75" s="30"/>
      <c r="S75" s="29"/>
      <c r="BZ75" s="30"/>
      <c r="CU75" s="30"/>
    </row>
    <row r="76" spans="3:99" x14ac:dyDescent="0.2">
      <c r="C76" s="26"/>
      <c r="D76" s="27"/>
      <c r="E76" s="28"/>
      <c r="F76" s="98"/>
      <c r="R76" s="30"/>
      <c r="S76" s="29"/>
      <c r="BZ76" s="30"/>
      <c r="CU76" s="30"/>
    </row>
    <row r="77" spans="3:99" x14ac:dyDescent="0.2">
      <c r="C77" s="26"/>
      <c r="D77" s="27"/>
      <c r="E77" s="28"/>
      <c r="F77" s="98"/>
      <c r="R77" s="30"/>
      <c r="S77" s="29"/>
      <c r="BZ77" s="30"/>
      <c r="CU77" s="30"/>
    </row>
    <row r="78" spans="3:99" x14ac:dyDescent="0.2">
      <c r="C78" s="26"/>
      <c r="D78" s="27"/>
      <c r="E78" s="28"/>
      <c r="F78" s="98"/>
      <c r="R78" s="30"/>
      <c r="S78" s="29"/>
      <c r="BZ78" s="30"/>
      <c r="CU78" s="30"/>
    </row>
    <row r="79" spans="3:99" x14ac:dyDescent="0.2">
      <c r="C79" s="26"/>
      <c r="D79" s="27"/>
      <c r="E79" s="28"/>
      <c r="F79" s="98"/>
      <c r="R79" s="30"/>
      <c r="S79" s="29"/>
      <c r="BZ79" s="30"/>
      <c r="CU79" s="30"/>
    </row>
    <row r="80" spans="3:99" x14ac:dyDescent="0.2">
      <c r="C80" s="26"/>
      <c r="D80" s="27"/>
      <c r="E80" s="28"/>
      <c r="F80" s="98"/>
      <c r="R80" s="30"/>
      <c r="S80" s="29"/>
      <c r="BZ80" s="30"/>
      <c r="CU80" s="30"/>
    </row>
    <row r="81" spans="3:99" x14ac:dyDescent="0.2">
      <c r="C81" s="26"/>
      <c r="D81" s="27"/>
      <c r="E81" s="28"/>
      <c r="F81" s="98"/>
      <c r="R81" s="30"/>
      <c r="S81" s="29"/>
      <c r="BZ81" s="30"/>
      <c r="CU81" s="30"/>
    </row>
    <row r="82" spans="3:99" x14ac:dyDescent="0.2">
      <c r="C82" s="26"/>
      <c r="D82" s="27"/>
      <c r="E82" s="28"/>
      <c r="F82" s="98"/>
      <c r="R82" s="30"/>
      <c r="S82" s="29"/>
      <c r="BZ82" s="30"/>
      <c r="CU82" s="30"/>
    </row>
    <row r="83" spans="3:99" x14ac:dyDescent="0.2">
      <c r="C83" s="26"/>
      <c r="D83" s="27"/>
      <c r="E83" s="28"/>
      <c r="F83" s="98"/>
      <c r="R83" s="30"/>
      <c r="S83" s="29"/>
      <c r="BZ83" s="30"/>
      <c r="CU83" s="30"/>
    </row>
    <row r="84" spans="3:99" x14ac:dyDescent="0.2">
      <c r="C84" s="26"/>
      <c r="D84" s="27"/>
      <c r="E84" s="28"/>
      <c r="F84" s="98"/>
      <c r="R84" s="30"/>
      <c r="S84" s="29"/>
      <c r="BZ84" s="30"/>
      <c r="CU84" s="30"/>
    </row>
    <row r="85" spans="3:99" x14ac:dyDescent="0.2">
      <c r="C85" s="26"/>
      <c r="D85" s="27"/>
      <c r="E85" s="28"/>
      <c r="F85" s="98"/>
      <c r="R85" s="30"/>
      <c r="S85" s="29"/>
      <c r="BZ85" s="30"/>
      <c r="CU85" s="30"/>
    </row>
    <row r="86" spans="3:99" x14ac:dyDescent="0.2">
      <c r="C86" s="26"/>
      <c r="D86" s="27"/>
      <c r="E86" s="28"/>
      <c r="F86" s="98"/>
      <c r="R86" s="30"/>
      <c r="S86" s="29"/>
      <c r="BZ86" s="30"/>
      <c r="CU86" s="30"/>
    </row>
    <row r="87" spans="3:99" x14ac:dyDescent="0.2">
      <c r="C87" s="26"/>
      <c r="D87" s="27"/>
      <c r="E87" s="28"/>
      <c r="F87" s="98"/>
      <c r="R87" s="30"/>
      <c r="S87" s="29"/>
      <c r="BZ87" s="30"/>
      <c r="CU87" s="30"/>
    </row>
    <row r="88" spans="3:99" x14ac:dyDescent="0.2">
      <c r="C88" s="26"/>
      <c r="D88" s="27"/>
      <c r="E88" s="28"/>
      <c r="F88" s="98"/>
      <c r="R88" s="30"/>
      <c r="S88" s="29"/>
      <c r="BZ88" s="30"/>
      <c r="CU88" s="30"/>
    </row>
    <row r="89" spans="3:99" x14ac:dyDescent="0.2">
      <c r="C89" s="26"/>
      <c r="D89" s="27"/>
      <c r="E89" s="28"/>
      <c r="F89" s="98"/>
      <c r="R89" s="30"/>
      <c r="S89" s="29"/>
      <c r="BZ89" s="30"/>
      <c r="CU89" s="30"/>
    </row>
    <row r="90" spans="3:99" x14ac:dyDescent="0.2">
      <c r="C90" s="26"/>
      <c r="D90" s="27"/>
      <c r="E90" s="28"/>
      <c r="F90" s="98"/>
      <c r="R90" s="30"/>
      <c r="S90" s="29"/>
      <c r="BZ90" s="30"/>
      <c r="CU90" s="30"/>
    </row>
    <row r="91" spans="3:99" x14ac:dyDescent="0.2">
      <c r="C91" s="26"/>
      <c r="D91" s="27"/>
      <c r="E91" s="28"/>
      <c r="F91" s="98"/>
      <c r="R91" s="30"/>
      <c r="S91" s="29"/>
      <c r="BZ91" s="30"/>
      <c r="CU91" s="30"/>
    </row>
    <row r="92" spans="3:99" x14ac:dyDescent="0.2">
      <c r="C92" s="26"/>
      <c r="D92" s="27"/>
      <c r="E92" s="28"/>
      <c r="F92" s="98"/>
      <c r="R92" s="30"/>
      <c r="S92" s="29"/>
      <c r="BZ92" s="30"/>
      <c r="CU92" s="30"/>
    </row>
    <row r="93" spans="3:99" x14ac:dyDescent="0.2">
      <c r="C93" s="26"/>
      <c r="D93" s="27"/>
      <c r="E93" s="28"/>
      <c r="F93" s="98"/>
      <c r="R93" s="30"/>
      <c r="S93" s="29"/>
      <c r="BZ93" s="30"/>
      <c r="CU93" s="30"/>
    </row>
    <row r="94" spans="3:99" x14ac:dyDescent="0.2">
      <c r="C94" s="26"/>
      <c r="D94" s="27"/>
      <c r="E94" s="28"/>
      <c r="F94" s="98"/>
      <c r="R94" s="30"/>
      <c r="S94" s="29"/>
      <c r="BZ94" s="30"/>
      <c r="CU94" s="30"/>
    </row>
    <row r="95" spans="3:99" x14ac:dyDescent="0.2">
      <c r="C95" s="26"/>
      <c r="D95" s="27"/>
      <c r="E95" s="28"/>
      <c r="F95" s="98"/>
      <c r="R95" s="30"/>
      <c r="S95" s="29"/>
      <c r="BZ95" s="30"/>
      <c r="CU95" s="30"/>
    </row>
    <row r="96" spans="3:99" x14ac:dyDescent="0.2">
      <c r="C96" s="26"/>
      <c r="D96" s="27"/>
      <c r="E96" s="28"/>
      <c r="F96" s="98"/>
      <c r="R96" s="30"/>
      <c r="S96" s="29"/>
      <c r="BZ96" s="30"/>
      <c r="CU96" s="30"/>
    </row>
    <row r="97" spans="3:99" x14ac:dyDescent="0.2">
      <c r="C97" s="26"/>
      <c r="D97" s="27"/>
      <c r="E97" s="28"/>
      <c r="F97" s="98"/>
      <c r="R97" s="30"/>
      <c r="S97" s="29"/>
      <c r="BZ97" s="30"/>
      <c r="CU97" s="30"/>
    </row>
    <row r="98" spans="3:99" x14ac:dyDescent="0.2">
      <c r="C98" s="31"/>
      <c r="D98" s="32"/>
      <c r="E98" s="33"/>
      <c r="F98" s="18"/>
      <c r="G98" s="18"/>
      <c r="H98" s="18"/>
      <c r="I98" s="18"/>
      <c r="J98" s="18"/>
      <c r="K98" s="18"/>
      <c r="L98" s="18"/>
      <c r="M98" s="18"/>
      <c r="N98" s="18"/>
      <c r="O98" s="18"/>
      <c r="P98" s="18"/>
      <c r="Q98" s="18"/>
      <c r="R98" s="17"/>
      <c r="S98" s="16"/>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7"/>
      <c r="CA98" s="16"/>
      <c r="CB98" s="18"/>
      <c r="CC98" s="18"/>
      <c r="CD98" s="18"/>
      <c r="CE98" s="18"/>
      <c r="CF98" s="18"/>
      <c r="CG98" s="18"/>
      <c r="CH98" s="18"/>
      <c r="CI98" s="18"/>
      <c r="CJ98" s="18"/>
      <c r="CK98" s="18"/>
      <c r="CL98" s="18"/>
      <c r="CM98" s="18"/>
      <c r="CN98" s="18"/>
      <c r="CO98" s="18"/>
      <c r="CP98" s="18"/>
      <c r="CQ98" s="18"/>
      <c r="CR98" s="18"/>
      <c r="CS98" s="18"/>
      <c r="CT98" s="18"/>
      <c r="CU98" s="17"/>
    </row>
    <row r="99" spans="3:99" x14ac:dyDescent="0.2">
      <c r="C99" s="26">
        <v>3</v>
      </c>
      <c r="D99" s="27"/>
      <c r="E99" s="28"/>
      <c r="F99" s="7" t="s">
        <v>65</v>
      </c>
      <c r="R99" s="30"/>
      <c r="S99" s="29"/>
      <c r="BZ99" s="30"/>
      <c r="CU99" s="30"/>
    </row>
    <row r="100" spans="3:99" x14ac:dyDescent="0.2">
      <c r="C100" s="26"/>
      <c r="D100" s="27"/>
      <c r="E100" s="28"/>
      <c r="F100" s="29"/>
      <c r="G100" s="95" t="s">
        <v>66</v>
      </c>
      <c r="R100" s="30"/>
      <c r="S100" s="29"/>
      <c r="BZ100" s="30"/>
      <c r="CU100" s="30"/>
    </row>
    <row r="101" spans="3:99" x14ac:dyDescent="0.2">
      <c r="C101" s="26"/>
      <c r="D101" s="27"/>
      <c r="E101" s="28"/>
      <c r="F101" s="29"/>
      <c r="H101" s="94"/>
      <c r="R101" s="30"/>
      <c r="S101" s="29"/>
      <c r="BZ101" s="30"/>
      <c r="CU101" s="30"/>
    </row>
    <row r="102" spans="3:99" x14ac:dyDescent="0.2">
      <c r="C102" s="26"/>
      <c r="D102" s="27"/>
      <c r="E102" s="28"/>
      <c r="F102" s="29"/>
      <c r="R102" s="30"/>
      <c r="S102" s="29"/>
      <c r="BZ102" s="30"/>
      <c r="CU102" s="30"/>
    </row>
    <row r="103" spans="3:99" x14ac:dyDescent="0.2">
      <c r="C103" s="26"/>
      <c r="D103" s="27"/>
      <c r="E103" s="28"/>
      <c r="F103" s="29"/>
      <c r="R103" s="30"/>
      <c r="S103" s="29"/>
      <c r="BZ103" s="30"/>
      <c r="CU103" s="30"/>
    </row>
    <row r="104" spans="3:99" x14ac:dyDescent="0.2">
      <c r="C104" s="26"/>
      <c r="D104" s="27"/>
      <c r="E104" s="28"/>
      <c r="F104" s="29"/>
      <c r="R104" s="30"/>
      <c r="S104" s="29"/>
      <c r="BZ104" s="30"/>
      <c r="CU104" s="30"/>
    </row>
    <row r="105" spans="3:99" x14ac:dyDescent="0.2">
      <c r="C105" s="26"/>
      <c r="D105" s="27"/>
      <c r="E105" s="28"/>
      <c r="F105" s="29"/>
      <c r="R105" s="30"/>
      <c r="S105" s="29"/>
      <c r="BZ105" s="30"/>
      <c r="CU105" s="30"/>
    </row>
    <row r="106" spans="3:99" x14ac:dyDescent="0.2">
      <c r="C106" s="26"/>
      <c r="D106" s="27"/>
      <c r="E106" s="28"/>
      <c r="F106" s="29"/>
      <c r="R106" s="30"/>
      <c r="S106" s="29"/>
      <c r="BZ106" s="30"/>
      <c r="CU106" s="30"/>
    </row>
    <row r="107" spans="3:99" x14ac:dyDescent="0.2">
      <c r="C107" s="26"/>
      <c r="D107" s="27"/>
      <c r="E107" s="28"/>
      <c r="F107" s="29"/>
      <c r="R107" s="30"/>
      <c r="S107" s="29"/>
      <c r="BZ107" s="30"/>
      <c r="CU107" s="30"/>
    </row>
    <row r="108" spans="3:99" x14ac:dyDescent="0.2">
      <c r="C108" s="26"/>
      <c r="D108" s="27"/>
      <c r="E108" s="28"/>
      <c r="F108" s="29"/>
      <c r="R108" s="30"/>
      <c r="S108" s="29"/>
      <c r="BZ108" s="30"/>
      <c r="CU108" s="30"/>
    </row>
    <row r="109" spans="3:99" x14ac:dyDescent="0.2">
      <c r="C109" s="26"/>
      <c r="D109" s="27"/>
      <c r="E109" s="28"/>
      <c r="F109" s="29"/>
      <c r="R109" s="30"/>
      <c r="S109" s="29"/>
      <c r="BZ109" s="30"/>
      <c r="CU109" s="30"/>
    </row>
    <row r="110" spans="3:99" x14ac:dyDescent="0.2">
      <c r="C110" s="26"/>
      <c r="D110" s="27"/>
      <c r="E110" s="28"/>
      <c r="F110" s="29"/>
      <c r="R110" s="30"/>
      <c r="S110" s="29"/>
      <c r="BZ110" s="30"/>
      <c r="CU110" s="30"/>
    </row>
    <row r="111" spans="3:99" x14ac:dyDescent="0.2">
      <c r="C111" s="26"/>
      <c r="D111" s="27"/>
      <c r="E111" s="28"/>
      <c r="F111" s="29"/>
      <c r="R111" s="30"/>
      <c r="S111" s="29"/>
      <c r="BZ111" s="30"/>
      <c r="CU111" s="30"/>
    </row>
    <row r="112" spans="3:99" x14ac:dyDescent="0.2">
      <c r="C112" s="26"/>
      <c r="D112" s="27"/>
      <c r="E112" s="28"/>
      <c r="F112" s="29"/>
      <c r="R112" s="30"/>
      <c r="S112" s="29"/>
      <c r="BZ112" s="30"/>
      <c r="CU112" s="30"/>
    </row>
    <row r="113" spans="3:99" x14ac:dyDescent="0.2">
      <c r="C113" s="26"/>
      <c r="D113" s="27"/>
      <c r="E113" s="28"/>
      <c r="F113" s="29"/>
      <c r="R113" s="30"/>
      <c r="S113" s="29"/>
      <c r="BZ113" s="30"/>
      <c r="CU113" s="30"/>
    </row>
    <row r="114" spans="3:99" x14ac:dyDescent="0.2">
      <c r="C114" s="26"/>
      <c r="D114" s="27"/>
      <c r="E114" s="28"/>
      <c r="F114" s="29"/>
      <c r="R114" s="30"/>
      <c r="S114" s="29"/>
      <c r="BZ114" s="30"/>
      <c r="CU114" s="30"/>
    </row>
    <row r="115" spans="3:99" x14ac:dyDescent="0.2">
      <c r="C115" s="26"/>
      <c r="D115" s="27"/>
      <c r="E115" s="28"/>
      <c r="F115" s="29"/>
      <c r="R115" s="30"/>
      <c r="S115" s="29"/>
      <c r="BZ115" s="30"/>
      <c r="CU115" s="30"/>
    </row>
    <row r="116" spans="3:99" x14ac:dyDescent="0.2">
      <c r="C116" s="26"/>
      <c r="D116" s="27"/>
      <c r="E116" s="28"/>
      <c r="F116" s="29"/>
      <c r="R116" s="30"/>
      <c r="S116" s="29"/>
      <c r="BZ116" s="30"/>
      <c r="CU116" s="30"/>
    </row>
    <row r="117" spans="3:99" x14ac:dyDescent="0.2">
      <c r="C117" s="26"/>
      <c r="D117" s="27"/>
      <c r="E117" s="28"/>
      <c r="F117" s="29"/>
      <c r="R117" s="30"/>
      <c r="S117" s="29"/>
      <c r="BZ117" s="30"/>
      <c r="CU117" s="30"/>
    </row>
    <row r="118" spans="3:99" x14ac:dyDescent="0.2">
      <c r="C118" s="26"/>
      <c r="D118" s="27"/>
      <c r="E118" s="28"/>
      <c r="F118" s="29"/>
      <c r="R118" s="30"/>
      <c r="S118" s="29"/>
      <c r="BZ118" s="30"/>
      <c r="CU118" s="30"/>
    </row>
    <row r="119" spans="3:99" x14ac:dyDescent="0.2">
      <c r="C119" s="26"/>
      <c r="D119" s="27"/>
      <c r="E119" s="28"/>
      <c r="F119" s="29"/>
      <c r="R119" s="30"/>
      <c r="S119" s="29"/>
      <c r="BZ119" s="30"/>
      <c r="CU119" s="30"/>
    </row>
    <row r="120" spans="3:99" x14ac:dyDescent="0.2">
      <c r="C120" s="26"/>
      <c r="D120" s="27"/>
      <c r="E120" s="28"/>
      <c r="F120" s="29"/>
      <c r="R120" s="30"/>
      <c r="S120" s="29"/>
      <c r="BZ120" s="30"/>
      <c r="CU120" s="30"/>
    </row>
    <row r="121" spans="3:99" x14ac:dyDescent="0.2">
      <c r="C121" s="26"/>
      <c r="D121" s="27"/>
      <c r="E121" s="28"/>
      <c r="F121" s="29"/>
      <c r="R121" s="30"/>
      <c r="S121" s="29"/>
      <c r="BZ121" s="30"/>
      <c r="CU121" s="30"/>
    </row>
    <row r="122" spans="3:99" x14ac:dyDescent="0.2">
      <c r="C122" s="26"/>
      <c r="D122" s="27"/>
      <c r="E122" s="28"/>
      <c r="F122" s="29"/>
      <c r="R122" s="30"/>
      <c r="S122" s="29"/>
      <c r="BZ122" s="30"/>
      <c r="CU122" s="30"/>
    </row>
    <row r="123" spans="3:99" x14ac:dyDescent="0.2">
      <c r="C123" s="26"/>
      <c r="D123" s="27"/>
      <c r="E123" s="28"/>
      <c r="F123" s="29"/>
      <c r="R123" s="30"/>
      <c r="S123" s="29"/>
      <c r="BZ123" s="30"/>
      <c r="CU123" s="30"/>
    </row>
    <row r="124" spans="3:99" x14ac:dyDescent="0.2">
      <c r="C124" s="26"/>
      <c r="D124" s="27"/>
      <c r="E124" s="28"/>
      <c r="F124" s="29"/>
      <c r="R124" s="30"/>
      <c r="S124" s="29"/>
      <c r="BZ124" s="30"/>
      <c r="CU124" s="30"/>
    </row>
    <row r="125" spans="3:99" x14ac:dyDescent="0.2">
      <c r="C125" s="26"/>
      <c r="D125" s="27"/>
      <c r="E125" s="28"/>
      <c r="F125" s="29"/>
      <c r="R125" s="30"/>
      <c r="S125" s="29"/>
      <c r="BZ125" s="30"/>
      <c r="CU125" s="30"/>
    </row>
    <row r="126" spans="3:99" x14ac:dyDescent="0.2">
      <c r="C126" s="26"/>
      <c r="D126" s="27"/>
      <c r="E126" s="28"/>
      <c r="F126" s="29"/>
      <c r="R126" s="30"/>
      <c r="S126" s="29"/>
      <c r="BZ126" s="30"/>
      <c r="CU126" s="30"/>
    </row>
    <row r="127" spans="3:99" x14ac:dyDescent="0.2">
      <c r="C127" s="26"/>
      <c r="D127" s="27"/>
      <c r="E127" s="28"/>
      <c r="F127" s="29"/>
      <c r="R127" s="30"/>
      <c r="S127" s="29"/>
      <c r="BZ127" s="30"/>
      <c r="CU127" s="30"/>
    </row>
    <row r="128" spans="3:99" x14ac:dyDescent="0.2">
      <c r="C128" s="26"/>
      <c r="D128" s="27"/>
      <c r="E128" s="28"/>
      <c r="F128" s="29"/>
      <c r="R128" s="30"/>
      <c r="S128" s="29"/>
      <c r="BZ128" s="30"/>
      <c r="CU128" s="30"/>
    </row>
    <row r="129" spans="3:99" x14ac:dyDescent="0.2">
      <c r="C129" s="31"/>
      <c r="D129" s="32"/>
      <c r="E129" s="33"/>
      <c r="F129" s="16"/>
      <c r="G129" s="18"/>
      <c r="H129" s="18"/>
      <c r="I129" s="18"/>
      <c r="J129" s="18"/>
      <c r="K129" s="18"/>
      <c r="L129" s="18"/>
      <c r="M129" s="18"/>
      <c r="N129" s="18"/>
      <c r="O129" s="18"/>
      <c r="P129" s="18"/>
      <c r="Q129" s="18"/>
      <c r="R129" s="17"/>
      <c r="S129" s="16"/>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7"/>
      <c r="CA129" s="16"/>
      <c r="CB129" s="18"/>
      <c r="CC129" s="18"/>
      <c r="CD129" s="18"/>
      <c r="CE129" s="18"/>
      <c r="CF129" s="18"/>
      <c r="CG129" s="18"/>
      <c r="CH129" s="18"/>
      <c r="CI129" s="18"/>
      <c r="CJ129" s="18"/>
      <c r="CK129" s="18"/>
      <c r="CL129" s="18"/>
      <c r="CM129" s="18"/>
      <c r="CN129" s="18"/>
      <c r="CO129" s="18"/>
      <c r="CP129" s="18"/>
      <c r="CQ129" s="18"/>
      <c r="CR129" s="18"/>
      <c r="CS129" s="18"/>
      <c r="CT129" s="18"/>
      <c r="CU129" s="17"/>
    </row>
    <row r="130" spans="3:99" x14ac:dyDescent="0.2">
      <c r="C130" s="26">
        <v>4</v>
      </c>
      <c r="D130" s="27"/>
      <c r="E130" s="28"/>
      <c r="F130" s="29" t="s">
        <v>67</v>
      </c>
      <c r="R130" s="30"/>
      <c r="S130" s="29"/>
      <c r="BZ130" s="30"/>
      <c r="CU130" s="30"/>
    </row>
    <row r="131" spans="3:99" x14ac:dyDescent="0.2">
      <c r="C131" s="26"/>
      <c r="D131" s="27"/>
      <c r="E131" s="28"/>
      <c r="F131" s="29" t="s">
        <v>68</v>
      </c>
      <c r="R131" s="30"/>
      <c r="S131" s="29"/>
      <c r="T131" s="7" t="s">
        <v>69</v>
      </c>
      <c r="BZ131" s="30"/>
      <c r="CU131" s="30"/>
    </row>
    <row r="132" spans="3:99" x14ac:dyDescent="0.2">
      <c r="C132" s="26"/>
      <c r="D132" s="27"/>
      <c r="E132" s="28"/>
      <c r="F132" s="29" t="s">
        <v>70</v>
      </c>
      <c r="R132" s="30"/>
      <c r="S132" s="29"/>
      <c r="BZ132" s="30"/>
      <c r="CU132" s="30"/>
    </row>
    <row r="133" spans="3:99" x14ac:dyDescent="0.2">
      <c r="C133" s="26"/>
      <c r="D133" s="27"/>
      <c r="E133" s="28"/>
      <c r="F133" s="29" t="s">
        <v>71</v>
      </c>
      <c r="R133" s="30"/>
      <c r="S133" s="29"/>
      <c r="BZ133" s="30"/>
      <c r="CU133" s="30"/>
    </row>
    <row r="134" spans="3:99" x14ac:dyDescent="0.2">
      <c r="C134" s="26"/>
      <c r="D134" s="27"/>
      <c r="E134" s="28"/>
      <c r="F134" s="29" t="s">
        <v>72</v>
      </c>
      <c r="R134" s="30"/>
      <c r="S134" s="29"/>
      <c r="BZ134" s="30"/>
      <c r="CU134" s="30"/>
    </row>
    <row r="135" spans="3:99" x14ac:dyDescent="0.2">
      <c r="C135" s="26"/>
      <c r="D135" s="27"/>
      <c r="E135" s="28"/>
      <c r="F135" s="29"/>
      <c r="R135" s="30"/>
      <c r="S135" s="29"/>
      <c r="BZ135" s="30"/>
      <c r="CU135" s="30"/>
    </row>
    <row r="136" spans="3:99" x14ac:dyDescent="0.2">
      <c r="C136" s="26"/>
      <c r="D136" s="27"/>
      <c r="E136" s="28"/>
      <c r="F136" s="29"/>
      <c r="R136" s="30"/>
      <c r="S136" s="29"/>
      <c r="BZ136" s="30"/>
      <c r="CU136" s="30"/>
    </row>
    <row r="137" spans="3:99" x14ac:dyDescent="0.2">
      <c r="C137" s="26"/>
      <c r="D137" s="27"/>
      <c r="E137" s="28"/>
      <c r="F137" s="29"/>
      <c r="R137" s="30"/>
      <c r="S137" s="29"/>
      <c r="BZ137" s="30"/>
      <c r="CU137" s="30"/>
    </row>
    <row r="138" spans="3:99" x14ac:dyDescent="0.2">
      <c r="C138" s="26"/>
      <c r="D138" s="27"/>
      <c r="E138" s="28"/>
      <c r="F138" s="29"/>
      <c r="R138" s="30"/>
      <c r="S138" s="29"/>
      <c r="BZ138" s="30"/>
      <c r="CU138" s="30"/>
    </row>
    <row r="139" spans="3:99" x14ac:dyDescent="0.2">
      <c r="C139" s="26"/>
      <c r="D139" s="27"/>
      <c r="E139" s="28"/>
      <c r="F139" s="29"/>
      <c r="R139" s="30"/>
      <c r="S139" s="29"/>
      <c r="BZ139" s="30"/>
      <c r="CU139" s="30"/>
    </row>
    <row r="140" spans="3:99" x14ac:dyDescent="0.2">
      <c r="C140" s="26"/>
      <c r="D140" s="27"/>
      <c r="E140" s="28"/>
      <c r="F140" s="29"/>
      <c r="R140" s="30"/>
      <c r="S140" s="29"/>
      <c r="BZ140" s="30"/>
      <c r="CU140" s="30"/>
    </row>
    <row r="141" spans="3:99" x14ac:dyDescent="0.2">
      <c r="C141" s="26"/>
      <c r="D141" s="27"/>
      <c r="E141" s="28"/>
      <c r="F141" s="29"/>
      <c r="R141" s="30"/>
      <c r="S141" s="29"/>
      <c r="BZ141" s="30"/>
      <c r="CU141" s="30"/>
    </row>
    <row r="142" spans="3:99" x14ac:dyDescent="0.2">
      <c r="C142" s="26"/>
      <c r="D142" s="27"/>
      <c r="E142" s="28"/>
      <c r="F142" s="29"/>
      <c r="R142" s="30"/>
      <c r="S142" s="29"/>
      <c r="BZ142" s="30"/>
      <c r="CU142" s="30"/>
    </row>
    <row r="143" spans="3:99" x14ac:dyDescent="0.2">
      <c r="C143" s="26"/>
      <c r="D143" s="27"/>
      <c r="E143" s="28"/>
      <c r="F143" s="29"/>
      <c r="R143" s="30"/>
      <c r="S143" s="29"/>
      <c r="BZ143" s="30"/>
      <c r="CU143" s="30"/>
    </row>
    <row r="144" spans="3:99" x14ac:dyDescent="0.2">
      <c r="C144" s="26"/>
      <c r="D144" s="27"/>
      <c r="E144" s="28"/>
      <c r="F144" s="29"/>
      <c r="R144" s="30"/>
      <c r="S144" s="29"/>
      <c r="BZ144" s="30"/>
      <c r="CU144" s="30"/>
    </row>
    <row r="145" spans="3:99" x14ac:dyDescent="0.2">
      <c r="C145" s="26"/>
      <c r="D145" s="27"/>
      <c r="E145" s="28"/>
      <c r="F145" s="29"/>
      <c r="R145" s="30"/>
      <c r="S145" s="29"/>
      <c r="BZ145" s="30"/>
      <c r="CU145" s="30"/>
    </row>
    <row r="146" spans="3:99" x14ac:dyDescent="0.2">
      <c r="C146" s="26"/>
      <c r="D146" s="27"/>
      <c r="E146" s="28"/>
      <c r="F146" s="29"/>
      <c r="R146" s="30"/>
      <c r="S146" s="29"/>
      <c r="BZ146" s="30"/>
      <c r="CU146" s="30"/>
    </row>
    <row r="147" spans="3:99" x14ac:dyDescent="0.2">
      <c r="C147" s="26"/>
      <c r="D147" s="27"/>
      <c r="E147" s="28"/>
      <c r="F147" s="29"/>
      <c r="R147" s="30"/>
      <c r="S147" s="29"/>
      <c r="BZ147" s="30"/>
      <c r="CU147" s="30"/>
    </row>
    <row r="148" spans="3:99" x14ac:dyDescent="0.2">
      <c r="C148" s="26"/>
      <c r="D148" s="27"/>
      <c r="E148" s="28"/>
      <c r="F148" s="29"/>
      <c r="R148" s="30"/>
      <c r="S148" s="29"/>
      <c r="BZ148" s="30"/>
      <c r="CU148" s="30"/>
    </row>
    <row r="149" spans="3:99" x14ac:dyDescent="0.2">
      <c r="C149" s="26"/>
      <c r="D149" s="27"/>
      <c r="E149" s="28"/>
      <c r="F149" s="29"/>
      <c r="R149" s="30"/>
      <c r="S149" s="29"/>
      <c r="BZ149" s="30"/>
      <c r="CU149" s="30"/>
    </row>
    <row r="150" spans="3:99" x14ac:dyDescent="0.2">
      <c r="C150" s="26"/>
      <c r="D150" s="27"/>
      <c r="E150" s="28"/>
      <c r="F150" s="29"/>
      <c r="R150" s="30"/>
      <c r="S150" s="29"/>
      <c r="BZ150" s="30"/>
      <c r="CU150" s="30"/>
    </row>
    <row r="151" spans="3:99" x14ac:dyDescent="0.2">
      <c r="C151" s="26"/>
      <c r="D151" s="27"/>
      <c r="E151" s="28"/>
      <c r="F151" s="29"/>
      <c r="R151" s="30"/>
      <c r="S151" s="29"/>
      <c r="BZ151" s="30"/>
      <c r="CU151" s="30"/>
    </row>
    <row r="152" spans="3:99" x14ac:dyDescent="0.2">
      <c r="C152" s="26"/>
      <c r="D152" s="27"/>
      <c r="E152" s="28"/>
      <c r="F152" s="29"/>
      <c r="R152" s="30"/>
      <c r="S152" s="29"/>
      <c r="BZ152" s="30"/>
      <c r="CU152" s="30"/>
    </row>
    <row r="153" spans="3:99" x14ac:dyDescent="0.2">
      <c r="C153" s="26"/>
      <c r="D153" s="27"/>
      <c r="E153" s="28"/>
      <c r="F153" s="29"/>
      <c r="R153" s="30"/>
      <c r="S153" s="29"/>
      <c r="BZ153" s="30"/>
      <c r="CU153" s="30"/>
    </row>
    <row r="154" spans="3:99" x14ac:dyDescent="0.2">
      <c r="C154" s="26"/>
      <c r="D154" s="27"/>
      <c r="E154" s="28"/>
      <c r="F154" s="29"/>
      <c r="R154" s="30"/>
      <c r="S154" s="29"/>
      <c r="BZ154" s="30"/>
      <c r="CU154" s="30"/>
    </row>
    <row r="155" spans="3:99" x14ac:dyDescent="0.2">
      <c r="C155" s="26"/>
      <c r="D155" s="27"/>
      <c r="E155" s="28"/>
      <c r="F155" s="29"/>
      <c r="R155" s="30"/>
      <c r="S155" s="29"/>
      <c r="BZ155" s="30"/>
      <c r="CU155" s="30"/>
    </row>
    <row r="156" spans="3:99" x14ac:dyDescent="0.2">
      <c r="C156" s="26"/>
      <c r="D156" s="27"/>
      <c r="E156" s="28"/>
      <c r="F156" s="29"/>
      <c r="R156" s="30"/>
      <c r="S156" s="29"/>
      <c r="BZ156" s="30"/>
      <c r="CU156" s="30"/>
    </row>
    <row r="157" spans="3:99" x14ac:dyDescent="0.2">
      <c r="C157" s="26"/>
      <c r="D157" s="27"/>
      <c r="E157" s="28"/>
      <c r="F157" s="29"/>
      <c r="R157" s="30"/>
      <c r="S157" s="29"/>
      <c r="BZ157" s="30"/>
      <c r="CU157" s="30"/>
    </row>
    <row r="158" spans="3:99" x14ac:dyDescent="0.2">
      <c r="C158" s="26"/>
      <c r="D158" s="27"/>
      <c r="E158" s="28"/>
      <c r="F158" s="29"/>
      <c r="R158" s="30"/>
      <c r="S158" s="29"/>
      <c r="BZ158" s="30"/>
      <c r="CU158" s="30"/>
    </row>
    <row r="159" spans="3:99" x14ac:dyDescent="0.2">
      <c r="C159" s="26"/>
      <c r="D159" s="27"/>
      <c r="E159" s="28"/>
      <c r="F159" s="29"/>
      <c r="R159" s="30"/>
      <c r="S159" s="29"/>
      <c r="BZ159" s="30"/>
      <c r="CU159" s="30"/>
    </row>
    <row r="160" spans="3:99" x14ac:dyDescent="0.2">
      <c r="C160" s="31"/>
      <c r="D160" s="32"/>
      <c r="E160" s="33"/>
      <c r="F160" s="16"/>
      <c r="G160" s="18"/>
      <c r="H160" s="18"/>
      <c r="I160" s="18"/>
      <c r="J160" s="18"/>
      <c r="K160" s="18"/>
      <c r="L160" s="18"/>
      <c r="M160" s="18"/>
      <c r="N160" s="18"/>
      <c r="O160" s="18"/>
      <c r="P160" s="18"/>
      <c r="Q160" s="18"/>
      <c r="R160" s="17"/>
      <c r="S160" s="16"/>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7"/>
      <c r="CA160" s="16"/>
      <c r="CB160" s="18"/>
      <c r="CC160" s="18"/>
      <c r="CD160" s="18"/>
      <c r="CE160" s="18"/>
      <c r="CF160" s="18"/>
      <c r="CG160" s="18"/>
      <c r="CH160" s="18"/>
      <c r="CI160" s="18"/>
      <c r="CJ160" s="18"/>
      <c r="CK160" s="18"/>
      <c r="CL160" s="18"/>
      <c r="CM160" s="18"/>
      <c r="CN160" s="18"/>
      <c r="CO160" s="18"/>
      <c r="CP160" s="18"/>
      <c r="CQ160" s="18"/>
      <c r="CR160" s="18"/>
      <c r="CS160" s="18"/>
      <c r="CT160" s="18"/>
      <c r="CU160" s="17"/>
    </row>
    <row r="161" spans="3:99" x14ac:dyDescent="0.2">
      <c r="C161" s="26">
        <v>5</v>
      </c>
      <c r="D161" s="27"/>
      <c r="E161" s="28"/>
      <c r="F161" s="29" t="s">
        <v>73</v>
      </c>
      <c r="R161" s="30"/>
      <c r="S161" s="29"/>
      <c r="BZ161" s="30"/>
      <c r="CU161" s="30"/>
    </row>
    <row r="162" spans="3:99" x14ac:dyDescent="0.2">
      <c r="C162" s="26"/>
      <c r="D162" s="27"/>
      <c r="E162" s="28"/>
      <c r="F162" s="29" t="s">
        <v>74</v>
      </c>
      <c r="R162" s="30"/>
      <c r="S162" s="29"/>
      <c r="BZ162" s="30"/>
      <c r="CU162" s="30"/>
    </row>
    <row r="163" spans="3:99" x14ac:dyDescent="0.2">
      <c r="C163" s="26"/>
      <c r="D163" s="27"/>
      <c r="E163" s="28"/>
      <c r="F163" s="29"/>
      <c r="R163" s="30"/>
      <c r="S163" s="29"/>
      <c r="BZ163" s="30"/>
      <c r="CU163" s="30"/>
    </row>
    <row r="164" spans="3:99" x14ac:dyDescent="0.2">
      <c r="C164" s="26"/>
      <c r="D164" s="27"/>
      <c r="E164" s="28"/>
      <c r="F164" s="29" t="s">
        <v>75</v>
      </c>
      <c r="R164" s="30"/>
      <c r="S164" s="29"/>
      <c r="BZ164" s="30"/>
      <c r="CU164" s="30"/>
    </row>
    <row r="165" spans="3:99" x14ac:dyDescent="0.2">
      <c r="C165" s="26"/>
      <c r="D165" s="27"/>
      <c r="E165" s="28"/>
      <c r="F165" s="29" t="s">
        <v>76</v>
      </c>
      <c r="R165" s="30"/>
      <c r="S165" s="29"/>
      <c r="BZ165" s="30"/>
      <c r="CU165" s="30"/>
    </row>
    <row r="166" spans="3:99" x14ac:dyDescent="0.2">
      <c r="C166" s="26"/>
      <c r="D166" s="27"/>
      <c r="E166" s="28"/>
      <c r="F166" s="29"/>
      <c r="R166" s="30"/>
      <c r="S166" s="29"/>
      <c r="BZ166" s="30"/>
      <c r="CU166" s="30"/>
    </row>
    <row r="167" spans="3:99" x14ac:dyDescent="0.2">
      <c r="C167" s="26"/>
      <c r="D167" s="27"/>
      <c r="E167" s="28"/>
      <c r="F167" s="29"/>
      <c r="R167" s="30"/>
      <c r="S167" s="29"/>
      <c r="BZ167" s="30"/>
      <c r="CU167" s="30"/>
    </row>
    <row r="168" spans="3:99" x14ac:dyDescent="0.2">
      <c r="C168" s="26"/>
      <c r="D168" s="27"/>
      <c r="E168" s="28"/>
      <c r="F168" s="29"/>
      <c r="R168" s="30"/>
      <c r="S168" s="29"/>
      <c r="BZ168" s="30"/>
      <c r="CU168" s="30"/>
    </row>
    <row r="169" spans="3:99" x14ac:dyDescent="0.2">
      <c r="C169" s="26"/>
      <c r="D169" s="27"/>
      <c r="E169" s="28"/>
      <c r="F169" s="29"/>
      <c r="G169" s="124"/>
      <c r="R169" s="30"/>
      <c r="S169" s="29"/>
      <c r="BZ169" s="30"/>
      <c r="CU169" s="30"/>
    </row>
    <row r="170" spans="3:99" x14ac:dyDescent="0.2">
      <c r="C170" s="26"/>
      <c r="D170" s="27"/>
      <c r="E170" s="28"/>
      <c r="F170" s="29"/>
      <c r="R170" s="30"/>
      <c r="S170" s="29"/>
      <c r="BZ170" s="30"/>
      <c r="CU170" s="30"/>
    </row>
    <row r="171" spans="3:99" x14ac:dyDescent="0.2">
      <c r="C171" s="26"/>
      <c r="D171" s="27"/>
      <c r="E171" s="28"/>
      <c r="F171" s="29"/>
      <c r="R171" s="30"/>
      <c r="S171" s="29"/>
      <c r="BZ171" s="30"/>
      <c r="CU171" s="30"/>
    </row>
    <row r="172" spans="3:99" x14ac:dyDescent="0.2">
      <c r="C172" s="26"/>
      <c r="D172" s="27"/>
      <c r="E172" s="28"/>
      <c r="F172" s="29"/>
      <c r="R172" s="30"/>
      <c r="S172" s="29"/>
      <c r="BZ172" s="30"/>
      <c r="CU172" s="30"/>
    </row>
    <row r="173" spans="3:99" x14ac:dyDescent="0.2">
      <c r="C173" s="26"/>
      <c r="D173" s="27"/>
      <c r="E173" s="28"/>
      <c r="F173" s="29"/>
      <c r="R173" s="30"/>
      <c r="S173" s="29"/>
      <c r="BZ173" s="30"/>
      <c r="CU173" s="30"/>
    </row>
    <row r="174" spans="3:99" x14ac:dyDescent="0.2">
      <c r="C174" s="26"/>
      <c r="D174" s="27"/>
      <c r="E174" s="28"/>
      <c r="F174" s="29"/>
      <c r="R174" s="30"/>
      <c r="S174" s="29"/>
      <c r="BZ174" s="30"/>
      <c r="CU174" s="30"/>
    </row>
    <row r="175" spans="3:99" x14ac:dyDescent="0.2">
      <c r="C175" s="26"/>
      <c r="D175" s="27"/>
      <c r="E175" s="28"/>
      <c r="F175" s="29"/>
      <c r="R175" s="30"/>
      <c r="S175" s="29"/>
      <c r="BZ175" s="30"/>
      <c r="CU175" s="30"/>
    </row>
    <row r="176" spans="3:99" x14ac:dyDescent="0.2">
      <c r="C176" s="26"/>
      <c r="D176" s="27"/>
      <c r="E176" s="28"/>
      <c r="F176" s="29"/>
      <c r="R176" s="30"/>
      <c r="S176" s="29"/>
      <c r="BZ176" s="30"/>
      <c r="CU176" s="30"/>
    </row>
    <row r="177" spans="3:99" x14ac:dyDescent="0.2">
      <c r="C177" s="26"/>
      <c r="D177" s="27"/>
      <c r="E177" s="28"/>
      <c r="F177" s="29"/>
      <c r="R177" s="30"/>
      <c r="S177" s="29"/>
      <c r="BZ177" s="30"/>
      <c r="CU177" s="30"/>
    </row>
    <row r="178" spans="3:99" x14ac:dyDescent="0.2">
      <c r="C178" s="26"/>
      <c r="D178" s="27"/>
      <c r="E178" s="28"/>
      <c r="F178" s="29"/>
      <c r="R178" s="30"/>
      <c r="S178" s="29"/>
      <c r="BZ178" s="30"/>
      <c r="CU178" s="30"/>
    </row>
    <row r="179" spans="3:99" x14ac:dyDescent="0.2">
      <c r="C179" s="26"/>
      <c r="D179" s="27"/>
      <c r="E179" s="28"/>
      <c r="F179" s="29"/>
      <c r="R179" s="30"/>
      <c r="S179" s="29"/>
      <c r="BZ179" s="30"/>
      <c r="CU179" s="30"/>
    </row>
    <row r="180" spans="3:99" x14ac:dyDescent="0.2">
      <c r="C180" s="26"/>
      <c r="D180" s="27"/>
      <c r="E180" s="28"/>
      <c r="F180" s="29"/>
      <c r="R180" s="30"/>
      <c r="S180" s="29"/>
      <c r="BZ180" s="30"/>
      <c r="CU180" s="30"/>
    </row>
    <row r="181" spans="3:99" x14ac:dyDescent="0.2">
      <c r="C181" s="26"/>
      <c r="D181" s="27"/>
      <c r="E181" s="28"/>
      <c r="F181" s="29"/>
      <c r="R181" s="30"/>
      <c r="S181" s="29"/>
      <c r="BZ181" s="30"/>
      <c r="CU181" s="30"/>
    </row>
    <row r="182" spans="3:99" x14ac:dyDescent="0.2">
      <c r="C182" s="26"/>
      <c r="D182" s="27"/>
      <c r="E182" s="28"/>
      <c r="F182" s="29"/>
      <c r="R182" s="30"/>
      <c r="S182" s="29"/>
      <c r="BZ182" s="30"/>
      <c r="CU182" s="30"/>
    </row>
    <row r="183" spans="3:99" x14ac:dyDescent="0.2">
      <c r="C183" s="26"/>
      <c r="D183" s="27"/>
      <c r="E183" s="28"/>
      <c r="F183" s="29"/>
      <c r="R183" s="30"/>
      <c r="S183" s="29"/>
      <c r="BZ183" s="30"/>
      <c r="CU183" s="30"/>
    </row>
    <row r="184" spans="3:99" x14ac:dyDescent="0.2">
      <c r="C184" s="26"/>
      <c r="D184" s="27"/>
      <c r="E184" s="28"/>
      <c r="F184" s="29"/>
      <c r="R184" s="30"/>
      <c r="S184" s="29"/>
      <c r="BZ184" s="30"/>
      <c r="CU184" s="30"/>
    </row>
    <row r="185" spans="3:99" x14ac:dyDescent="0.2">
      <c r="C185" s="26"/>
      <c r="D185" s="27"/>
      <c r="E185" s="28"/>
      <c r="F185" s="29"/>
      <c r="R185" s="30"/>
      <c r="S185" s="29"/>
      <c r="BZ185" s="30"/>
      <c r="CU185" s="30"/>
    </row>
    <row r="186" spans="3:99" x14ac:dyDescent="0.2">
      <c r="C186" s="31"/>
      <c r="D186" s="32"/>
      <c r="E186" s="33"/>
      <c r="F186" s="16"/>
      <c r="G186" s="18"/>
      <c r="H186" s="18"/>
      <c r="I186" s="18"/>
      <c r="J186" s="18"/>
      <c r="K186" s="18"/>
      <c r="L186" s="18"/>
      <c r="M186" s="18"/>
      <c r="N186" s="18"/>
      <c r="O186" s="18"/>
      <c r="P186" s="18"/>
      <c r="Q186" s="18"/>
      <c r="R186" s="17"/>
      <c r="S186" s="16"/>
      <c r="T186" s="125"/>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7"/>
      <c r="CA186" s="16"/>
      <c r="CB186" s="18"/>
      <c r="CC186" s="18"/>
      <c r="CD186" s="18"/>
      <c r="CE186" s="18"/>
      <c r="CF186" s="18"/>
      <c r="CG186" s="18"/>
      <c r="CH186" s="18"/>
      <c r="CI186" s="18"/>
      <c r="CJ186" s="18"/>
      <c r="CK186" s="18"/>
      <c r="CL186" s="18"/>
      <c r="CM186" s="18"/>
      <c r="CN186" s="18"/>
      <c r="CO186" s="18"/>
      <c r="CP186" s="18"/>
      <c r="CQ186" s="18"/>
      <c r="CR186" s="18"/>
      <c r="CS186" s="18"/>
      <c r="CT186" s="18"/>
      <c r="CU186" s="17"/>
    </row>
    <row r="187" spans="3:99" x14ac:dyDescent="0.2">
      <c r="C187" s="26">
        <v>6</v>
      </c>
      <c r="D187" s="27"/>
      <c r="E187" s="28"/>
      <c r="F187" s="29" t="s">
        <v>77</v>
      </c>
      <c r="R187" s="30"/>
      <c r="S187" s="29"/>
      <c r="BZ187" s="30"/>
      <c r="CU187" s="30"/>
    </row>
    <row r="188" spans="3:99" x14ac:dyDescent="0.2">
      <c r="C188" s="26"/>
      <c r="D188" s="27"/>
      <c r="E188" s="28"/>
      <c r="F188" s="29" t="s">
        <v>78</v>
      </c>
      <c r="R188" s="30"/>
      <c r="S188" s="29"/>
      <c r="BZ188" s="30"/>
      <c r="CU188" s="30"/>
    </row>
    <row r="189" spans="3:99" x14ac:dyDescent="0.2">
      <c r="C189" s="26"/>
      <c r="D189" s="27"/>
      <c r="E189" s="28"/>
      <c r="F189" s="29" t="s">
        <v>79</v>
      </c>
      <c r="R189" s="30"/>
      <c r="S189" s="29"/>
      <c r="BZ189" s="30"/>
      <c r="CU189" s="30"/>
    </row>
    <row r="190" spans="3:99" x14ac:dyDescent="0.2">
      <c r="C190" s="26"/>
      <c r="D190" s="27"/>
      <c r="E190" s="28"/>
      <c r="F190" s="29"/>
      <c r="R190" s="30"/>
      <c r="S190" s="29"/>
      <c r="BZ190" s="30"/>
      <c r="CU190" s="30"/>
    </row>
    <row r="191" spans="3:99" x14ac:dyDescent="0.2">
      <c r="C191" s="26"/>
      <c r="D191" s="27"/>
      <c r="E191" s="28"/>
      <c r="F191" s="29"/>
      <c r="R191" s="30"/>
      <c r="S191" s="29"/>
      <c r="BZ191" s="30"/>
      <c r="CU191" s="30"/>
    </row>
    <row r="192" spans="3:99" x14ac:dyDescent="0.2">
      <c r="C192" s="26"/>
      <c r="D192" s="27"/>
      <c r="E192" s="28"/>
      <c r="F192" s="29"/>
      <c r="R192" s="30"/>
      <c r="S192" s="29"/>
      <c r="BZ192" s="30"/>
      <c r="CU192" s="30"/>
    </row>
    <row r="193" spans="3:99" x14ac:dyDescent="0.2">
      <c r="C193" s="26"/>
      <c r="D193" s="27"/>
      <c r="E193" s="28"/>
      <c r="F193" s="29"/>
      <c r="R193" s="30"/>
      <c r="S193" s="29"/>
      <c r="BZ193" s="30"/>
      <c r="CU193" s="30"/>
    </row>
    <row r="194" spans="3:99" x14ac:dyDescent="0.2">
      <c r="C194" s="26"/>
      <c r="D194" s="27"/>
      <c r="E194" s="28"/>
      <c r="F194" s="29"/>
      <c r="R194" s="30"/>
      <c r="S194" s="29"/>
      <c r="BZ194" s="30"/>
      <c r="CU194" s="30"/>
    </row>
    <row r="195" spans="3:99" x14ac:dyDescent="0.2">
      <c r="C195" s="26"/>
      <c r="D195" s="27"/>
      <c r="E195" s="28"/>
      <c r="F195" s="29"/>
      <c r="R195" s="30"/>
      <c r="S195" s="29"/>
      <c r="BZ195" s="30"/>
      <c r="CU195" s="30"/>
    </row>
    <row r="196" spans="3:99" x14ac:dyDescent="0.2">
      <c r="C196" s="26"/>
      <c r="D196" s="27"/>
      <c r="E196" s="28"/>
      <c r="F196" s="29"/>
      <c r="R196" s="30"/>
      <c r="S196" s="29"/>
      <c r="BZ196" s="30"/>
      <c r="CU196" s="30"/>
    </row>
    <row r="197" spans="3:99" x14ac:dyDescent="0.2">
      <c r="C197" s="26"/>
      <c r="D197" s="27"/>
      <c r="E197" s="28"/>
      <c r="F197" s="29"/>
      <c r="R197" s="30"/>
      <c r="S197" s="29"/>
      <c r="BZ197" s="30"/>
      <c r="CU197" s="30"/>
    </row>
    <row r="198" spans="3:99" x14ac:dyDescent="0.2">
      <c r="C198" s="26"/>
      <c r="D198" s="27"/>
      <c r="E198" s="28"/>
      <c r="F198" s="29"/>
      <c r="R198" s="30"/>
      <c r="S198" s="29"/>
      <c r="BZ198" s="30"/>
      <c r="CU198" s="30"/>
    </row>
    <row r="199" spans="3:99" x14ac:dyDescent="0.2">
      <c r="C199" s="26"/>
      <c r="D199" s="27"/>
      <c r="E199" s="28"/>
      <c r="F199" s="29"/>
      <c r="R199" s="30"/>
      <c r="S199" s="29"/>
      <c r="BZ199" s="30"/>
      <c r="CU199" s="30"/>
    </row>
    <row r="200" spans="3:99" x14ac:dyDescent="0.2">
      <c r="C200" s="26"/>
      <c r="D200" s="27"/>
      <c r="E200" s="28"/>
      <c r="F200" s="29"/>
      <c r="R200" s="30"/>
      <c r="S200" s="29"/>
      <c r="BZ200" s="30"/>
      <c r="CU200" s="30"/>
    </row>
    <row r="201" spans="3:99" x14ac:dyDescent="0.2">
      <c r="C201" s="26"/>
      <c r="D201" s="27"/>
      <c r="E201" s="28"/>
      <c r="F201" s="29"/>
      <c r="R201" s="30"/>
      <c r="S201" s="29"/>
      <c r="BZ201" s="30"/>
      <c r="CU201" s="30"/>
    </row>
    <row r="202" spans="3:99" x14ac:dyDescent="0.2">
      <c r="C202" s="26"/>
      <c r="D202" s="27"/>
      <c r="E202" s="28"/>
      <c r="F202" s="29"/>
      <c r="R202" s="30"/>
      <c r="S202" s="29"/>
      <c r="BZ202" s="30"/>
      <c r="CU202" s="30"/>
    </row>
    <row r="203" spans="3:99" x14ac:dyDescent="0.2">
      <c r="C203" s="26"/>
      <c r="D203" s="27"/>
      <c r="E203" s="28"/>
      <c r="F203" s="29"/>
      <c r="R203" s="30"/>
      <c r="S203" s="29"/>
      <c r="BZ203" s="30"/>
      <c r="CU203" s="30"/>
    </row>
    <row r="204" spans="3:99" x14ac:dyDescent="0.2">
      <c r="C204" s="26"/>
      <c r="D204" s="27"/>
      <c r="E204" s="28"/>
      <c r="F204" s="29"/>
      <c r="R204" s="30"/>
      <c r="S204" s="29"/>
      <c r="BZ204" s="30"/>
      <c r="CU204" s="30"/>
    </row>
    <row r="205" spans="3:99" x14ac:dyDescent="0.2">
      <c r="C205" s="26"/>
      <c r="D205" s="27"/>
      <c r="E205" s="28"/>
      <c r="F205" s="29"/>
      <c r="R205" s="30"/>
      <c r="S205" s="29"/>
      <c r="BZ205" s="30"/>
      <c r="CU205" s="30"/>
    </row>
    <row r="206" spans="3:99" x14ac:dyDescent="0.2">
      <c r="C206" s="26"/>
      <c r="D206" s="27"/>
      <c r="E206" s="28"/>
      <c r="F206" s="29"/>
      <c r="R206" s="30"/>
      <c r="S206" s="29"/>
      <c r="BZ206" s="30"/>
      <c r="CU206" s="30"/>
    </row>
    <row r="207" spans="3:99" x14ac:dyDescent="0.2">
      <c r="C207" s="26"/>
      <c r="D207" s="27"/>
      <c r="E207" s="28"/>
      <c r="F207" s="29"/>
      <c r="R207" s="30"/>
      <c r="S207" s="29"/>
      <c r="BZ207" s="30"/>
      <c r="CU207" s="30"/>
    </row>
    <row r="208" spans="3:99" x14ac:dyDescent="0.2">
      <c r="C208" s="26"/>
      <c r="D208" s="27"/>
      <c r="E208" s="28"/>
      <c r="F208" s="29"/>
      <c r="R208" s="30"/>
      <c r="S208" s="29"/>
      <c r="BZ208" s="30"/>
      <c r="CU208" s="30"/>
    </row>
    <row r="209" spans="3:99" x14ac:dyDescent="0.2">
      <c r="C209" s="26"/>
      <c r="D209" s="27"/>
      <c r="E209" s="28"/>
      <c r="F209" s="29"/>
      <c r="R209" s="30"/>
      <c r="S209" s="29"/>
      <c r="BZ209" s="30"/>
      <c r="CU209" s="30"/>
    </row>
    <row r="210" spans="3:99" x14ac:dyDescent="0.2">
      <c r="C210" s="26"/>
      <c r="D210" s="27"/>
      <c r="E210" s="28"/>
      <c r="F210" s="29"/>
      <c r="R210" s="30"/>
      <c r="S210" s="29"/>
      <c r="BZ210" s="30"/>
      <c r="CU210" s="30"/>
    </row>
    <row r="211" spans="3:99" x14ac:dyDescent="0.2">
      <c r="C211" s="26"/>
      <c r="D211" s="27"/>
      <c r="E211" s="28"/>
      <c r="F211" s="29"/>
      <c r="R211" s="30"/>
      <c r="S211" s="29"/>
      <c r="BZ211" s="30"/>
      <c r="CU211" s="30"/>
    </row>
    <row r="212" spans="3:99" x14ac:dyDescent="0.2">
      <c r="C212" s="26"/>
      <c r="D212" s="27"/>
      <c r="E212" s="28"/>
      <c r="F212" s="29"/>
      <c r="R212" s="30"/>
      <c r="S212" s="29"/>
      <c r="BZ212" s="30"/>
      <c r="CU212" s="30"/>
    </row>
    <row r="213" spans="3:99" x14ac:dyDescent="0.2">
      <c r="C213" s="26"/>
      <c r="D213" s="27"/>
      <c r="E213" s="28"/>
      <c r="F213" s="29"/>
      <c r="R213" s="30"/>
      <c r="S213" s="29"/>
      <c r="BZ213" s="30"/>
      <c r="CU213" s="30"/>
    </row>
    <row r="214" spans="3:99" x14ac:dyDescent="0.2">
      <c r="C214" s="26"/>
      <c r="D214" s="27"/>
      <c r="E214" s="28"/>
      <c r="F214" s="29"/>
      <c r="R214" s="30"/>
      <c r="S214" s="29"/>
      <c r="BZ214" s="30"/>
      <c r="CU214" s="30"/>
    </row>
    <row r="215" spans="3:99" x14ac:dyDescent="0.2">
      <c r="C215" s="26"/>
      <c r="D215" s="27"/>
      <c r="E215" s="28"/>
      <c r="F215" s="29"/>
      <c r="R215" s="30"/>
      <c r="S215" s="29"/>
      <c r="BZ215" s="30"/>
      <c r="CU215" s="30"/>
    </row>
    <row r="216" spans="3:99" x14ac:dyDescent="0.2">
      <c r="C216" s="26"/>
      <c r="D216" s="27"/>
      <c r="E216" s="28"/>
      <c r="F216" s="29"/>
      <c r="R216" s="30"/>
      <c r="S216" s="29"/>
      <c r="BZ216" s="30"/>
      <c r="CU216" s="30"/>
    </row>
    <row r="217" spans="3:99" x14ac:dyDescent="0.2">
      <c r="C217" s="26"/>
      <c r="D217" s="27"/>
      <c r="E217" s="28"/>
      <c r="F217" s="29"/>
      <c r="R217" s="30"/>
      <c r="S217" s="29"/>
      <c r="BZ217" s="30"/>
      <c r="CU217" s="30"/>
    </row>
    <row r="218" spans="3:99" x14ac:dyDescent="0.2">
      <c r="C218" s="26"/>
      <c r="D218" s="27"/>
      <c r="E218" s="28"/>
      <c r="F218" s="29"/>
      <c r="R218" s="30"/>
      <c r="S218" s="29"/>
      <c r="BZ218" s="30"/>
      <c r="CU218" s="30"/>
    </row>
    <row r="219" spans="3:99" x14ac:dyDescent="0.2">
      <c r="C219" s="26"/>
      <c r="D219" s="27"/>
      <c r="E219" s="28"/>
      <c r="F219" s="29"/>
      <c r="R219" s="30"/>
      <c r="S219" s="29"/>
      <c r="BZ219" s="30"/>
      <c r="CU219" s="30"/>
    </row>
    <row r="220" spans="3:99" x14ac:dyDescent="0.2">
      <c r="C220" s="26"/>
      <c r="D220" s="27"/>
      <c r="E220" s="28"/>
      <c r="F220" s="29"/>
      <c r="R220" s="30"/>
      <c r="S220" s="29"/>
      <c r="BZ220" s="30"/>
      <c r="CU220" s="30"/>
    </row>
    <row r="221" spans="3:99" x14ac:dyDescent="0.2">
      <c r="C221" s="26"/>
      <c r="D221" s="27"/>
      <c r="E221" s="28"/>
      <c r="F221" s="29"/>
      <c r="R221" s="30"/>
      <c r="S221" s="29"/>
      <c r="BZ221" s="30"/>
      <c r="CU221" s="30"/>
    </row>
    <row r="222" spans="3:99" x14ac:dyDescent="0.2">
      <c r="C222" s="31"/>
      <c r="D222" s="32"/>
      <c r="E222" s="33"/>
      <c r="F222" s="16"/>
      <c r="G222" s="18"/>
      <c r="H222" s="18"/>
      <c r="I222" s="18"/>
      <c r="J222" s="18"/>
      <c r="K222" s="18"/>
      <c r="L222" s="18"/>
      <c r="M222" s="18"/>
      <c r="N222" s="18"/>
      <c r="O222" s="18"/>
      <c r="P222" s="18"/>
      <c r="Q222" s="18"/>
      <c r="R222" s="17"/>
      <c r="S222" s="16"/>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7"/>
      <c r="CA222" s="16"/>
      <c r="CB222" s="18"/>
      <c r="CC222" s="18"/>
      <c r="CD222" s="18"/>
      <c r="CE222" s="18"/>
      <c r="CF222" s="18"/>
      <c r="CG222" s="18"/>
      <c r="CH222" s="18"/>
      <c r="CI222" s="18"/>
      <c r="CJ222" s="18"/>
      <c r="CK222" s="18"/>
      <c r="CL222" s="18"/>
      <c r="CM222" s="18"/>
      <c r="CN222" s="18"/>
      <c r="CO222" s="18"/>
      <c r="CP222" s="18"/>
      <c r="CQ222" s="18"/>
      <c r="CR222" s="18"/>
      <c r="CS222" s="18"/>
      <c r="CT222" s="18"/>
      <c r="CU222" s="17"/>
    </row>
  </sheetData>
  <mergeCells count="3">
    <mergeCell ref="B18:C18"/>
    <mergeCell ref="M18:AP18"/>
    <mergeCell ref="A3:AP3"/>
  </mergeCells>
  <phoneticPr fontId="1"/>
  <hyperlinks>
    <hyperlink ref="E11" r:id="rId1" xr:uid="{55B603AF-FF91-484D-83F1-EE21901C2DE8}"/>
    <hyperlink ref="F34" r:id="rId2" xr:uid="{7D9051AD-B5E4-461E-B65F-3A9C7B9F0FB5}"/>
  </hyperlinks>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2067-BA3E-432B-B492-72DA03D4FCBE}">
  <dimension ref="A1:AP38"/>
  <sheetViews>
    <sheetView showGridLines="0" topLeftCell="A21" zoomScaleNormal="100" workbookViewId="0">
      <selection activeCell="Q46" sqref="Q46"/>
    </sheetView>
  </sheetViews>
  <sheetFormatPr defaultColWidth="3.1796875" defaultRowHeight="13.5" x14ac:dyDescent="0.2"/>
  <cols>
    <col min="1" max="2" width="3.1796875" style="7"/>
    <col min="3" max="3" width="1.453125" style="7" customWidth="1"/>
    <col min="4" max="16384" width="3.1796875" style="7"/>
  </cols>
  <sheetData>
    <row r="1" spans="1:42" s="2" customFormat="1" ht="6" customHeight="1" x14ac:dyDescent="0.35">
      <c r="A1" s="1">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s="2" customFormat="1" ht="6" customHeight="1" thickBot="1" x14ac:dyDescent="0.4"/>
    <row r="3" spans="1:42" s="2" customFormat="1" ht="22.5" customHeight="1" thickBot="1" x14ac:dyDescent="0.4">
      <c r="A3" s="150" t="str" cm="1">
        <f t="array" aca="1" ref="A3" ca="1">MID(CELL("filename",A1),FIND("]",CELL("filename",A1))+1,2)</f>
        <v>03</v>
      </c>
      <c r="B3" s="151"/>
      <c r="D3" s="152" t="s">
        <v>80</v>
      </c>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4"/>
    </row>
    <row r="4" spans="1:42" s="2" customFormat="1" ht="12" customHeight="1" x14ac:dyDescent="0.45">
      <c r="A4" s="5"/>
    </row>
    <row r="5" spans="1:42" s="2" customFormat="1" ht="4" customHeight="1" x14ac:dyDescent="0.35">
      <c r="A5" s="1"/>
      <c r="B5" s="1"/>
      <c r="C5" s="1"/>
      <c r="D5" s="1"/>
      <c r="E5" s="1"/>
      <c r="F5" s="1"/>
      <c r="G5" s="1"/>
      <c r="H5" s="1"/>
      <c r="I5" s="1"/>
      <c r="J5" s="1"/>
      <c r="K5" s="1"/>
    </row>
    <row r="6" spans="1:42" s="2" customFormat="1" ht="6" customHeight="1" x14ac:dyDescent="0.35"/>
    <row r="7" spans="1:42" s="2" customFormat="1" ht="22.5" customHeight="1" x14ac:dyDescent="0.45">
      <c r="A7" s="3" t="s">
        <v>36</v>
      </c>
      <c r="E7" s="4"/>
    </row>
    <row r="8" spans="1:42" x14ac:dyDescent="0.2">
      <c r="B8" s="7" t="s">
        <v>81</v>
      </c>
    </row>
    <row r="9" spans="1:42" x14ac:dyDescent="0.2">
      <c r="B9" s="7" t="s">
        <v>38</v>
      </c>
    </row>
    <row r="10" spans="1:42" x14ac:dyDescent="0.2">
      <c r="B10" s="104" t="s">
        <v>82</v>
      </c>
    </row>
    <row r="11" spans="1:42" s="2" customFormat="1" ht="12" customHeight="1" x14ac:dyDescent="0.45">
      <c r="A11" s="5"/>
    </row>
    <row r="12" spans="1:42" s="2" customFormat="1" ht="4" customHeight="1" x14ac:dyDescent="0.35">
      <c r="A12" s="1"/>
      <c r="B12" s="1"/>
      <c r="C12" s="1"/>
      <c r="D12" s="1"/>
      <c r="E12" s="1"/>
      <c r="F12" s="1"/>
      <c r="G12" s="1"/>
      <c r="H12" s="1"/>
      <c r="I12" s="1"/>
      <c r="J12" s="1"/>
      <c r="K12" s="1"/>
    </row>
    <row r="13" spans="1:42" s="2" customFormat="1" ht="6" customHeight="1" x14ac:dyDescent="0.35"/>
    <row r="17" spans="5:32" x14ac:dyDescent="0.2">
      <c r="E17" s="105" t="s">
        <v>83</v>
      </c>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100"/>
    </row>
    <row r="18" spans="5:32" x14ac:dyDescent="0.2">
      <c r="E18" s="29" t="s">
        <v>84</v>
      </c>
      <c r="AF18" s="30"/>
    </row>
    <row r="19" spans="5:32" x14ac:dyDescent="0.2">
      <c r="E19" s="29" t="s">
        <v>85</v>
      </c>
      <c r="AF19" s="30"/>
    </row>
    <row r="20" spans="5:32" x14ac:dyDescent="0.2">
      <c r="E20" s="29" t="s">
        <v>86</v>
      </c>
      <c r="AF20" s="30"/>
    </row>
    <row r="21" spans="5:32" x14ac:dyDescent="0.2">
      <c r="E21" s="16" t="s">
        <v>87</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7"/>
    </row>
    <row r="22" spans="5:32" x14ac:dyDescent="0.2">
      <c r="E22" s="105" t="s">
        <v>88</v>
      </c>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100"/>
    </row>
    <row r="23" spans="5:32" x14ac:dyDescent="0.2">
      <c r="E23" s="29" t="s">
        <v>89</v>
      </c>
      <c r="AF23" s="30"/>
    </row>
    <row r="24" spans="5:32" x14ac:dyDescent="0.2">
      <c r="E24" s="29" t="s">
        <v>90</v>
      </c>
      <c r="AF24" s="30"/>
    </row>
    <row r="25" spans="5:32" x14ac:dyDescent="0.2">
      <c r="E25" s="29" t="s">
        <v>91</v>
      </c>
      <c r="AF25" s="30"/>
    </row>
    <row r="26" spans="5:32" x14ac:dyDescent="0.2">
      <c r="E26" s="29" t="s">
        <v>92</v>
      </c>
      <c r="AF26" s="30"/>
    </row>
    <row r="27" spans="5:32" x14ac:dyDescent="0.2">
      <c r="E27" s="29" t="s">
        <v>93</v>
      </c>
      <c r="AF27" s="30"/>
    </row>
    <row r="28" spans="5:32" x14ac:dyDescent="0.2">
      <c r="E28" s="16" t="s">
        <v>94</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7"/>
    </row>
    <row r="29" spans="5:32" x14ac:dyDescent="0.2">
      <c r="E29" s="105" t="s">
        <v>95</v>
      </c>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100"/>
    </row>
    <row r="30" spans="5:32" x14ac:dyDescent="0.2">
      <c r="E30" s="16" t="s">
        <v>96</v>
      </c>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2"/>
    </row>
    <row r="31" spans="5:32" x14ac:dyDescent="0.2">
      <c r="E31" s="105" t="s">
        <v>97</v>
      </c>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100"/>
    </row>
    <row r="32" spans="5:32" x14ac:dyDescent="0.2">
      <c r="E32" s="16" t="s">
        <v>98</v>
      </c>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2"/>
    </row>
    <row r="33" spans="5:32" x14ac:dyDescent="0.2">
      <c r="E33" s="155" t="s">
        <v>99</v>
      </c>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row>
    <row r="34" spans="5:32" x14ac:dyDescent="0.2">
      <c r="E34" s="103">
        <v>1</v>
      </c>
      <c r="F34" s="149" t="s">
        <v>100</v>
      </c>
      <c r="G34" s="149"/>
      <c r="H34" s="149"/>
      <c r="I34" s="149"/>
      <c r="J34" s="149"/>
      <c r="K34" s="149"/>
      <c r="L34" s="149"/>
      <c r="M34" s="149"/>
      <c r="N34" s="149"/>
      <c r="O34" s="149"/>
      <c r="P34" s="149"/>
      <c r="Q34" s="149"/>
      <c r="R34" s="149" t="s">
        <v>101</v>
      </c>
      <c r="S34" s="149"/>
      <c r="T34" s="149"/>
      <c r="U34" s="149"/>
      <c r="V34" s="149"/>
      <c r="W34" s="149"/>
      <c r="X34" s="149"/>
      <c r="Y34" s="149"/>
      <c r="Z34" s="149"/>
      <c r="AA34" s="149"/>
      <c r="AB34" s="149"/>
      <c r="AC34" s="149"/>
      <c r="AD34" s="149"/>
      <c r="AE34" s="149"/>
      <c r="AF34" s="149"/>
    </row>
    <row r="35" spans="5:32" x14ac:dyDescent="0.2">
      <c r="E35" s="103">
        <v>2</v>
      </c>
      <c r="F35" s="149" t="s">
        <v>102</v>
      </c>
      <c r="G35" s="149"/>
      <c r="H35" s="149"/>
      <c r="I35" s="149"/>
      <c r="J35" s="149"/>
      <c r="K35" s="149"/>
      <c r="L35" s="149"/>
      <c r="M35" s="149"/>
      <c r="N35" s="149"/>
      <c r="O35" s="149"/>
      <c r="P35" s="149"/>
      <c r="Q35" s="149"/>
      <c r="R35" s="149" t="s">
        <v>103</v>
      </c>
      <c r="S35" s="149"/>
      <c r="T35" s="149"/>
      <c r="U35" s="149"/>
      <c r="V35" s="149"/>
      <c r="W35" s="149"/>
      <c r="X35" s="149"/>
      <c r="Y35" s="149"/>
      <c r="Z35" s="149"/>
      <c r="AA35" s="149"/>
      <c r="AB35" s="149"/>
      <c r="AC35" s="149"/>
      <c r="AD35" s="149"/>
      <c r="AE35" s="149"/>
      <c r="AF35" s="149"/>
    </row>
    <row r="36" spans="5:32" x14ac:dyDescent="0.2">
      <c r="E36" s="103">
        <v>3</v>
      </c>
      <c r="F36" s="149" t="s">
        <v>104</v>
      </c>
      <c r="G36" s="149"/>
      <c r="H36" s="149"/>
      <c r="I36" s="149"/>
      <c r="J36" s="149"/>
      <c r="K36" s="149"/>
      <c r="L36" s="149"/>
      <c r="M36" s="149"/>
      <c r="N36" s="149"/>
      <c r="O36" s="149"/>
      <c r="P36" s="149"/>
      <c r="Q36" s="149"/>
      <c r="R36" s="149" t="s">
        <v>105</v>
      </c>
      <c r="S36" s="149"/>
      <c r="T36" s="149"/>
      <c r="U36" s="149"/>
      <c r="V36" s="149"/>
      <c r="W36" s="149"/>
      <c r="X36" s="149"/>
      <c r="Y36" s="149"/>
      <c r="Z36" s="149"/>
      <c r="AA36" s="149"/>
      <c r="AB36" s="149"/>
      <c r="AC36" s="149"/>
      <c r="AD36" s="149"/>
      <c r="AE36" s="149"/>
      <c r="AF36" s="149"/>
    </row>
    <row r="37" spans="5:32" x14ac:dyDescent="0.2">
      <c r="E37" s="105" t="s">
        <v>106</v>
      </c>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100"/>
    </row>
    <row r="38" spans="5:32" x14ac:dyDescent="0.2">
      <c r="E38" s="16" t="s">
        <v>107</v>
      </c>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2"/>
    </row>
  </sheetData>
  <mergeCells count="9">
    <mergeCell ref="R36:AF36"/>
    <mergeCell ref="F34:Q34"/>
    <mergeCell ref="F35:Q35"/>
    <mergeCell ref="F36:Q36"/>
    <mergeCell ref="A3:B3"/>
    <mergeCell ref="D3:AP3"/>
    <mergeCell ref="E33:AF33"/>
    <mergeCell ref="R34:AF34"/>
    <mergeCell ref="R35:AF35"/>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9898995B073C4FA894048A701714C7" ma:contentTypeVersion="3" ma:contentTypeDescription="新しいドキュメントを作成します。" ma:contentTypeScope="" ma:versionID="cee7b2a9ab64eedd062a3a8ff0707f2a">
  <xsd:schema xmlns:xsd="http://www.w3.org/2001/XMLSchema" xmlns:xs="http://www.w3.org/2001/XMLSchema" xmlns:p="http://schemas.microsoft.com/office/2006/metadata/properties" xmlns:ns2="252a2113-7387-42a6-94a4-fafa05d3626c" targetNamespace="http://schemas.microsoft.com/office/2006/metadata/properties" ma:root="true" ma:fieldsID="7b13f91cf4de35cd2c091b966dd73228" ns2:_="">
    <xsd:import namespace="252a2113-7387-42a6-94a4-fafa05d3626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a2113-7387-42a6-94a4-fafa05d362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00BCA2-FB21-4A91-B24F-8D8BD36C1509}">
  <ds:schemaRefs>
    <ds:schemaRef ds:uri="http://schemas.microsoft.com/sharepoint/v3/contenttype/forms"/>
  </ds:schemaRefs>
</ds:datastoreItem>
</file>

<file path=customXml/itemProps2.xml><?xml version="1.0" encoding="utf-8"?>
<ds:datastoreItem xmlns:ds="http://schemas.openxmlformats.org/officeDocument/2006/customXml" ds:itemID="{1A7493FB-A564-41CF-BCA7-EDF033F635D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E4517AC-6B33-4558-99ED-61CD297C99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a2113-7387-42a6-94a4-fafa05d36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7a81c19-a273-44e1-9693-b110b3b63ca9}" enabled="0" method="" siteId="{a7a81c19-a273-44e1-9693-b110b3b63ca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表紙 </vt:lpstr>
      <vt:lpstr>変更履歴</vt:lpstr>
      <vt:lpstr>00_リスト</vt:lpstr>
      <vt:lpstr>01_【開発環境接続（PowerBI接続）】フロー</vt:lpstr>
      <vt:lpstr>02_手順</vt:lpstr>
      <vt:lpstr>03_別紙_セキュリティキー</vt:lpstr>
      <vt:lpstr>'表紙 '!Print_Area</vt:lpstr>
    </vt:vector>
  </TitlesOfParts>
  <Manager/>
  <Company>Oracle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Keiichi Sakamoto</dc:creator>
  <cp:keywords/>
  <dc:description/>
  <cp:lastModifiedBy>欧　煒良</cp:lastModifiedBy>
  <cp:revision/>
  <dcterms:created xsi:type="dcterms:W3CDTF">2020-05-07T08:29:33Z</dcterms:created>
  <dcterms:modified xsi:type="dcterms:W3CDTF">2026-07-06T06:14:34Z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0x0101007E9898995B073C4FA894048A701714C7</vt:lpwstr>
  </property>
</Properties>
</file>