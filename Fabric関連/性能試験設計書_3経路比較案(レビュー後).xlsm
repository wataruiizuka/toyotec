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15.xml"/>
  <Override ContentType="application/vnd.openxmlformats-officedocument.spreadsheetml.table+xml" PartName="/xl/tables/table8.xml"/>
  <Override ContentType="application/vnd.openxmlformats-officedocument.spreadsheetml.table+xml" PartName="/xl/tables/table24.xml"/>
  <Override ContentType="application/vnd.openxmlformats-officedocument.spreadsheetml.table+xml" PartName="/xl/tables/table11.xml"/>
  <Override ContentType="application/vnd.openxmlformats-officedocument.spreadsheetml.table+xml" PartName="/xl/tables/table5.xml"/>
  <Override ContentType="application/vnd.openxmlformats-officedocument.spreadsheetml.table+xml" PartName="/xl/tables/table19.xml"/>
  <Override ContentType="application/vnd.openxmlformats-officedocument.spreadsheetml.table+xml" PartName="/xl/tables/table10.xml"/>
  <Override ContentType="application/vnd.openxmlformats-officedocument.spreadsheetml.table+xml" PartName="/xl/tables/table14.xml"/>
  <Override ContentType="application/vnd.openxmlformats-officedocument.spreadsheetml.table+xml" PartName="/xl/tables/table23.xml"/>
  <Override ContentType="application/vnd.openxmlformats-officedocument.spreadsheetml.table+xml" PartName="/xl/tables/table9.xml"/>
  <Override ContentType="application/vnd.openxmlformats-officedocument.spreadsheetml.table+xml" PartName="/xl/tables/table18.xml"/>
  <Override ContentType="application/vnd.openxmlformats-officedocument.spreadsheetml.table+xml" PartName="/xl/tables/table13.xml"/>
  <Override ContentType="application/vnd.openxmlformats-officedocument.spreadsheetml.table+xml" PartName="/xl/tables/table1.xml"/>
  <Override ContentType="application/vnd.openxmlformats-officedocument.spreadsheetml.table+xml" PartName="/xl/tables/table22.xml"/>
  <Override ContentType="application/vnd.openxmlformats-officedocument.spreadsheetml.table+xml" PartName="/xl/tables/table2.xml"/>
  <Override ContentType="application/vnd.openxmlformats-officedocument.spreadsheetml.table+xml" PartName="/xl/tables/table26.xml"/>
  <Override ContentType="application/vnd.openxmlformats-officedocument.spreadsheetml.table+xml" PartName="/xl/tables/table6.xml"/>
  <Override ContentType="application/vnd.openxmlformats-officedocument.spreadsheetml.table+xml" PartName="/xl/tables/table20.xml"/>
  <Override ContentType="application/vnd.openxmlformats-officedocument.spreadsheetml.table+xml" PartName="/xl/tables/table3.xml"/>
  <Override ContentType="application/vnd.openxmlformats-officedocument.spreadsheetml.table+xml" PartName="/xl/tables/table17.xml"/>
  <Override ContentType="application/vnd.openxmlformats-officedocument.spreadsheetml.table+xml" PartName="/xl/tables/table7.xml"/>
  <Override ContentType="application/vnd.openxmlformats-officedocument.spreadsheetml.table+xml" PartName="/xl/tables/table16.xml"/>
  <Override ContentType="application/vnd.openxmlformats-officedocument.spreadsheetml.table+xml" PartName="/xl/tables/table21.xml"/>
  <Override ContentType="application/vnd.openxmlformats-officedocument.spreadsheetml.table+xml" PartName="/xl/tables/table12.xml"/>
  <Override ContentType="application/vnd.openxmlformats-officedocument.spreadsheetml.table+xml" PartName="/xl/tables/table2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表紙" sheetId="1" r:id="rId4"/>
    <sheet state="visible" name="01_目的_対象範囲" sheetId="2" r:id="rId5"/>
    <sheet state="visible" name="02_前提_性能要件" sheetId="3" r:id="rId6"/>
    <sheet state="visible" name="03_方針_観点_比較" sheetId="4" r:id="rId7"/>
    <sheet state="visible" name="04_試験ケース" sheetId="5" r:id="rId8"/>
    <sheet state="visible" name="05_環境_データ_負荷" sheetId="6" r:id="rId9"/>
    <sheet state="visible" name="06_計測_判定_手順" sheetId="7" r:id="rId10"/>
    <sheet state="visible" name="07_障害_体制_予定" sheetId="8" r:id="rId11"/>
    <sheet state="visible" name="08_成果物_報告" sheetId="9" r:id="rId12"/>
    <sheet state="visible" name="要確認事項サマリ" sheetId="10" r:id="rId13"/>
    <sheet state="visible" name="レビュー概要" sheetId="11" r:id="rId14"/>
    <sheet state="visible" name="確認事項" sheetId="12" r:id="rId15"/>
    <sheet state="visible" name="実行条件" sheetId="13" r:id="rId16"/>
  </sheets>
  <definedNames/>
  <calcPr/>
  <extLst>
    <ext uri="GoogleSheetsCustomDataVersion2">
      <go:sheetsCustomData xmlns:go="http://customooxmlschemas.google.com/" r:id="rId17" roundtripDataChecksum="7N4O/04DufCQ1/T6PhV6SSKeJ06vBqrLzVQxI49cpGk="/>
    </ext>
  </extLst>
</workbook>
</file>

<file path=xl/sharedStrings.xml><?xml version="1.0" encoding="utf-8"?>
<sst xmlns="http://schemas.openxmlformats.org/spreadsheetml/2006/main" count="862" uniqueCount="641">
  <si>
    <t>性能試験設計書
Kudu / Iceberg / Fabric 経路別 BI性能比較</t>
  </si>
  <si>
    <t>本資料の位置づけ</t>
  </si>
  <si>
    <t>Fabricを実装する際の性能試験設計書（比較表）に関するたたき台。前提が未確定の項目は「要確認」または「想定」として記載。No4以降は未確定要素が多いため、チーム内検討が必要な参考内容。</t>
  </si>
  <si>
    <t>比較対象フロー</t>
  </si>
  <si>
    <t>No</t>
  </si>
  <si>
    <t>位置づけ</t>
  </si>
  <si>
    <t>確認したいこと</t>
  </si>
  <si>
    <t>現行：参照用DB（Kudu） → Gold（Iceberg） → BI</t>
  </si>
  <si>
    <t>現行基準値</t>
  </si>
  <si>
    <t>現行方式の基準性能を確認する</t>
  </si>
  <si>
    <t>現行：Bronze（Iceberg） → Gold（Iceberg） → BI</t>
  </si>
  <si>
    <t>現行Iceberg基準値</t>
  </si>
  <si>
    <t>Iceberg由来の現行Gold参照性能を確認する</t>
  </si>
  <si>
    <t>新規：Gold（Iceberg） → Fabric → BI</t>
  </si>
  <si>
    <t>新規方式</t>
  </si>
  <si>
    <t>Fabric利用時の速度・安定性・運用性を確認する</t>
  </si>
  <si>
    <t>設計書の読み方</t>
  </si>
  <si>
    <t>1</t>
  </si>
  <si>
    <t>まず、3経路でBI上の数値が一致するかを確認する。</t>
  </si>
  <si>
    <t>2</t>
  </si>
  <si>
    <t>その後、初回表示・フィルタ変更・重い集計を中心に性能を測定する。</t>
  </si>
  <si>
    <t>3</t>
  </si>
  <si>
    <t>測定は1回だけで判断せず、複数回実行して平均・最大・p95・ばらつきを確認する。</t>
  </si>
  <si>
    <t>4</t>
  </si>
  <si>
    <t>Fabric経由が遅い場合は、Capacity・接続方式・Shortcut経路・ファイル構成などを切り分ける。</t>
  </si>
  <si>
    <t>5</t>
  </si>
  <si>
    <t>最終判断では、速度だけでなく、安定性・運用性・コスト妥当性も含めて評価する。</t>
  </si>
  <si>
    <t>6</t>
  </si>
  <si>
    <t>未確定項目は「要確認」として、試験開始前にPM・基盤・BI・Fabric担当で認識合わせする。</t>
  </si>
  <si>
    <t>ファイル情報</t>
  </si>
  <si>
    <t>元ファイル</t>
  </si>
  <si>
    <t>性能試験設計書_3経路比較案.md</t>
  </si>
  <si>
    <t>作成日</t>
  </si>
  <si>
    <t>2026-06-23</t>
  </si>
  <si>
    <t>資料種別</t>
  </si>
  <si>
    <t>性能試験設計書（Excel化）</t>
  </si>
  <si>
    <t>1. 目的 / 2. 対象範囲</t>
  </si>
  <si>
    <t>1. 目的</t>
  </si>
  <si>
    <t>本性能試験では、BIで同一帳票・同一条件のデータを参照した場合に、以下3つのデータ参照経路でどの程度の性能差が出るかを比較する。</t>
  </si>
  <si>
    <t>本試験の主目的は、各経路におけるBI表示性能、クエリ応答時間、安定性、データ反映時間を実測し、現行方式とFabric経由方式の差分を定量的に把握することである。</t>
  </si>
  <si>
    <t>また、単純な表示速度だけでなく、運用負荷や今後の拡張性も含めて整理し、Fabric経由の有効性を判断するための材料を作成する。</t>
  </si>
  <si>
    <t>2. 対象範囲</t>
  </si>
  <si>
    <t>2.1 試験対象</t>
  </si>
  <si>
    <t>試験対象に含める内容</t>
  </si>
  <si>
    <t>主な確認ポイント</t>
  </si>
  <si>
    <t>Kuduを起点にGold Icebergを生成し、現行BIから参照する経路</t>
  </si>
  <si>
    <t>Gold生成とBI参照を分けて計測する</t>
  </si>
  <si>
    <t>Bronze Icebergを起点にGold Icebergを生成し、現行BIから参照する経路</t>
  </si>
  <si>
    <t>同一Gold IcebergをFabric経由でBIから参照する経路</t>
  </si>
  <si>
    <t>現行BI経路との非劣性、安定性、コストを確認する</t>
  </si>
  <si>
    <t>2.2 対象外</t>
  </si>
  <si>
    <t>項目</t>
  </si>
  <si>
    <t>対象外とする理由</t>
  </si>
  <si>
    <t>全帳票の網羅検証</t>
  </si>
  <si>
    <t>初期PoCでは対象帳票を絞った方が比較しやすいため</t>
  </si>
  <si>
    <t>Webアプリ全体の性能改善検証</t>
  </si>
  <si>
    <t>今回の主対象はBI参照経路の性能比較であるため</t>
  </si>
  <si>
    <t>本番移行可否の最終判断</t>
  </si>
  <si>
    <t>本試験は判断材料を作る位置づけであり、最終判断は別途必要なため</t>
  </si>
  <si>
    <t>セキュリティ設計の詳細化</t>
  </si>
  <si>
    <t>Fabric側の権限設計は重要だが、今回の性能試験とは分けて扱うため</t>
  </si>
  <si>
    <t>データモデル全体の再設計</t>
  </si>
  <si>
    <t>性能比較の条件が変わるため、初期試験では既存構造を基準にする</t>
  </si>
  <si>
    <t>3. 前提条件・制約 / 4. 性能要件</t>
  </si>
  <si>
    <t>3. 前提条件・制約</t>
  </si>
  <si>
    <t>3.1 現時点の前提</t>
  </si>
  <si>
    <t>内容</t>
  </si>
  <si>
    <t>Kuduの位置づけ</t>
  </si>
  <si>
    <t>直近・カレントデータを扱う現行基盤の一部として扱う</t>
  </si>
  <si>
    <t>Icebergの位置づけ</t>
  </si>
  <si>
    <t>履歴・トランザクションデータを扱う基盤として扱う</t>
  </si>
  <si>
    <t>Goldテーブルの位置づけ</t>
  </si>
  <si>
    <t>BI表示に利用しやすいように加工・集計済みのテーブルとして扱う</t>
  </si>
  <si>
    <t>Fabricの位置づけ</t>
  </si>
  <si>
    <t>Icebergデータを参照・加工・BI連携する新規経路として扱う</t>
  </si>
  <si>
    <t>BI帳票</t>
  </si>
  <si>
    <t>同一帳票を使って3経路を比較する想定</t>
  </si>
  <si>
    <t>測定方法</t>
  </si>
  <si>
    <t>体感ではなく、秒数・成功率・エラー有無などの数値で比較する</t>
  </si>
  <si>
    <t>3.2 要確認事項</t>
  </si>
  <si>
    <t>要確認事項</t>
  </si>
  <si>
    <t>確認理由</t>
  </si>
  <si>
    <t>試験対象とするBI帳票名</t>
  </si>
  <si>
    <t>帳票によってクエリ、データ量、表示速度が変わるため</t>
  </si>
  <si>
    <t>対象テーブル一覧</t>
  </si>
  <si>
    <t>3経路で同じ意味のデータを比較するため</t>
  </si>
  <si>
    <t>対象期間</t>
  </si>
  <si>
    <t>データ量を揃えるため</t>
  </si>
  <si>
    <t>各経路のデータ件数・容量</t>
  </si>
  <si>
    <t>性能結果の前提として必要なため</t>
  </si>
  <si>
    <t>BIの接続方式</t>
  </si>
  <si>
    <t>Import、DirectQuery、Direct Lakeなどで性能が変わるため(Direct Lakeが有力候補？)</t>
  </si>
  <si>
    <t>Fabricの接続方式</t>
  </si>
  <si>
    <t>Shortcut、Lakehouse、Warehouse、Direct Lakeなどの違いを明確にするため</t>
  </si>
  <si>
    <t>7</t>
  </si>
  <si>
    <t>Fabric Capacity</t>
  </si>
  <si>
    <t>Fabric側の性能は利用容量に依存するため</t>
  </si>
  <si>
    <t>8</t>
  </si>
  <si>
    <t>キャッシュ有無</t>
  </si>
  <si>
    <t>初回表示と2回目以降で速度が変わるため</t>
  </si>
  <si>
    <t>9</t>
  </si>
  <si>
    <t>同時利用者数</t>
  </si>
  <si>
    <t>単独利用と複数利用で性能が変わるため</t>
  </si>
  <si>
    <t>10</t>
  </si>
  <si>
    <t>合格基準</t>
  </si>
  <si>
    <t>何秒以内なら合格か、現時点では未定のため</t>
  </si>
  <si>
    <t>4. 性能要件</t>
  </si>
  <si>
    <t>現時点では具体的な合格基準が未確定のため、以下は設計時の評価観点案(おそらくベースの要件)として扱う。</t>
  </si>
  <si>
    <t>評価項目</t>
  </si>
  <si>
    <t>測定内容</t>
  </si>
  <si>
    <t>判定の考え方</t>
  </si>
  <si>
    <t>BI初回表示時間</t>
  </si>
  <si>
    <t>レポートを開いてから初回表示されるまでの時間</t>
  </si>
  <si>
    <t>3経路で比較し、現行比で改善または同等かを確認する</t>
  </si>
  <si>
    <t>フィルタ変更時間</t>
  </si>
  <si>
    <t>条件変更後に画面が再描画されるまでの時間</t>
  </si>
  <si>
    <t>利用者の操作感に影響するため重点的に測定する</t>
  </si>
  <si>
    <t>ページ切替時間</t>
  </si>
  <si>
    <t>BI内のページを切り替えた時の表示時間</t>
  </si>
  <si>
    <t>帳票利用時の体感速度として確認する</t>
  </si>
  <si>
    <t>クエリ応答時間</t>
  </si>
  <si>
    <t>BIから発行されるクエリの実行時間</t>
  </si>
  <si>
    <t>どの経路がボトルネックか切り分ける</t>
  </si>
  <si>
    <t>エラー率</t>
  </si>
  <si>
    <t>タイムアウト、クエリエラー、表示失敗の発生有無</t>
  </si>
  <si>
    <t>原則としてエラーなしを目標とする</t>
  </si>
  <si>
    <t>データ正確性</t>
  </si>
  <si>
    <t>各経路で表示される集計値の一致</t>
  </si>
  <si>
    <t>性能比較前に必ず一致確認する</t>
  </si>
  <si>
    <t>リソース使用量</t>
  </si>
  <si>
    <t>CPU、メモリ、I/O、Fabric Capacity使用率など</t>
  </si>
  <si>
    <t>性能差の原因分析に利用する</t>
  </si>
  <si>
    <t>データ反映時間</t>
  </si>
  <si>
    <t>元データ更新後、BIに反映されるまでの時間</t>
  </si>
  <si>
    <t>鮮度要件がある場合に測定する</t>
  </si>
  <si>
    <t>5. 試験方針 / 6. 試験観点 / 7. 比較観点表</t>
  </si>
  <si>
    <t>5. 試験方針</t>
  </si>
  <si>
    <t>今回の性能試験は、以下の方針で実施します。</t>
  </si>
  <si>
    <t>方針</t>
  </si>
  <si>
    <t>同一帳票で比較する</t>
  </si>
  <si>
    <t>帳票差による性能差を避けるため、同じBI帳票または同等条件の帳票で比較する</t>
  </si>
  <si>
    <t>同一条件で比較する</t>
  </si>
  <si>
    <t>対象期間、フィルタ条件、集計粒度、表示項目を揃える</t>
  </si>
  <si>
    <t>現行方式を基準にする</t>
  </si>
  <si>
    <t>Kudu経由、Iceberg経由の現行性能を基準値として取得する</t>
  </si>
  <si>
    <t>Fabric経由を新規方式として評価する</t>
  </si>
  <si>
    <t>Fabric導入時の速度・安定性・運用性を現行方式と比較する</t>
  </si>
  <si>
    <t>キャッシュ影響を分ける</t>
  </si>
  <si>
    <t>初回実行と2回目以降を分けて測定する</t>
  </si>
  <si>
    <t>複数回測定する</t>
  </si>
  <si>
    <t>1回だけの結果ではなく、複数回実行して平均・最大・p95などで見る</t>
  </si>
  <si>
    <t>数値一致を先に確認する</t>
  </si>
  <si>
    <t>性能を測る前に、3経路でBI上の数値が一致するか確認する</t>
  </si>
  <si>
    <t>6. 試験観点</t>
  </si>
  <si>
    <t>観点</t>
  </si>
  <si>
    <t>確認内容</t>
  </si>
  <si>
    <t>表示性能</t>
  </si>
  <si>
    <t>BI画面がどれくらい速く表示されるか</t>
  </si>
  <si>
    <t>操作性能</t>
  </si>
  <si>
    <t>フィルタ変更やページ切替がどれくらい速いか</t>
  </si>
  <si>
    <t>クエリ性能</t>
  </si>
  <si>
    <t>BIからデータ基盤へ問い合わせた時の応答時間</t>
  </si>
  <si>
    <t>安定性</t>
  </si>
  <si>
    <t>エラーやタイムアウトが発生しないか</t>
  </si>
  <si>
    <t>同時実行性</t>
  </si>
  <si>
    <t>複数ユーザーが同時に操作しても性能が大きく落ちないか</t>
  </si>
  <si>
    <t>3経路で同じ条件の集計結果が一致するか</t>
  </si>
  <si>
    <t>データ鮮度</t>
  </si>
  <si>
    <t>データ更新後、BIへ反映されるまでの時間に差があるか</t>
  </si>
  <si>
    <t>運用性</t>
  </si>
  <si>
    <t>Fabric経由にした場合、監視・障害対応・データ反映の運用が現実的か</t>
  </si>
  <si>
    <t>7. 比較観点表</t>
  </si>
  <si>
    <t>比較観点</t>
  </si>
  <si>
    <t>現行：Kudu → Gold Iceberg → BI</t>
  </si>
  <si>
    <t>現行：Bronze Iceberg → Gold Iceberg → BI</t>
  </si>
  <si>
    <t>新規：Gold Iceberg → Fabric → BI</t>
  </si>
  <si>
    <t>データ起点</t>
  </si>
  <si>
    <t>Kudu</t>
  </si>
  <si>
    <t>Iceberg</t>
  </si>
  <si>
    <t>起点データの違いによる性能差</t>
  </si>
  <si>
    <t>主なデータ用途</t>
  </si>
  <si>
    <t>直近・カレントデータ想定</t>
  </si>
  <si>
    <t>履歴・トランザクションデータ想定</t>
  </si>
  <si>
    <t>用途差が比較結果に影響しないか</t>
  </si>
  <si>
    <t>BI向け加工</t>
  </si>
  <si>
    <t>Gold Iceberg（BI参照時は共通入力）</t>
  </si>
  <si>
    <t>Gold Icebergを入力とし、Fabric内加工有無は試験前に固定</t>
  </si>
  <si>
    <t>Gold有無・加工場所の違いによる性能差</t>
  </si>
  <si>
    <t>BI接続方式</t>
  </si>
  <si>
    <t>要確認</t>
  </si>
  <si>
    <t>接続方式が性能に与える影響</t>
  </si>
  <si>
    <t>比較上の役割</t>
  </si>
  <si>
    <t>Fabric導入効果を測る</t>
  </si>
  <si>
    <t>想定メリット</t>
  </si>
  <si>
    <t>既存運用で実績がある</t>
  </si>
  <si>
    <t>履歴データをGold化して参照できる</t>
  </si>
  <si>
    <t>FabricによるBI連携・拡張性が期待できる</t>
  </si>
  <si>
    <t>速度・運用・拡張性の比較</t>
  </si>
  <si>
    <t>想定リスク</t>
  </si>
  <si>
    <t>Kudu依存、現行構成依存</t>
  </si>
  <si>
    <t>Gold作成処理の負荷・遅延</t>
  </si>
  <si>
    <t>Fabric Capacity、接続方式、権限設計の影響</t>
  </si>
  <si>
    <t>性能悪化要因の切り分け</t>
  </si>
  <si>
    <t>8. 試験シナリオ・ケース</t>
  </si>
  <si>
    <t>8.1 基本シナリオ</t>
  </si>
  <si>
    <t>ケースID</t>
  </si>
  <si>
    <t>試験ケース</t>
  </si>
  <si>
    <t>実施内容</t>
  </si>
  <si>
    <t>対象フロー</t>
  </si>
  <si>
    <t>測定項目</t>
  </si>
  <si>
    <t>TC-01</t>
  </si>
  <si>
    <t>BI初回表示</t>
  </si>
  <si>
    <t>対象帳票を初回表示する</t>
  </si>
  <si>
    <t>A: 現行Gold→BI / Gold→Fabric→BI</t>
  </si>
  <si>
    <t>初回表示時間、エラー有無</t>
  </si>
  <si>
    <t>TC-02</t>
  </si>
  <si>
    <t>BI再表示</t>
  </si>
  <si>
    <t>同一帳票を再度表示する</t>
  </si>
  <si>
    <t>再表示時間、キャッシュ影響</t>
  </si>
  <si>
    <t>TC-03</t>
  </si>
  <si>
    <t>フィルタ変更</t>
  </si>
  <si>
    <t>対象期間、店舗、商品などの条件を変更する</t>
  </si>
  <si>
    <t>再描画時間、クエリ時間</t>
  </si>
  <si>
    <t>TC-04</t>
  </si>
  <si>
    <t>ページ切替</t>
  </si>
  <si>
    <t>BI内の別ページへ切り替える</t>
  </si>
  <si>
    <t>TC-05</t>
  </si>
  <si>
    <t>重い集計処理</t>
  </si>
  <si>
    <t>明細に近い粒度、または集計負荷が高い表示を行う</t>
  </si>
  <si>
    <t>クエリ時間、タイムアウト有無</t>
  </si>
  <si>
    <t>TC-06</t>
  </si>
  <si>
    <t>同時実行</t>
  </si>
  <si>
    <t>複数ユーザーまたは複数セッションで同時に表示する</t>
  </si>
  <si>
    <t>応答時間、エラー率、リソース使用量</t>
  </si>
  <si>
    <t>TC-07</t>
  </si>
  <si>
    <t>データ反映</t>
  </si>
  <si>
    <t>元データ更新後にBIへ反映されるまでを確認する</t>
  </si>
  <si>
    <t>C: source commit→BI queryable</t>
  </si>
  <si>
    <t>反映時間、差分有無</t>
  </si>
  <si>
    <t>TC-08</t>
  </si>
  <si>
    <t>繰り返し実行</t>
  </si>
  <si>
    <t>同一操作を複数回実行する</t>
  </si>
  <si>
    <t>平均、最大、p95、ばらつき</t>
  </si>
  <si>
    <t>8.2 優先度</t>
  </si>
  <si>
    <t>優先度</t>
  </si>
  <si>
    <t>対象ケース</t>
  </si>
  <si>
    <t>理由</t>
  </si>
  <si>
    <t>高</t>
  </si>
  <si>
    <t>TC-01、TC-03、TC-05</t>
  </si>
  <si>
    <t>BI利用者の体感速度に直結するため</t>
  </si>
  <si>
    <t>中</t>
  </si>
  <si>
    <t>TC-02、TC-04、TC-08</t>
  </si>
  <si>
    <t>キャッシュ影響や安定性を見るため</t>
  </si>
  <si>
    <t>必要に応じて</t>
  </si>
  <si>
    <t>TC-06、TC-07</t>
  </si>
  <si>
    <t>同時利用者数や鮮度要件が明確になった場合に実施する</t>
  </si>
  <si>
    <t>9. 試験環境 / 10. 試験データ / 11. 負荷条件・パターン</t>
  </si>
  <si>
    <t>9. 試験環境</t>
  </si>
  <si>
    <t>9.1 環境情報として記録する項目</t>
  </si>
  <si>
    <t>分類</t>
  </si>
  <si>
    <t>記録項目</t>
  </si>
  <si>
    <t>Kudu環境</t>
  </si>
  <si>
    <t>クラスタ情報、対象テーブル、Gold作成処理、更新頻度</t>
  </si>
  <si>
    <t>Iceberg環境</t>
  </si>
  <si>
    <t>格納場所、対象テーブル、ファイル形式、更新頻度</t>
  </si>
  <si>
    <t>Goldテーブル環境</t>
  </si>
  <si>
    <t>作成処理、作成タイミング、件数、容量</t>
  </si>
  <si>
    <t>Fabric環境</t>
  </si>
  <si>
    <t>Workspace、Lakehouse、Warehouse、Shortcut、Capacity</t>
  </si>
  <si>
    <t>BI環境</t>
  </si>
  <si>
    <t>Power BIワークスペース、データセット、接続方式、レポート名</t>
  </si>
  <si>
    <t>ネットワーク</t>
  </si>
  <si>
    <t>各環境間の接続経路、制約、帯域に関する情報</t>
  </si>
  <si>
    <t>監視</t>
  </si>
  <si>
    <t>利用するログ、メトリクス、確認画面</t>
  </si>
  <si>
    <t>9.2 本番との差分</t>
  </si>
  <si>
    <t>記載内容</t>
  </si>
  <si>
    <t>データ量差分</t>
  </si>
  <si>
    <t>検証環境が本番相当か、縮小データか</t>
  </si>
  <si>
    <t>リソース差分</t>
  </si>
  <si>
    <t>CPU、メモリ、ストレージ、Fabric Capacityの違い</t>
  </si>
  <si>
    <t>同時利用差分</t>
  </si>
  <si>
    <t>本番想定の同時利用者数と検証時の差分</t>
  </si>
  <si>
    <t>ネットワーク差分</t>
  </si>
  <si>
    <t>本番と検証環境で接続経路が異なるか</t>
  </si>
  <si>
    <t>権限差分</t>
  </si>
  <si>
    <t>本番と同じ権限条件で試験できるか</t>
  </si>
  <si>
    <t>10. 試験データ</t>
  </si>
  <si>
    <t>10.1 試験データ条件</t>
  </si>
  <si>
    <t>対象帳票</t>
  </si>
  <si>
    <t>対象テーブル</t>
  </si>
  <si>
    <t>データ粒度</t>
  </si>
  <si>
    <t>明細、日次、月次、店舗別、商品別など。要確認</t>
  </si>
  <si>
    <t>データ件数</t>
  </si>
  <si>
    <t>3経路それぞれで記録する</t>
  </si>
  <si>
    <t>データ容量</t>
  </si>
  <si>
    <t>データ更新日時</t>
  </si>
  <si>
    <t>比較時点で同じ更新状態か確認する</t>
  </si>
  <si>
    <t>集計条件</t>
  </si>
  <si>
    <t>BI表示条件、フィルタ条件、集計ロジックを統一する</t>
  </si>
  <si>
    <t>10.2 データ正確性確認</t>
  </si>
  <si>
    <t>確認項目</t>
  </si>
  <si>
    <t>件数</t>
  </si>
  <si>
    <t>3経路で対象件数が一致、または差分理由が説明できること</t>
  </si>
  <si>
    <t>期間</t>
  </si>
  <si>
    <t>最小日付・最大日付が一致、または差分理由が説明できること</t>
  </si>
  <si>
    <t>集計値</t>
  </si>
  <si>
    <t>売上、件数、ユーザー数など主要指標が一致すること</t>
  </si>
  <si>
    <t>NULL</t>
  </si>
  <si>
    <t>主要カラムのNULL件数に想定外の差がないこと</t>
  </si>
  <si>
    <t>重複</t>
  </si>
  <si>
    <t>主キーまたはJOINキーの重複状況に想定外の差がないこと</t>
  </si>
  <si>
    <t>11. 負荷条件・パターン</t>
  </si>
  <si>
    <t>パターン</t>
  </si>
  <si>
    <t>実施目的</t>
  </si>
  <si>
    <t>単独実行</t>
  </si>
  <si>
    <t>1ユーザーまたは1セッションで操作</t>
  </si>
  <si>
    <t>基本性能を確認する</t>
  </si>
  <si>
    <t>連続実行</t>
  </si>
  <si>
    <t>同じ操作を複数回繰り返す</t>
  </si>
  <si>
    <t>キャッシュ影響とばらつきを確認する</t>
  </si>
  <si>
    <t>複数ユーザーで同時に操作</t>
  </si>
  <si>
    <t>ピーク時の劣化を確認する</t>
  </si>
  <si>
    <t>高負荷クエリ</t>
  </si>
  <si>
    <t>重い集計や広い期間を指定する</t>
  </si>
  <si>
    <t>ボトルネックを確認する</t>
  </si>
  <si>
    <t>データ更新後実行</t>
  </si>
  <si>
    <t>データ更新後にBIを表示する</t>
  </si>
  <si>
    <t>反映遅延と整合性を確認する</t>
  </si>
  <si>
    <t>同時実行数の設定案</t>
  </si>
  <si>
    <t>現時点では同時利用者数が未確定のため、以下は想定案です。</t>
  </si>
  <si>
    <t>レベル</t>
  </si>
  <si>
    <t>同時実行数</t>
  </si>
  <si>
    <t>小</t>
  </si>
  <si>
    <t>基本性能確認</t>
  </si>
  <si>
    <t>少人数利用想定</t>
  </si>
  <si>
    <t>大</t>
  </si>
  <si>
    <t>10以上</t>
  </si>
  <si>
    <t>ピーク利用想定。実施可否は環境負荷を確認して判断</t>
  </si>
  <si>
    <t>12. 計測項目・判定基準 / 13. 実施手順</t>
  </si>
  <si>
    <t>12. 計測項目・判定基準</t>
  </si>
  <si>
    <t>12.1 計測項目</t>
  </si>
  <si>
    <t>計測項目</t>
  </si>
  <si>
    <t>取得元の例</t>
  </si>
  <si>
    <t>BI表示</t>
  </si>
  <si>
    <t>初回表示時間、再表示時間、ページ切替時間</t>
  </si>
  <si>
    <t>Power BI Performance Analyzerなど</t>
  </si>
  <si>
    <t>BI操作</t>
  </si>
  <si>
    <t>フィルタ変更後の再描画時間</t>
  </si>
  <si>
    <t>Power BI、ブラウザ計測</t>
  </si>
  <si>
    <t>クエリ</t>
  </si>
  <si>
    <t>SQL実行時間、スキャン量、待機時間</t>
  </si>
  <si>
    <t>Clouderaログ、Fabricログ</t>
  </si>
  <si>
    <t>Fabric</t>
  </si>
  <si>
    <t>Capacity使用率、スロットリング有無、処理時間</t>
  </si>
  <si>
    <t>Fabric Capacity Metricsなど</t>
  </si>
  <si>
    <t>Gold作成</t>
  </si>
  <si>
    <t>Goldテーブル作成時間、更新時間</t>
  </si>
  <si>
    <t>ジョブログ</t>
  </si>
  <si>
    <t>エラー件数、タイムアウト件数</t>
  </si>
  <si>
    <t>BIログ、基盤ログ</t>
  </si>
  <si>
    <t>正確性</t>
  </si>
  <si>
    <t>件数、主要集計値の一致</t>
  </si>
  <si>
    <t>SQL確認結果</t>
  </si>
  <si>
    <t>鮮度</t>
  </si>
  <si>
    <t>データ更新からBI反映までの時間</t>
  </si>
  <si>
    <t>更新ログ、BI確認結果</t>
  </si>
  <si>
    <t>12.2 判定基準案</t>
  </si>
  <si>
    <t>判定基準案</t>
  </si>
  <si>
    <t>主要指標が3経路で一致すること。差分がある場合は理由を説明できること</t>
  </si>
  <si>
    <t>Fabric経由が現行方式に対して改善、または同等であること。劣化する場合は原因と改善案を整理すること</t>
  </si>
  <si>
    <t>試験中にタイムアウトや表示失敗が発生しないこと</t>
  </si>
  <si>
    <t>同時実行時に極端な劣化やエラーが発生しないこと</t>
  </si>
  <si>
    <t>Fabric経由にした場合の監視・再実行・障害切り分けが現実的であること</t>
  </si>
  <si>
    <t>コスト妥当性</t>
  </si>
  <si>
    <t>Fabric Capacityやストレージ増加が効果に見合うか判断できること</t>
  </si>
  <si>
    <t>13. 実施手順</t>
  </si>
  <si>
    <t>手順</t>
  </si>
  <si>
    <t>作業内容</t>
  </si>
  <si>
    <t>補足</t>
  </si>
  <si>
    <t>対象帳票を決定する</t>
  </si>
  <si>
    <t>まずは1帳票に絞る</t>
  </si>
  <si>
    <t>対象テーブルとSQLを整理する</t>
  </si>
  <si>
    <t>3経路で同じ意味のデータを参照できるか確認する</t>
  </si>
  <si>
    <t>データ件数・期間・主要指標を確認する</t>
  </si>
  <si>
    <t>性能測定前に数値一致を確認する</t>
  </si>
  <si>
    <t>BIレポートの表示条件を固定する</t>
  </si>
  <si>
    <t>フィルタ、ページ、表示項目を固定する</t>
  </si>
  <si>
    <t>測定条件を決める</t>
  </si>
  <si>
    <t>キャッシュ有無、実行回数、同時実行数を決める</t>
  </si>
  <si>
    <t>現行Kudu経由を測定する</t>
  </si>
  <si>
    <t>基準値として記録する</t>
  </si>
  <si>
    <t>現行Iceberg経由を測定する</t>
  </si>
  <si>
    <t>既存Iceberg経路の基準値として記録する</t>
  </si>
  <si>
    <t>新規Fabric経由を測定する</t>
  </si>
  <si>
    <t>Fabricの効果を確認する</t>
  </si>
  <si>
    <t>結果を比較表に整理する</t>
  </si>
  <si>
    <t>平均、最大、p95、エラー有無を記録する</t>
  </si>
  <si>
    <t>差分理由と改善案を整理する</t>
  </si>
  <si>
    <t>ボトルネック候補を明記する</t>
  </si>
  <si>
    <t>11</t>
  </si>
  <si>
    <t>報告用に要点をまとめる</t>
  </si>
  <si>
    <t>採用判断に必要な情報だけに絞る</t>
  </si>
  <si>
    <t>14. 障害時の対応方針 / 15. 体制・役割分担 / 16. スケジュール案</t>
  </si>
  <si>
    <t>14. 障害時の対応方針</t>
  </si>
  <si>
    <t>事象</t>
  </si>
  <si>
    <t>対応方針</t>
  </si>
  <si>
    <t>BIが表示されない</t>
  </si>
  <si>
    <t>接続方式、権限、データセット、Gateway有無を確認する</t>
  </si>
  <si>
    <t>クエリがタイムアウトする</t>
  </si>
  <si>
    <t>対象期間、スキャン量、SQL、リソース使用量を確認する</t>
  </si>
  <si>
    <t>3経路で数値が合わない</t>
  </si>
  <si>
    <t>対象期間、フィルタ条件、集計ロジック、更新日時を確認する</t>
  </si>
  <si>
    <t>Fabric側が遅い</t>
  </si>
  <si>
    <t>Capacity使用率、スロットリング、Shortcut経路、ファイル構成を確認する</t>
  </si>
  <si>
    <t>現行側が遅い</t>
  </si>
  <si>
    <t>Gold作成処理、既存クエリ、Cloudera側リソースを確認する</t>
  </si>
  <si>
    <t>試験中に環境負荷が高騰する</t>
  </si>
  <si>
    <t>試験を一時停止し、ログ取得後に再実施条件を見直す</t>
  </si>
  <si>
    <t>15. 体制・役割分担</t>
  </si>
  <si>
    <t>役割</t>
  </si>
  <si>
    <t>担当内容</t>
  </si>
  <si>
    <t>PM</t>
  </si>
  <si>
    <t>試験目的、対象帳票、判定基準の承認</t>
  </si>
  <si>
    <t>データ基盤担当</t>
  </si>
  <si>
    <t>Kudu、Iceberg、Goldテーブル、SQL、ログ確認</t>
  </si>
  <si>
    <t>Fabric担当</t>
  </si>
  <si>
    <t>Fabric接続、Lakehouse/Warehouse/Shortcut、Capacity確認</t>
  </si>
  <si>
    <t>BI担当</t>
  </si>
  <si>
    <t>Power BIレポート、接続方式、表示時間計測</t>
  </si>
  <si>
    <t>業務担当</t>
  </si>
  <si>
    <t>帳票の正しさ、主要指標、利用条件の確認</t>
  </si>
  <si>
    <t>試験実施者</t>
  </si>
  <si>
    <t>手順に沿った実行、結果記録、差分整理</t>
  </si>
  <si>
    <t>16. スケジュール案</t>
  </si>
  <si>
    <t>フェーズ</t>
  </si>
  <si>
    <t>成果物</t>
  </si>
  <si>
    <t>1. 設計</t>
  </si>
  <si>
    <t>対象帳票、対象テーブル、測定条件を決める</t>
  </si>
  <si>
    <t>性能試験設計書</t>
  </si>
  <si>
    <t>2. 環境準備</t>
  </si>
  <si>
    <t>3経路の接続確認、BI表示準備</t>
  </si>
  <si>
    <t>接続確認結果</t>
  </si>
  <si>
    <t>3. データ確認</t>
  </si>
  <si>
    <t>件数、期間、主要指標の一致確認</t>
  </si>
  <si>
    <t>データ確認結果</t>
  </si>
  <si>
    <t>4. 性能測定</t>
  </si>
  <si>
    <t>各ケースを実行し、測定値を取得</t>
  </si>
  <si>
    <t>性能測定結果</t>
  </si>
  <si>
    <t>5. 比較分析</t>
  </si>
  <si>
    <t>3経路の差分と原因を整理</t>
  </si>
  <si>
    <t>比較表、課題一覧</t>
  </si>
  <si>
    <t>6. 報告</t>
  </si>
  <si>
    <t>関係者向けに要点を整理</t>
  </si>
  <si>
    <t>報告資料用テキスト</t>
  </si>
  <si>
    <t>17. 成果物・報告方法</t>
  </si>
  <si>
    <t>17.1 成果物</t>
  </si>
  <si>
    <t>本資料。目的、対象範囲、試験ケース、測定項目を整理</t>
  </si>
  <si>
    <t>3経路で使用するテーブル、件数、容量、更新日時</t>
  </si>
  <si>
    <t>データ正確性確認結果</t>
  </si>
  <si>
    <t>性能測定結果一覧</t>
  </si>
  <si>
    <t>ケース別、経路別の測定値</t>
  </si>
  <si>
    <t>比較表</t>
  </si>
  <si>
    <t>3経路の性能差、安定性、運用性の比較</t>
  </si>
  <si>
    <t>課題・リスク一覧</t>
  </si>
  <si>
    <t>性能劣化、データ差分、運用上の懸念</t>
  </si>
  <si>
    <t>報告用サマリ</t>
  </si>
  <si>
    <t>採用判断に必要な要点を簡潔に整理</t>
  </si>
  <si>
    <t>17.2 報告フォーマット案</t>
  </si>
  <si>
    <t>試験対象</t>
  </si>
  <si>
    <t>どの帳票・どの期間・どのデータを使ったか</t>
  </si>
  <si>
    <t>比較対象</t>
  </si>
  <si>
    <t>Kudu経由、Iceberg経由、Fabric経由</t>
  </si>
  <si>
    <t>結果概要</t>
  </si>
  <si>
    <t>どの経路が最も速いか、安定しているか</t>
  </si>
  <si>
    <t>数値結果</t>
  </si>
  <si>
    <t>初回表示、フィルタ変更、クエリ時間、エラー有無</t>
  </si>
  <si>
    <t>差分理由</t>
  </si>
  <si>
    <t>遅い・速い理由として考えられる要因</t>
  </si>
  <si>
    <t>課題</t>
  </si>
  <si>
    <t>本番化前に確認すべき点</t>
  </si>
  <si>
    <t>判断材料</t>
  </si>
  <si>
    <t>Fabric経由を継続検討すべきか、追加検証が必要か</t>
  </si>
  <si>
    <t>要確認事項サマリ</t>
  </si>
  <si>
    <t>ステータス</t>
  </si>
  <si>
    <t>担当</t>
  </si>
  <si>
    <t>確認結果メモ</t>
  </si>
  <si>
    <t>未確認</t>
  </si>
  <si>
    <t>レビュー概要</t>
  </si>
  <si>
    <t>結論：試験実施前の要修正あり。BI参照性能、Gold生成パイプライン、E2E鮮度を分割して設計する。</t>
  </si>
  <si>
    <t>ID</t>
  </si>
  <si>
    <t>重大度</t>
  </si>
  <si>
    <t>指摘</t>
  </si>
  <si>
    <t>影響</t>
  </si>
  <si>
    <t>修正案</t>
  </si>
  <si>
    <t>主担当</t>
  </si>
  <si>
    <t>F-01</t>
  </si>
  <si>
    <t>P1</t>
  </si>
  <si>
    <t>BI参照性能とGold生成性能が混在</t>
  </si>
  <si>
    <t>Kudu/Bronzeの差とFabric経由差を分離できない</t>
  </si>
  <si>
    <t>A: BI参照、B: Gold生成、C: E2E鮮度に分割</t>
  </si>
  <si>
    <t>PM / Data / BI</t>
  </si>
  <si>
    <t>未対応</t>
  </si>
  <si>
    <t>F-02</t>
  </si>
  <si>
    <t>合格基準が定量化されていない</t>
  </si>
  <si>
    <t>結果後に判定が変わる</t>
  </si>
  <si>
    <t>p95/p99、許容劣化率、エラー率、鮮度SLA、コスト上限を事前承認</t>
  </si>
  <si>
    <t>PM / 業務</t>
  </si>
  <si>
    <t>F-03</t>
  </si>
  <si>
    <t>負荷・統計設計が不足</t>
  </si>
  <si>
    <t>p95の信頼性と再現性がない</t>
  </si>
  <si>
    <t>実行回数、ランプ、定常負荷時間、シンクタイムを固定</t>
  </si>
  <si>
    <t>QA / BI</t>
  </si>
  <si>
    <t>F-04</t>
  </si>
  <si>
    <t>E2E分解計測の相関キーがない</t>
  </si>
  <si>
    <t>BI/render/queue/engine/storageを切り分けられない</t>
  </si>
  <si>
    <t>run_id/test_case_id/query_idと各レイヤ時刻を記録</t>
  </si>
  <si>
    <t>Platform / BI / Fabric</t>
  </si>
  <si>
    <t>F-05</t>
  </si>
  <si>
    <t>Iceberg物理特性が不足</t>
  </si>
  <si>
    <t>ファイル構成差が性能差に混入</t>
  </si>
  <si>
    <t>snapshot、data/delete/manifest file数、サイズ、partition、sort、compactionを記録</t>
  </si>
  <si>
    <t>Data Engineer</t>
  </si>
  <si>
    <t>F-06</t>
  </si>
  <si>
    <t>Cold/Warmキャッシュ手順が不足</t>
  </si>
  <si>
    <t>キャッシュ層が混在し比較できない</t>
  </si>
  <si>
    <t>層別の無効化/暖機手順と制御不可条件を記録</t>
  </si>
  <si>
    <t>QA / Platform</t>
  </si>
  <si>
    <t>F-07</t>
  </si>
  <si>
    <t>P2</t>
  </si>
  <si>
    <t>データ一致の開始ゲートが緩い</t>
  </si>
  <si>
    <t>入力が異なる性能値を比較する</t>
  </si>
  <si>
    <t>snapshot、行数、一意性、NULL、checksum/集計の一致を必須化</t>
  </si>
  <si>
    <t>Data / 業務</t>
  </si>
  <si>
    <t>F-08</t>
  </si>
  <si>
    <t>鮮度の開始/終了イベントが不明</t>
  </si>
  <si>
    <t>遅延レイヤを特定できない</t>
  </si>
  <si>
    <t>source/Gold/Fabric/semantic model/BI queryableのwatermarkを記録</t>
  </si>
  <si>
    <t>Data / BI</t>
  </si>
  <si>
    <t>F-09</t>
  </si>
  <si>
    <t>更新中・他負荷下の試験がない</t>
  </si>
  <si>
    <t>共有Capacity/クラスタの本番劣化を見逃す</t>
  </si>
  <si>
    <t>静止時と定常更新中のSustain試験を分離</t>
  </si>
  <si>
    <t>Platform / SRE</t>
  </si>
  <si>
    <t>F-10</t>
  </si>
  <si>
    <t>本番相当RLS/権限条件がない</t>
  </si>
  <si>
    <t>本番より過大評価する</t>
  </si>
  <si>
    <t>本番相当ロール・RLS/OLSを試験条件に含める</t>
  </si>
  <si>
    <t>Security / BI</t>
  </si>
  <si>
    <t>F-11</t>
  </si>
  <si>
    <t>コスト比較の分母がない</t>
  </si>
  <si>
    <t>費用対効果を判定できない</t>
  </si>
  <si>
    <t>1,000クエリ、1ユーザー月等の共通単位で比較</t>
  </si>
  <si>
    <t>PM / Platform</t>
  </si>
  <si>
    <t>推奨する試験分割</t>
  </si>
  <si>
    <t>試験系</t>
  </si>
  <si>
    <t>主指標</t>
  </si>
  <si>
    <t>A. BI参照性能</t>
  </si>
  <si>
    <t>Gold Iceberg → 現行BI / Gold Iceberg → Fabric → BI</t>
  </si>
  <si>
    <t>E2E p95/p99、queue、engine、render、scan、エラー率、コスト</t>
  </si>
  <si>
    <t>B. Gold生成</t>
  </si>
  <si>
    <t>Kudu → Gold Iceberg / Bronze Iceberg → Gold Iceberg</t>
  </si>
  <si>
    <t>処理時間、rows/sec、scan/write、差分更新、再実行、品質照合</t>
  </si>
  <si>
    <t>C. E2E鮮度</t>
  </si>
  <si>
    <t>source commit → BI queryable</t>
  </si>
  <si>
    <t>全体p95とsource/Gold/Fabric/semantic modelのレイヤ別遅延</t>
  </si>
  <si>
    <t>追加の確認事項</t>
  </si>
  <si>
    <t>試験開始前に「必須」を全件確定する。仮値を使う場合は、本番適合性が未検証であることを結果に残す。</t>
  </si>
  <si>
    <t>確認事項</t>
  </si>
  <si>
    <t>決定/証跡</t>
  </si>
  <si>
    <t>必須度</t>
  </si>
  <si>
    <t>スコープ</t>
  </si>
  <si>
    <t>A/B/CのどれをMVPに含めるか</t>
  </si>
  <si>
    <t>必須</t>
  </si>
  <si>
    <t>経路</t>
  </si>
  <si>
    <t>Fabric内で再加工するか、Goldを直接使うか</t>
  </si>
  <si>
    <t>Fabric / Data</t>
  </si>
  <si>
    <t>入力</t>
  </si>
  <si>
    <t>同一Gold snapshotを両BI経路が参照できるか</t>
  </si>
  <si>
    <t>ワークロード</t>
  </si>
  <si>
    <t>代表帳票、SQL/DAX、フィルタ、期待行数は何か</t>
  </si>
  <si>
    <t>業務 / BI</t>
  </si>
  <si>
    <t>SLO</t>
  </si>
  <si>
    <t>Warm/Cold/同時実行のp95/p99上限は何msか</t>
  </si>
  <si>
    <t>非劣性</t>
  </si>
  <si>
    <t>現行比の許容劣化率は何%か</t>
  </si>
  <si>
    <t>負荷</t>
  </si>
  <si>
    <t>ピーク同時数、到着率、シンクタイム、ワークロード比率は何か</t>
  </si>
  <si>
    <t>キャッシュ</t>
  </si>
  <si>
    <t>BI/semantic model/engine/storage各層の無効化・暖機手順は何か</t>
  </si>
  <si>
    <t>snapshot ID、file数/サイズ、partition、sort、delete file、compaction履歴は何か</t>
  </si>
  <si>
    <t>Data</t>
  </si>
  <si>
    <t>観測</t>
  </si>
  <si>
    <t>run/query/test_case IDでBIからstorageまで相関できるか</t>
  </si>
  <si>
    <t>Platform / BI</t>
  </si>
  <si>
    <t>時刻</t>
  </si>
  <si>
    <t>全レイヤの時刻同期とタイムゾーンは統一されているか</t>
  </si>
  <si>
    <t>Platform</t>
  </si>
  <si>
    <t>品質</t>
  </si>
  <si>
    <t>行数、一意性、NULL、checksum、重要集計の許容差は何か</t>
  </si>
  <si>
    <t>source commitからBI queryableまでのSLAと各watermarkは何か</t>
  </si>
  <si>
    <t>条件付き</t>
  </si>
  <si>
    <t>権限</t>
  </si>
  <si>
    <t>本番相当ロールとRLS/OLSで実施できるか</t>
  </si>
  <si>
    <t>コスト</t>
  </si>
  <si>
    <t>月間上限と1,000クエリあたりの許容コストはいくらか</t>
  </si>
  <si>
    <t>性能試験 実行条件・開始ゲート</t>
  </si>
  <si>
    <t>区分</t>
  </si>
  <si>
    <t>設定/証跡</t>
  </si>
  <si>
    <t>承認者</t>
  </si>
  <si>
    <t>備考</t>
  </si>
  <si>
    <t>試験範囲</t>
  </si>
  <si>
    <t>A/B/CのMVP対象</t>
  </si>
  <si>
    <t>帳票・SQL/DAX・フィルタ・期待行数</t>
  </si>
  <si>
    <t>版本/hashを保存</t>
  </si>
  <si>
    <t>データ</t>
  </si>
  <si>
    <t>dataset snapshot / as-of時点</t>
  </si>
  <si>
    <t>全経路で固定</t>
  </si>
  <si>
    <t>行数・一意性・NULL・checksum・集計差</t>
  </si>
  <si>
    <t>開始ゲート</t>
  </si>
  <si>
    <t>Capacity / Workspace / Lakehouse / Warehouse / Shortcut / 接続方式</t>
  </si>
  <si>
    <t>試験中は固定</t>
  </si>
  <si>
    <t>snapshot / files / partition / sort / delete files / compaction</t>
  </si>
  <si>
    <t>実行ごとに保存</t>
  </si>
  <si>
    <t>Cold/Warmの無効化・暖機手順</t>
  </si>
  <si>
    <t>制御不可層も記録</t>
  </si>
  <si>
    <t>同時数・到着率・シンクタイム・ランプ・定常時間</t>
  </si>
  <si>
    <t>本番ログ優先</t>
  </si>
  <si>
    <t>セキュリティ</t>
  </si>
  <si>
    <t>本番相当ロール・RLS/OLS</t>
  </si>
  <si>
    <t>本番生データは無加工利用しない</t>
  </si>
  <si>
    <t>run_id/test_case_id/query_id・時刻同期・各レイヤログ</t>
  </si>
  <si>
    <t>スモークテスト必須</t>
  </si>
  <si>
    <t>p95/p99・許容劣化率・エラー率・鮮度・コスト</t>
  </si>
  <si>
    <t>絶対SLO+現行比で判定</t>
  </si>
  <si>
    <t>開始判定</t>
  </si>
  <si>
    <t>開始条件</t>
  </si>
  <si>
    <t>判定</t>
  </si>
  <si>
    <t>必須行のステータスがすべて「確定済」または「スモークOK」</t>
  </si>
  <si>
    <t>データ品質ゲート通過</t>
  </si>
  <si>
    <t>相関ID・ログ取得のスモークテスト通過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</si>
</sst>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9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2.0"/>
      <color rgb="FF0F172A"/>
      <name val="Carlito"/>
    </font>
    <font>
      <sz val="10.0"/>
      <color rgb="FF7C2D12"/>
      <name val="Carlito"/>
    </font>
    <font>
      <b/>
      <sz val="10.0"/>
      <color rgb="FFFFFFFF"/>
      <name val="Carlito"/>
    </font>
    <font>
      <sz val="10.0"/>
      <color rgb="FF0F172A"/>
      <name val="Carlito"/>
    </font>
    <font>
      <b/>
      <sz val="11.0"/>
      <color theme="1"/>
      <name val="Carlito"/>
    </font>
    <font>
      <b/>
      <sz val="14.0"/>
      <color rgb="FFFFFFFF"/>
      <name val="Carlito"/>
    </font>
    <font>
      <b/>
      <sz val="11.0"/>
      <color rgb="FF334155"/>
      <name val="Carlito"/>
    </font>
    <font>
      <b/>
      <sz val="11.0"/>
      <color rgb="FF0F172A"/>
      <name val="Carlito"/>
    </font>
    <font>
      <b/>
      <sz val="10.0"/>
      <color rgb="FF1F1F1F"/>
      <name val="Carlito"/>
    </font>
    <font>
      <b/>
      <sz val="16.0"/>
      <color rgb="FFFFFFFF"/>
      <name val="Arial"/>
    </font>
    <font>
      <b/>
      <sz val="11.0"/>
      <color rgb="FF9C0006"/>
      <name val="Aptos"/>
    </font>
    <font>
      <sz val="11.0"/>
      <color theme="1"/>
      <name val="Aptos"/>
    </font>
    <font>
      <b/>
      <sz val="11.0"/>
      <color rgb="FFFFFFFF"/>
      <name val="Aptos"/>
    </font>
    <font>
      <b/>
      <sz val="11.0"/>
      <color rgb="FF1F4E78"/>
      <name val="Aptos"/>
    </font>
    <font>
      <b/>
      <sz val="11.0"/>
      <color rgb="FFFFFFFF"/>
      <name val="Carlito"/>
    </font>
    <font>
      <sz val="11.0"/>
      <color theme="1"/>
      <name val="Carlito"/>
    </font>
    <font>
      <b/>
      <sz val="11.0"/>
      <color rgb="FF1F4E78"/>
      <name val="Carlito"/>
    </font>
  </fonts>
  <fills count="14">
    <fill>
      <patternFill patternType="none"/>
    </fill>
    <fill>
      <patternFill patternType="lightGray"/>
    </fill>
    <fill>
      <patternFill patternType="solid">
        <fgColor rgb="FF0F5B78"/>
        <bgColor rgb="FF0F5B78"/>
      </patternFill>
    </fill>
    <fill>
      <patternFill patternType="solid">
        <fgColor rgb="FFE0F2FE"/>
        <bgColor rgb="FFE0F2FE"/>
      </patternFill>
    </fill>
    <fill>
      <patternFill patternType="solid">
        <fgColor rgb="FFFFF7ED"/>
        <bgColor rgb="FFFFF7ED"/>
      </patternFill>
    </fill>
    <fill>
      <patternFill patternType="solid">
        <fgColor rgb="FF0B5CAD"/>
        <bgColor rgb="FF0B5CAD"/>
      </patternFill>
    </fill>
    <fill>
      <patternFill patternType="solid">
        <fgColor rgb="FFFFF2CC"/>
        <bgColor rgb="FFFFF2CC"/>
      </patternFill>
    </fill>
    <fill>
      <patternFill patternType="solid">
        <fgColor rgb="FFF1F5F9"/>
        <bgColor rgb="FFF1F5F9"/>
      </patternFill>
    </fill>
    <fill>
      <patternFill patternType="solid">
        <fgColor rgb="FFF0F9FF"/>
        <bgColor rgb="FFF0F9FF"/>
      </patternFill>
    </fill>
    <fill>
      <patternFill patternType="solid">
        <fgColor rgb="FF0F6178"/>
        <bgColor rgb="FF0F6178"/>
      </patternFill>
    </fill>
    <fill>
      <patternFill patternType="solid">
        <fgColor rgb="FFFCE4D6"/>
        <bgColor rgb="FFFCE4D6"/>
      </patternFill>
    </fill>
    <fill>
      <patternFill patternType="solid">
        <fgColor rgb="FF0F67B1"/>
        <bgColor rgb="FF0F67B1"/>
      </patternFill>
    </fill>
    <fill>
      <patternFill patternType="solid">
        <fgColor rgb="FFFFFFFF"/>
        <bgColor rgb="FFFFFFFF"/>
      </patternFill>
    </fill>
    <fill>
      <patternFill patternType="solid">
        <fgColor rgb="FFDCEFF8"/>
        <bgColor rgb="FFDCEFF8"/>
      </patternFill>
    </fill>
  </fills>
  <borders count="2">
    <border/>
    <border>
      <left style="thin">
        <color rgb="FF8ECBE6"/>
      </left>
      <right style="thin">
        <color rgb="FF8ECBE6"/>
      </right>
      <top style="thin">
        <color rgb="FF8ECBE6"/>
      </top>
      <bottom style="thin">
        <color rgb="FF8ECBE6"/>
      </bottom>
    </border>
  </borders>
  <cellStyleXfs count="1">
    <xf borderId="0" fillId="0" fontId="0" numFmtId="0" applyAlignment="1" applyFont="1"/>
  </cellStyleXfs>
  <cellXfs count="3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shrinkToFit="0" vertical="center" wrapText="1"/>
    </xf>
    <xf borderId="0" fillId="3" fontId="2" numFmtId="0" xfId="0" applyAlignment="1" applyFill="1" applyFont="1">
      <alignment horizontal="left" shrinkToFit="0" vertical="center" wrapText="1"/>
    </xf>
    <xf borderId="0" fillId="4" fontId="3" numFmtId="0" xfId="0" applyAlignment="1" applyFill="1" applyFont="1">
      <alignment shrinkToFit="0" vertical="top" wrapText="1"/>
    </xf>
    <xf borderId="0" fillId="5" fontId="4" numFmtId="0" xfId="0" applyAlignment="1" applyFill="1" applyFont="1">
      <alignment horizontal="center" shrinkToFit="0" vertical="center" wrapText="1"/>
    </xf>
    <xf borderId="0" fillId="0" fontId="5" numFmtId="0" xfId="0" applyAlignment="1" applyFont="1">
      <alignment shrinkToFit="0" vertical="top" wrapText="1"/>
    </xf>
    <xf borderId="0" fillId="6" fontId="5" numFmtId="0" xfId="0" applyAlignment="1" applyFill="1" applyFont="1">
      <alignment shrinkToFit="0" vertical="top" wrapText="1"/>
    </xf>
    <xf borderId="0" fillId="7" fontId="6" numFmtId="0" xfId="0" applyAlignment="1" applyFill="1" applyFont="1">
      <alignment horizontal="center" vertical="top"/>
    </xf>
    <xf borderId="0" fillId="0" fontId="5" numFmtId="0" xfId="0" applyAlignment="1" applyFont="1">
      <alignment shrinkToFit="0" vertical="top" wrapText="1"/>
    </xf>
    <xf borderId="0" fillId="5" fontId="4" numFmtId="0" xfId="0" applyAlignment="1" applyFont="1">
      <alignment horizontal="center" shrinkToFit="0" vertical="center" wrapText="1"/>
    </xf>
    <xf borderId="0" fillId="2" fontId="7" numFmtId="0" xfId="0" applyAlignment="1" applyFont="1">
      <alignment horizontal="left" shrinkToFit="0" vertical="center" wrapText="1"/>
    </xf>
    <xf borderId="0" fillId="7" fontId="8" numFmtId="0" xfId="0" applyAlignment="1" applyFont="1">
      <alignment horizontal="center" vertical="top"/>
    </xf>
    <xf borderId="0" fillId="6" fontId="5" numFmtId="0" xfId="0" applyAlignment="1" applyFont="1">
      <alignment shrinkToFit="0" vertical="top" wrapText="1"/>
    </xf>
    <xf borderId="0" fillId="8" fontId="9" numFmtId="0" xfId="0" applyAlignment="1" applyFill="1" applyFont="1">
      <alignment horizontal="left" shrinkToFit="0" vertical="center" wrapText="1"/>
    </xf>
    <xf borderId="0" fillId="6" fontId="10" numFmtId="0" xfId="0" applyAlignment="1" applyFont="1">
      <alignment horizontal="center" shrinkToFit="0" vertical="center" wrapText="1"/>
    </xf>
    <xf borderId="0" fillId="9" fontId="11" numFmtId="0" xfId="0" applyAlignment="1" applyFill="1" applyFont="1">
      <alignment readingOrder="0" shrinkToFit="0" vertical="center" wrapText="1"/>
    </xf>
    <xf borderId="0" fillId="10" fontId="12" numFmtId="0" xfId="0" applyAlignment="1" applyFill="1" applyFont="1">
      <alignment shrinkToFit="0" wrapText="1"/>
    </xf>
    <xf borderId="0" fillId="0" fontId="13" numFmtId="0" xfId="0" applyAlignment="1" applyFont="1">
      <alignment shrinkToFit="0" wrapText="1"/>
    </xf>
    <xf borderId="1" fillId="11" fontId="14" numFmtId="0" xfId="0" applyAlignment="1" applyBorder="1" applyFill="1" applyFont="1">
      <alignment horizontal="center" shrinkToFit="0" vertical="center" wrapText="1"/>
    </xf>
    <xf borderId="1" fillId="12" fontId="13" numFmtId="0" xfId="0" applyAlignment="1" applyBorder="1" applyFill="1" applyFont="1">
      <alignment shrinkToFit="0" vertical="top" wrapText="1"/>
    </xf>
    <xf borderId="1" fillId="10" fontId="13" numFmtId="0" xfId="0" applyAlignment="1" applyBorder="1" applyFont="1">
      <alignment shrinkToFit="0" vertical="top" wrapText="1"/>
    </xf>
    <xf borderId="1" fillId="6" fontId="13" numFmtId="0" xfId="0" applyAlignment="1" applyBorder="1" applyFont="1">
      <alignment shrinkToFit="0" vertical="top" wrapText="1"/>
    </xf>
    <xf borderId="0" fillId="13" fontId="15" numFmtId="0" xfId="0" applyAlignment="1" applyFill="1" applyFont="1">
      <alignment shrinkToFit="0" wrapText="1"/>
    </xf>
    <xf borderId="1" fillId="0" fontId="13" numFmtId="0" xfId="0" applyAlignment="1" applyBorder="1" applyFont="1">
      <alignment shrinkToFit="0" vertical="top" wrapText="1"/>
    </xf>
    <xf borderId="0" fillId="9" fontId="1" numFmtId="0" xfId="0" applyAlignment="1" applyFont="1">
      <alignment readingOrder="0" vertical="center"/>
    </xf>
    <xf borderId="0" fillId="6" fontId="6" numFmtId="0" xfId="0" applyAlignment="1" applyFont="1">
      <alignment shrinkToFit="0" wrapText="1"/>
    </xf>
    <xf borderId="1" fillId="11" fontId="16" numFmtId="0" xfId="0" applyAlignment="1" applyBorder="1" applyFont="1">
      <alignment horizontal="center" shrinkToFit="0" vertical="center" wrapText="1"/>
    </xf>
    <xf borderId="1" fillId="0" fontId="17" numFmtId="0" xfId="0" applyAlignment="1" applyBorder="1" applyFont="1">
      <alignment shrinkToFit="0" vertical="top" wrapText="1"/>
    </xf>
    <xf borderId="1" fillId="6" fontId="17" numFmtId="0" xfId="0" applyAlignment="1" applyBorder="1" applyFont="1">
      <alignment shrinkToFit="0" vertical="top" wrapText="1"/>
    </xf>
    <xf borderId="0" fillId="9" fontId="1" numFmtId="0" xfId="0" applyAlignment="1" applyFont="1">
      <alignment vertical="center"/>
    </xf>
    <xf borderId="0" fillId="13" fontId="18" numFmtId="0" xfId="0" applyFont="1"/>
    <xf borderId="1" fillId="10" fontId="17" numFmtId="0" xfId="0" applyAlignment="1" applyBorder="1" applyFont="1">
      <alignment shrinkToFit="0" vertical="top" wrapText="1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006100"/>
      </font>
      <fill>
        <patternFill patternType="solid">
          <fgColor rgb="FFE2F0D9"/>
          <bgColor rgb="FFE2F0D9"/>
        </patternFill>
      </fill>
      <border/>
    </dxf>
  </dxfs>
  <tableStyles count="26">
    <tableStyle count="3" pivot="0" name="表紙-style">
      <tableStyleElement dxfId="1" type="headerRow"/>
      <tableStyleElement dxfId="2" type="firstRowStripe"/>
      <tableStyleElement dxfId="3" type="secondRowStripe"/>
    </tableStyle>
    <tableStyle count="3" pivot="0" name="01_目的_対象範囲-style">
      <tableStyleElement dxfId="1" type="headerRow"/>
      <tableStyleElement dxfId="2" type="firstRowStripe"/>
      <tableStyleElement dxfId="3" type="secondRowStripe"/>
    </tableStyle>
    <tableStyle count="3" pivot="0" name="01_目的_対象範囲-style 2">
      <tableStyleElement dxfId="1" type="headerRow"/>
      <tableStyleElement dxfId="2" type="firstRowStripe"/>
      <tableStyleElement dxfId="3" type="secondRowStripe"/>
    </tableStyle>
    <tableStyle count="3" pivot="0" name="02_前提_性能要件-style">
      <tableStyleElement dxfId="1" type="headerRow"/>
      <tableStyleElement dxfId="2" type="firstRowStripe"/>
      <tableStyleElement dxfId="3" type="secondRowStripe"/>
    </tableStyle>
    <tableStyle count="3" pivot="0" name="02_前提_性能要件-style 2">
      <tableStyleElement dxfId="1" type="headerRow"/>
      <tableStyleElement dxfId="2" type="firstRowStripe"/>
      <tableStyleElement dxfId="3" type="secondRowStripe"/>
    </tableStyle>
    <tableStyle count="3" pivot="0" name="02_前提_性能要件-style 3">
      <tableStyleElement dxfId="1" type="headerRow"/>
      <tableStyleElement dxfId="2" type="firstRowStripe"/>
      <tableStyleElement dxfId="3" type="secondRowStripe"/>
    </tableStyle>
    <tableStyle count="3" pivot="0" name="03_方針_観点_比較-style">
      <tableStyleElement dxfId="1" type="headerRow"/>
      <tableStyleElement dxfId="2" type="firstRowStripe"/>
      <tableStyleElement dxfId="3" type="secondRowStripe"/>
    </tableStyle>
    <tableStyle count="3" pivot="0" name="03_方針_観点_比較-style 2">
      <tableStyleElement dxfId="1" type="headerRow"/>
      <tableStyleElement dxfId="2" type="firstRowStripe"/>
      <tableStyleElement dxfId="3" type="secondRowStripe"/>
    </tableStyle>
    <tableStyle count="3" pivot="0" name="03_方針_観点_比較-style 3">
      <tableStyleElement dxfId="1" type="headerRow"/>
      <tableStyleElement dxfId="2" type="firstRowStripe"/>
      <tableStyleElement dxfId="3" type="secondRowStripe"/>
    </tableStyle>
    <tableStyle count="3" pivot="0" name="04_試験ケース-style">
      <tableStyleElement dxfId="1" type="headerRow"/>
      <tableStyleElement dxfId="2" type="firstRowStripe"/>
      <tableStyleElement dxfId="3" type="secondRowStripe"/>
    </tableStyle>
    <tableStyle count="3" pivot="0" name="04_試験ケース-style 2">
      <tableStyleElement dxfId="1" type="headerRow"/>
      <tableStyleElement dxfId="2" type="firstRowStripe"/>
      <tableStyleElement dxfId="3" type="secondRowStripe"/>
    </tableStyle>
    <tableStyle count="3" pivot="0" name="05_環境_データ_負荷-style">
      <tableStyleElement dxfId="1" type="headerRow"/>
      <tableStyleElement dxfId="2" type="firstRowStripe"/>
      <tableStyleElement dxfId="3" type="secondRowStripe"/>
    </tableStyle>
    <tableStyle count="3" pivot="0" name="05_環境_データ_負荷-style 2">
      <tableStyleElement dxfId="1" type="headerRow"/>
      <tableStyleElement dxfId="2" type="firstRowStripe"/>
      <tableStyleElement dxfId="3" type="secondRowStripe"/>
    </tableStyle>
    <tableStyle count="3" pivot="0" name="05_環境_データ_負荷-style 3">
      <tableStyleElement dxfId="1" type="headerRow"/>
      <tableStyleElement dxfId="2" type="firstRowStripe"/>
      <tableStyleElement dxfId="3" type="secondRowStripe"/>
    </tableStyle>
    <tableStyle count="3" pivot="0" name="05_環境_データ_負荷-style 4">
      <tableStyleElement dxfId="1" type="headerRow"/>
      <tableStyleElement dxfId="2" type="firstRowStripe"/>
      <tableStyleElement dxfId="3" type="secondRowStripe"/>
    </tableStyle>
    <tableStyle count="3" pivot="0" name="05_環境_データ_負荷-style 5">
      <tableStyleElement dxfId="1" type="headerRow"/>
      <tableStyleElement dxfId="2" type="firstRowStripe"/>
      <tableStyleElement dxfId="3" type="secondRowStripe"/>
    </tableStyle>
    <tableStyle count="3" pivot="0" name="05_環境_データ_負荷-style 6">
      <tableStyleElement dxfId="1" type="headerRow"/>
      <tableStyleElement dxfId="2" type="firstRowStripe"/>
      <tableStyleElement dxfId="3" type="secondRowStripe"/>
    </tableStyle>
    <tableStyle count="3" pivot="0" name="06_計測_判定_手順-style">
      <tableStyleElement dxfId="1" type="headerRow"/>
      <tableStyleElement dxfId="2" type="firstRowStripe"/>
      <tableStyleElement dxfId="3" type="secondRowStripe"/>
    </tableStyle>
    <tableStyle count="3" pivot="0" name="06_計測_判定_手順-style 2">
      <tableStyleElement dxfId="1" type="headerRow"/>
      <tableStyleElement dxfId="2" type="firstRowStripe"/>
      <tableStyleElement dxfId="3" type="secondRowStripe"/>
    </tableStyle>
    <tableStyle count="3" pivot="0" name="06_計測_判定_手順-style 3">
      <tableStyleElement dxfId="1" type="headerRow"/>
      <tableStyleElement dxfId="2" type="firstRowStripe"/>
      <tableStyleElement dxfId="3" type="secondRowStripe"/>
    </tableStyle>
    <tableStyle count="3" pivot="0" name="07_障害_体制_予定-style">
      <tableStyleElement dxfId="1" type="headerRow"/>
      <tableStyleElement dxfId="2" type="firstRowStripe"/>
      <tableStyleElement dxfId="3" type="secondRowStripe"/>
    </tableStyle>
    <tableStyle count="3" pivot="0" name="07_障害_体制_予定-style 2">
      <tableStyleElement dxfId="1" type="headerRow"/>
      <tableStyleElement dxfId="2" type="firstRowStripe"/>
      <tableStyleElement dxfId="3" type="secondRowStripe"/>
    </tableStyle>
    <tableStyle count="3" pivot="0" name="07_障害_体制_予定-style 3">
      <tableStyleElement dxfId="1" type="headerRow"/>
      <tableStyleElement dxfId="2" type="firstRowStripe"/>
      <tableStyleElement dxfId="3" type="secondRowStripe"/>
    </tableStyle>
    <tableStyle count="3" pivot="0" name="08_成果物_報告-style">
      <tableStyleElement dxfId="1" type="headerRow"/>
      <tableStyleElement dxfId="2" type="firstRowStripe"/>
      <tableStyleElement dxfId="3" type="secondRowStripe"/>
    </tableStyle>
    <tableStyle count="3" pivot="0" name="08_成果物_報告-style 2">
      <tableStyleElement dxfId="1" type="headerRow"/>
      <tableStyleElement dxfId="2" type="firstRowStripe"/>
      <tableStyleElement dxfId="3" type="secondRowStripe"/>
    </tableStyle>
    <tableStyle count="3" pivot="0" name="要確認事項サマリ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customschemas.google.com/relationships/workbookmetadata" Target="metadata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8:D11" displayName="Table_1" name="Table_1" id="1">
  <tableColumns count="4">
    <tableColumn name="No" id="1"/>
    <tableColumn name="比較対象フロー" id="2"/>
    <tableColumn name="位置づけ" id="3"/>
    <tableColumn name="確認したいこと" id="4"/>
  </tableColumns>
  <tableStyleInfo name="表紙-style" showColumnStripes="0" showFirstColumn="1" showLastColumn="1" showRowStripes="1"/>
</table>
</file>

<file path=xl/tables/table2.xml><?xml version="1.0" encoding="utf-8"?>
<table xmlns="http://schemas.openxmlformats.org/spreadsheetml/2006/main" ref="A15:D18" displayName="Table_2" name="Table_2" id="2">
  <tableColumns count="4">
    <tableColumn name="No" id="1"/>
    <tableColumn name="比較対象フロー" id="2"/>
    <tableColumn name="試験対象に含める内容" id="3"/>
    <tableColumn name="主な確認ポイント" id="4"/>
  </tableColumns>
  <tableStyleInfo name="01_目的_対象範囲-style" showColumnStripes="0" showFirstColumn="1" showLastColumn="1" showRowStripes="1"/>
</table>
</file>

<file path=xl/tables/table3.xml><?xml version="1.0" encoding="utf-8"?>
<table xmlns="http://schemas.openxmlformats.org/spreadsheetml/2006/main" ref="A22:B27" displayName="Table_3" name="Table_3" id="3">
  <tableColumns count="2">
    <tableColumn name="項目" id="1"/>
    <tableColumn name="対象外とする理由" id="2"/>
  </tableColumns>
  <tableStyleInfo name="01_目的_対象範囲-style 2" showColumnStripes="0" showFirstColumn="1" showLastColumn="1" showRowStripes="1"/>
</table>
</file>

<file path=xl/tables/table4.xml><?xml version="1.0" encoding="utf-8"?>
<table xmlns="http://schemas.openxmlformats.org/spreadsheetml/2006/main" ref="A6:B12" displayName="Table_4" name="Table_4" id="4">
  <tableColumns count="2">
    <tableColumn name="項目" id="1"/>
    <tableColumn name="内容" id="2"/>
  </tableColumns>
  <tableStyleInfo name="02_前提_性能要件-style" showColumnStripes="0" showFirstColumn="1" showLastColumn="1" showRowStripes="1"/>
</table>
</file>

<file path=xl/tables/table5.xml><?xml version="1.0" encoding="utf-8"?>
<table xmlns="http://schemas.openxmlformats.org/spreadsheetml/2006/main" ref="A16:C26" displayName="Table_5" name="Table_5" id="5">
  <tableColumns count="3">
    <tableColumn name="No" id="1"/>
    <tableColumn name="要確認事項" id="2"/>
    <tableColumn name="確認理由" id="3"/>
  </tableColumns>
  <tableStyleInfo name="02_前提_性能要件-style 2" showColumnStripes="0" showFirstColumn="1" showLastColumn="1" showRowStripes="1"/>
</table>
</file>

<file path=xl/tables/table6.xml><?xml version="1.0" encoding="utf-8"?>
<table xmlns="http://schemas.openxmlformats.org/spreadsheetml/2006/main" ref="A32:C40" displayName="Table_6" name="Table_6" id="6">
  <tableColumns count="3">
    <tableColumn name="評価項目" id="1"/>
    <tableColumn name="測定内容" id="2"/>
    <tableColumn name="判定の考え方" id="3"/>
  </tableColumns>
  <tableStyleInfo name="02_前提_性能要件-style 3" showColumnStripes="0" showFirstColumn="1" showLastColumn="1" showRowStripes="1"/>
</table>
</file>

<file path=xl/tables/table7.xml><?xml version="1.0" encoding="utf-8"?>
<table xmlns="http://schemas.openxmlformats.org/spreadsheetml/2006/main" ref="A6:B13" displayName="Table_7" name="Table_7" id="7">
  <tableColumns count="2">
    <tableColumn name="方針" id="1"/>
    <tableColumn name="内容" id="2"/>
  </tableColumns>
  <tableStyleInfo name="03_方針_観点_比較-style" showColumnStripes="0" showFirstColumn="1" showLastColumn="1" showRowStripes="1"/>
</table>
</file>

<file path=xl/tables/table8.xml><?xml version="1.0" encoding="utf-8"?>
<table xmlns="http://schemas.openxmlformats.org/spreadsheetml/2006/main" ref="A18:B26" displayName="Table_8" name="Table_8" id="8">
  <tableColumns count="2">
    <tableColumn name="観点" id="1"/>
    <tableColumn name="確認内容" id="2"/>
  </tableColumns>
  <tableStyleInfo name="03_方針_観点_比較-style 2" showColumnStripes="0" showFirstColumn="1" showLastColumn="1" showRowStripes="1"/>
</table>
</file>

<file path=xl/tables/table9.xml><?xml version="1.0" encoding="utf-8"?>
<table xmlns="http://schemas.openxmlformats.org/spreadsheetml/2006/main" ref="A31:E38" displayName="Table_9" name="Table_9" id="9">
  <tableColumns count="5">
    <tableColumn name="比較観点" id="1"/>
    <tableColumn name="現行：Kudu → Gold Iceberg → BI" id="2"/>
    <tableColumn name="現行：Bronze Iceberg → Gold Iceberg → BI" id="3"/>
    <tableColumn name="新規：Gold Iceberg → Fabric → BI" id="4"/>
    <tableColumn name="確認したいこと" id="5"/>
  </tableColumns>
  <tableStyleInfo name="03_方針_観点_比較-style 3" showColumnStripes="0" showFirstColumn="1" showLastColumn="1" showRowStripes="1"/>
</table>
</file>

<file path=xl/tables/table10.xml><?xml version="1.0" encoding="utf-8"?>
<table xmlns="http://schemas.openxmlformats.org/spreadsheetml/2006/main" ref="A6:E14" displayName="Table_10" name="Table_10" id="10">
  <tableColumns count="5">
    <tableColumn name="ケースID" id="1"/>
    <tableColumn name="試験ケース" id="2"/>
    <tableColumn name="実施内容" id="3"/>
    <tableColumn name="対象フロー" id="4"/>
    <tableColumn name="測定項目" id="5"/>
  </tableColumns>
  <tableStyleInfo name="04_試験ケース-style" showColumnStripes="0" showFirstColumn="1" showLastColumn="1" showRowStripes="1"/>
</table>
</file>

<file path=xl/tables/table11.xml><?xml version="1.0" encoding="utf-8"?>
<table xmlns="http://schemas.openxmlformats.org/spreadsheetml/2006/main" ref="A18:C21" displayName="Table_11" name="Table_11" id="11">
  <tableColumns count="3">
    <tableColumn name="優先度" id="1"/>
    <tableColumn name="対象ケース" id="2"/>
    <tableColumn name="理由" id="3"/>
  </tableColumns>
  <tableStyleInfo name="04_試験ケース-style 2" showColumnStripes="0" showFirstColumn="1" showLastColumn="1" showRowStripes="1"/>
</table>
</file>

<file path=xl/tables/table12.xml><?xml version="1.0" encoding="utf-8"?>
<table xmlns="http://schemas.openxmlformats.org/spreadsheetml/2006/main" ref="A6:B13" displayName="Table_12" name="Table_12" id="12">
  <tableColumns count="2">
    <tableColumn name="分類" id="1"/>
    <tableColumn name="記録項目" id="2"/>
  </tableColumns>
  <tableStyleInfo name="05_環境_データ_負荷-style" showColumnStripes="0" showFirstColumn="1" showLastColumn="1" showRowStripes="1"/>
</table>
</file>

<file path=xl/tables/table13.xml><?xml version="1.0" encoding="utf-8"?>
<table xmlns="http://schemas.openxmlformats.org/spreadsheetml/2006/main" ref="A17:B22" displayName="Table_13" name="Table_13" id="13">
  <tableColumns count="2">
    <tableColumn name="項目" id="1"/>
    <tableColumn name="記載内容" id="2"/>
  </tableColumns>
  <tableStyleInfo name="05_環境_データ_負荷-style 2" showColumnStripes="0" showFirstColumn="1" showLastColumn="1" showRowStripes="1"/>
</table>
</file>

<file path=xl/tables/table14.xml><?xml version="1.0" encoding="utf-8"?>
<table xmlns="http://schemas.openxmlformats.org/spreadsheetml/2006/main" ref="A28:B36" displayName="Table_14" name="Table_14" id="14">
  <tableColumns count="2">
    <tableColumn name="項目" id="1"/>
    <tableColumn name="内容" id="2"/>
  </tableColumns>
  <tableStyleInfo name="05_環境_データ_負荷-style 3" showColumnStripes="0" showFirstColumn="1" showLastColumn="1" showRowStripes="1"/>
</table>
</file>

<file path=xl/tables/table15.xml><?xml version="1.0" encoding="utf-8"?>
<table xmlns="http://schemas.openxmlformats.org/spreadsheetml/2006/main" ref="A40:B45" displayName="Table_15" name="Table_15" id="15">
  <tableColumns count="2">
    <tableColumn name="確認項目" id="1"/>
    <tableColumn name="確認内容" id="2"/>
  </tableColumns>
  <tableStyleInfo name="05_環境_データ_負荷-style 4" showColumnStripes="0" showFirstColumn="1" showLastColumn="1" showRowStripes="1"/>
</table>
</file>

<file path=xl/tables/table16.xml><?xml version="1.0" encoding="utf-8"?>
<table xmlns="http://schemas.openxmlformats.org/spreadsheetml/2006/main" ref="A50:C55" displayName="Table_16" name="Table_16" id="16">
  <tableColumns count="3">
    <tableColumn name="パターン" id="1"/>
    <tableColumn name="内容" id="2"/>
    <tableColumn name="実施目的" id="3"/>
  </tableColumns>
  <tableStyleInfo name="05_環境_データ_負荷-style 5" showColumnStripes="0" showFirstColumn="1" showLastColumn="1" showRowStripes="1"/>
</table>
</file>

<file path=xl/tables/table17.xml><?xml version="1.0" encoding="utf-8"?>
<table xmlns="http://schemas.openxmlformats.org/spreadsheetml/2006/main" ref="A60:C63" displayName="Table_17" name="Table_17" id="17">
  <tableColumns count="3">
    <tableColumn name="レベル" id="1"/>
    <tableColumn name="同時実行数" id="2"/>
    <tableColumn name="位置づけ" id="3"/>
  </tableColumns>
  <tableStyleInfo name="05_環境_データ_負荷-style 6" showColumnStripes="0" showFirstColumn="1" showLastColumn="1" showRowStripes="1"/>
</table>
</file>

<file path=xl/tables/table18.xml><?xml version="1.0" encoding="utf-8"?>
<table xmlns="http://schemas.openxmlformats.org/spreadsheetml/2006/main" ref="A6:C14" displayName="Table_18" name="Table_18" id="18">
  <tableColumns count="3">
    <tableColumn name="分類" id="1"/>
    <tableColumn name="計測項目" id="2"/>
    <tableColumn name="取得元の例" id="3"/>
  </tableColumns>
  <tableStyleInfo name="06_計測_判定_手順-style" showColumnStripes="0" showFirstColumn="1" showLastColumn="1" showRowStripes="1"/>
</table>
</file>

<file path=xl/tables/table19.xml><?xml version="1.0" encoding="utf-8"?>
<table xmlns="http://schemas.openxmlformats.org/spreadsheetml/2006/main" ref="A18:B24" displayName="Table_19" name="Table_19" id="19">
  <tableColumns count="2">
    <tableColumn name="評価項目" id="1"/>
    <tableColumn name="判定基準案" id="2"/>
  </tableColumns>
  <tableStyleInfo name="06_計測_判定_手順-style 2" showColumnStripes="0" showFirstColumn="1" showLastColumn="1" showRowStripes="1"/>
</table>
</file>

<file path=xl/tables/table20.xml><?xml version="1.0" encoding="utf-8"?>
<table xmlns="http://schemas.openxmlformats.org/spreadsheetml/2006/main" ref="A29:C40" displayName="Table_20" name="Table_20" id="20">
  <tableColumns count="3">
    <tableColumn name="手順" id="1"/>
    <tableColumn name="作業内容" id="2"/>
    <tableColumn name="補足" id="3"/>
  </tableColumns>
  <tableStyleInfo name="06_計測_判定_手順-style 3" showColumnStripes="0" showFirstColumn="1" showLastColumn="1" showRowStripes="1"/>
</table>
</file>

<file path=xl/tables/table21.xml><?xml version="1.0" encoding="utf-8"?>
<table xmlns="http://schemas.openxmlformats.org/spreadsheetml/2006/main" ref="A5:B11" displayName="Table_21" name="Table_21" id="21">
  <tableColumns count="2">
    <tableColumn name="事象" id="1"/>
    <tableColumn name="対応方針" id="2"/>
  </tableColumns>
  <tableStyleInfo name="07_障害_体制_予定-style" showColumnStripes="0" showFirstColumn="1" showLastColumn="1" showRowStripes="1"/>
</table>
</file>

<file path=xl/tables/table22.xml><?xml version="1.0" encoding="utf-8"?>
<table xmlns="http://schemas.openxmlformats.org/spreadsheetml/2006/main" ref="A16:B22" displayName="Table_22" name="Table_22" id="22">
  <tableColumns count="2">
    <tableColumn name="役割" id="1"/>
    <tableColumn name="担当内容" id="2"/>
  </tableColumns>
  <tableStyleInfo name="07_障害_体制_予定-style 2" showColumnStripes="0" showFirstColumn="1" showLastColumn="1" showRowStripes="1"/>
</table>
</file>

<file path=xl/tables/table23.xml><?xml version="1.0" encoding="utf-8"?>
<table xmlns="http://schemas.openxmlformats.org/spreadsheetml/2006/main" ref="A27:C33" displayName="Table_23" name="Table_23" id="23">
  <tableColumns count="3">
    <tableColumn name="フェーズ" id="1"/>
    <tableColumn name="作業内容" id="2"/>
    <tableColumn name="成果物" id="3"/>
  </tableColumns>
  <tableStyleInfo name="07_障害_体制_予定-style 3" showColumnStripes="0" showFirstColumn="1" showLastColumn="1" showRowStripes="1"/>
</table>
</file>

<file path=xl/tables/table24.xml><?xml version="1.0" encoding="utf-8"?>
<table xmlns="http://schemas.openxmlformats.org/spreadsheetml/2006/main" ref="A6:B13" displayName="Table_24" name="Table_24" id="24">
  <tableColumns count="2">
    <tableColumn name="成果物" id="1"/>
    <tableColumn name="内容" id="2"/>
  </tableColumns>
  <tableStyleInfo name="08_成果物_報告-style" showColumnStripes="0" showFirstColumn="1" showLastColumn="1" showRowStripes="1"/>
</table>
</file>

<file path=xl/tables/table25.xml><?xml version="1.0" encoding="utf-8"?>
<table xmlns="http://schemas.openxmlformats.org/spreadsheetml/2006/main" ref="A17:B24" displayName="Table_25" name="Table_25" id="25">
  <tableColumns count="2">
    <tableColumn name="項目" id="1"/>
    <tableColumn name="記載内容" id="2"/>
  </tableColumns>
  <tableStyleInfo name="08_成果物_報告-style 2" showColumnStripes="0" showFirstColumn="1" showLastColumn="1" showRowStripes="1"/>
</table>
</file>

<file path=xl/tables/table26.xml><?xml version="1.0" encoding="utf-8"?>
<table xmlns="http://schemas.openxmlformats.org/spreadsheetml/2006/main" ref="A3:F13" displayName="Table_26" name="Table_26" id="26">
  <tableColumns count="6">
    <tableColumn name="No" id="1"/>
    <tableColumn name="要確認事項" id="2"/>
    <tableColumn name="確認理由" id="3"/>
    <tableColumn name="ステータス" id="4"/>
    <tableColumn name="担当" id="5"/>
    <tableColumn name="確認結果メモ" id="6"/>
  </tableColumns>
  <tableStyleInfo name="要確認事項サマリ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Relationship Id="rId5" Type="http://schemas.openxmlformats.org/officeDocument/2006/relationships/table" Target="../tables/table3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5" Type="http://schemas.openxmlformats.org/officeDocument/2006/relationships/table" Target="../tables/table4.xml"/><Relationship Id="rId6" Type="http://schemas.openxmlformats.org/officeDocument/2006/relationships/table" Target="../tables/table5.xml"/><Relationship Id="rId7" Type="http://schemas.openxmlformats.org/officeDocument/2006/relationships/table" Target="../tables/table6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5" Type="http://schemas.openxmlformats.org/officeDocument/2006/relationships/table" Target="../tables/table7.xml"/><Relationship Id="rId6" Type="http://schemas.openxmlformats.org/officeDocument/2006/relationships/table" Target="../tables/table8.xml"/><Relationship Id="rId7" Type="http://schemas.openxmlformats.org/officeDocument/2006/relationships/table" Target="../tables/table9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Relationship Id="rId5" Type="http://schemas.openxmlformats.org/officeDocument/2006/relationships/table" Target="../tables/table11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11" Type="http://schemas.openxmlformats.org/officeDocument/2006/relationships/table" Target="../tables/table15.xml"/><Relationship Id="rId10" Type="http://schemas.openxmlformats.org/officeDocument/2006/relationships/table" Target="../tables/table14.xml"/><Relationship Id="rId13" Type="http://schemas.openxmlformats.org/officeDocument/2006/relationships/table" Target="../tables/table17.xml"/><Relationship Id="rId12" Type="http://schemas.openxmlformats.org/officeDocument/2006/relationships/table" Target="../tables/table16.xml"/><Relationship Id="rId9" Type="http://schemas.openxmlformats.org/officeDocument/2006/relationships/table" Target="../tables/table13.xml"/><Relationship Id="rId8" Type="http://schemas.openxmlformats.org/officeDocument/2006/relationships/table" Target="../tables/table12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5" Type="http://schemas.openxmlformats.org/officeDocument/2006/relationships/table" Target="../tables/table18.xml"/><Relationship Id="rId6" Type="http://schemas.openxmlformats.org/officeDocument/2006/relationships/table" Target="../tables/table19.xml"/><Relationship Id="rId7" Type="http://schemas.openxmlformats.org/officeDocument/2006/relationships/table" Target="../tables/table20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5" Type="http://schemas.openxmlformats.org/officeDocument/2006/relationships/table" Target="../tables/table21.xml"/><Relationship Id="rId6" Type="http://schemas.openxmlformats.org/officeDocument/2006/relationships/table" Target="../tables/table22.xml"/><Relationship Id="rId7" Type="http://schemas.openxmlformats.org/officeDocument/2006/relationships/table" Target="../tables/table23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4" Type="http://schemas.openxmlformats.org/officeDocument/2006/relationships/table" Target="../tables/table24.xml"/><Relationship Id="rId5" Type="http://schemas.openxmlformats.org/officeDocument/2006/relationships/table" Target="../tables/table25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26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26.0"/>
    <col customWidth="1" min="3" max="5" width="34.0"/>
    <col customWidth="1" min="6" max="8" width="28.0"/>
    <col customWidth="1" min="9" max="26" width="8.63"/>
  </cols>
  <sheetData>
    <row r="1" ht="51.75" customHeight="1">
      <c r="A1" s="1" t="s">
        <v>0</v>
      </c>
    </row>
    <row r="2" ht="51.75" customHeight="1"/>
    <row r="4" ht="24.0" customHeight="1">
      <c r="A4" s="2" t="s">
        <v>1</v>
      </c>
    </row>
    <row r="5" ht="54.0" customHeight="1">
      <c r="A5" s="3" t="s">
        <v>2</v>
      </c>
    </row>
    <row r="7" ht="24.0" customHeight="1">
      <c r="A7" s="2" t="s">
        <v>3</v>
      </c>
    </row>
    <row r="8" ht="25.5" customHeight="1">
      <c r="A8" s="4" t="s">
        <v>4</v>
      </c>
      <c r="B8" s="4" t="s">
        <v>3</v>
      </c>
      <c r="C8" s="4" t="s">
        <v>5</v>
      </c>
      <c r="D8" s="4" t="s">
        <v>6</v>
      </c>
    </row>
    <row r="9">
      <c r="A9" s="5">
        <v>1.0</v>
      </c>
      <c r="B9" s="6" t="s">
        <v>7</v>
      </c>
      <c r="C9" s="5" t="s">
        <v>8</v>
      </c>
      <c r="D9" s="5" t="s">
        <v>9</v>
      </c>
    </row>
    <row r="10">
      <c r="A10" s="5">
        <v>2.0</v>
      </c>
      <c r="B10" s="6" t="s">
        <v>10</v>
      </c>
      <c r="C10" s="5" t="s">
        <v>11</v>
      </c>
      <c r="D10" s="5" t="s">
        <v>12</v>
      </c>
    </row>
    <row r="11">
      <c r="A11" s="5">
        <v>3.0</v>
      </c>
      <c r="B11" s="6" t="s">
        <v>13</v>
      </c>
      <c r="C11" s="5" t="s">
        <v>14</v>
      </c>
      <c r="D11" s="5" t="s">
        <v>15</v>
      </c>
    </row>
    <row r="13" ht="24.0" customHeight="1">
      <c r="A13" s="2" t="s">
        <v>16</v>
      </c>
    </row>
    <row r="14" ht="30.0" customHeight="1">
      <c r="A14" s="7" t="s">
        <v>17</v>
      </c>
      <c r="B14" s="8" t="s">
        <v>18</v>
      </c>
    </row>
    <row r="15" ht="30.0" customHeight="1">
      <c r="A15" s="7" t="s">
        <v>19</v>
      </c>
      <c r="B15" s="8" t="s">
        <v>20</v>
      </c>
    </row>
    <row r="16" ht="30.0" customHeight="1">
      <c r="A16" s="7" t="s">
        <v>21</v>
      </c>
      <c r="B16" s="8" t="s">
        <v>22</v>
      </c>
    </row>
    <row r="17" ht="30.0" customHeight="1">
      <c r="A17" s="7" t="s">
        <v>23</v>
      </c>
      <c r="B17" s="8" t="s">
        <v>24</v>
      </c>
    </row>
    <row r="18" ht="30.0" customHeight="1">
      <c r="A18" s="7" t="s">
        <v>25</v>
      </c>
      <c r="B18" s="8" t="s">
        <v>26</v>
      </c>
    </row>
    <row r="19" ht="30.0" customHeight="1">
      <c r="A19" s="7" t="s">
        <v>27</v>
      </c>
      <c r="B19" s="8" t="s">
        <v>28</v>
      </c>
    </row>
    <row r="21" ht="24.0" customHeight="1">
      <c r="A21" s="2" t="s">
        <v>29</v>
      </c>
    </row>
    <row r="22" ht="25.5" customHeight="1">
      <c r="A22" s="9" t="s">
        <v>30</v>
      </c>
      <c r="B22" s="8" t="s">
        <v>31</v>
      </c>
    </row>
    <row r="23" ht="25.5" customHeight="1">
      <c r="A23" s="9" t="s">
        <v>32</v>
      </c>
      <c r="B23" s="8" t="s">
        <v>33</v>
      </c>
    </row>
    <row r="24" ht="25.5" customHeight="1">
      <c r="A24" s="9" t="s">
        <v>34</v>
      </c>
      <c r="B24" s="8" t="s">
        <v>35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2">
    <mergeCell ref="B16:H16"/>
    <mergeCell ref="B17:H17"/>
    <mergeCell ref="B18:H18"/>
    <mergeCell ref="B19:H19"/>
    <mergeCell ref="A21:H21"/>
    <mergeCell ref="A1:H2"/>
    <mergeCell ref="A4:H4"/>
    <mergeCell ref="A5:H5"/>
    <mergeCell ref="A7:H7"/>
    <mergeCell ref="A13:H13"/>
    <mergeCell ref="B14:H14"/>
    <mergeCell ref="B15:H15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36</v>
      </c>
    </row>
    <row r="3" ht="24.0" customHeight="1">
      <c r="A3" s="2" t="s">
        <v>37</v>
      </c>
    </row>
    <row r="5" ht="19.5" customHeight="1">
      <c r="A5" s="8" t="s">
        <v>38</v>
      </c>
    </row>
    <row r="6">
      <c r="A6" s="11">
        <v>1.0</v>
      </c>
      <c r="B6" s="12" t="s">
        <v>7</v>
      </c>
    </row>
    <row r="7">
      <c r="A7" s="11">
        <v>2.0</v>
      </c>
      <c r="B7" s="12" t="s">
        <v>10</v>
      </c>
    </row>
    <row r="8">
      <c r="A8" s="11">
        <v>3.0</v>
      </c>
      <c r="B8" s="12" t="s">
        <v>13</v>
      </c>
    </row>
    <row r="10" ht="33.75" customHeight="1">
      <c r="A10" s="8" t="s">
        <v>39</v>
      </c>
    </row>
    <row r="11" ht="19.5" customHeight="1">
      <c r="A11" s="8" t="s">
        <v>40</v>
      </c>
    </row>
    <row r="12" ht="24.0" customHeight="1">
      <c r="A12" s="2" t="s">
        <v>41</v>
      </c>
    </row>
    <row r="14" ht="21.75" customHeight="1">
      <c r="A14" s="13" t="s">
        <v>42</v>
      </c>
    </row>
    <row r="15" ht="25.5" customHeight="1">
      <c r="A15" s="4" t="s">
        <v>4</v>
      </c>
      <c r="B15" s="4" t="s">
        <v>3</v>
      </c>
      <c r="C15" s="4" t="s">
        <v>43</v>
      </c>
      <c r="D15" s="4" t="s">
        <v>44</v>
      </c>
    </row>
    <row r="16" ht="42.0" customHeight="1">
      <c r="A16" s="5" t="s">
        <v>17</v>
      </c>
      <c r="B16" s="6" t="s">
        <v>7</v>
      </c>
      <c r="C16" s="6" t="s">
        <v>45</v>
      </c>
      <c r="D16" s="6" t="s">
        <v>46</v>
      </c>
    </row>
    <row r="17" ht="42.0" customHeight="1">
      <c r="A17" s="5" t="s">
        <v>19</v>
      </c>
      <c r="B17" s="6" t="s">
        <v>10</v>
      </c>
      <c r="C17" s="6" t="s">
        <v>47</v>
      </c>
      <c r="D17" s="6" t="s">
        <v>46</v>
      </c>
    </row>
    <row r="18" ht="42.0" customHeight="1">
      <c r="A18" s="5" t="s">
        <v>21</v>
      </c>
      <c r="B18" s="6" t="s">
        <v>13</v>
      </c>
      <c r="C18" s="6" t="s">
        <v>48</v>
      </c>
      <c r="D18" s="6" t="s">
        <v>49</v>
      </c>
    </row>
    <row r="20" ht="15.75" customHeight="1"/>
    <row r="21" ht="21.75" customHeight="1">
      <c r="A21" s="13" t="s">
        <v>50</v>
      </c>
    </row>
    <row r="22" ht="25.5" customHeight="1">
      <c r="A22" s="4" t="s">
        <v>51</v>
      </c>
      <c r="B22" s="4" t="s">
        <v>52</v>
      </c>
    </row>
    <row r="23" ht="42.0" customHeight="1">
      <c r="A23" s="5" t="s">
        <v>53</v>
      </c>
      <c r="B23" s="5" t="s">
        <v>54</v>
      </c>
    </row>
    <row r="24" ht="42.0" customHeight="1">
      <c r="A24" s="5" t="s">
        <v>55</v>
      </c>
      <c r="B24" s="5" t="s">
        <v>56</v>
      </c>
    </row>
    <row r="25" ht="42.0" customHeight="1">
      <c r="A25" s="5" t="s">
        <v>57</v>
      </c>
      <c r="B25" s="5" t="s">
        <v>58</v>
      </c>
    </row>
    <row r="26" ht="42.0" customHeight="1">
      <c r="A26" s="5" t="s">
        <v>59</v>
      </c>
      <c r="B26" s="5" t="s">
        <v>60</v>
      </c>
    </row>
    <row r="27" ht="42.0" customHeight="1">
      <c r="A27" s="5" t="s">
        <v>61</v>
      </c>
      <c r="B27" s="5" t="s">
        <v>62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8">
    <mergeCell ref="A14:H14"/>
    <mergeCell ref="A21:H21"/>
    <mergeCell ref="A1:H1"/>
    <mergeCell ref="A3:H3"/>
    <mergeCell ref="A5:H5"/>
    <mergeCell ref="A10:H10"/>
    <mergeCell ref="A11:H11"/>
    <mergeCell ref="A12:H12"/>
  </mergeCells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63</v>
      </c>
    </row>
    <row r="3" ht="24.0" customHeight="1">
      <c r="A3" s="2" t="s">
        <v>64</v>
      </c>
    </row>
    <row r="5" ht="21.75" customHeight="1">
      <c r="A5" s="13" t="s">
        <v>65</v>
      </c>
    </row>
    <row r="6" ht="25.5" customHeight="1">
      <c r="A6" s="4" t="s">
        <v>51</v>
      </c>
      <c r="B6" s="4" t="s">
        <v>66</v>
      </c>
    </row>
    <row r="7" ht="42.0" customHeight="1">
      <c r="A7" s="5" t="s">
        <v>67</v>
      </c>
      <c r="B7" s="5" t="s">
        <v>68</v>
      </c>
    </row>
    <row r="8" ht="42.0" customHeight="1">
      <c r="A8" s="5" t="s">
        <v>69</v>
      </c>
      <c r="B8" s="5" t="s">
        <v>70</v>
      </c>
    </row>
    <row r="9" ht="42.0" customHeight="1">
      <c r="A9" s="5" t="s">
        <v>71</v>
      </c>
      <c r="B9" s="5" t="s">
        <v>72</v>
      </c>
    </row>
    <row r="10" ht="42.0" customHeight="1">
      <c r="A10" s="5" t="s">
        <v>73</v>
      </c>
      <c r="B10" s="5" t="s">
        <v>74</v>
      </c>
    </row>
    <row r="11" ht="42.0" customHeight="1">
      <c r="A11" s="5" t="s">
        <v>75</v>
      </c>
      <c r="B11" s="5" t="s">
        <v>76</v>
      </c>
    </row>
    <row r="12" ht="42.0" customHeight="1">
      <c r="A12" s="5" t="s">
        <v>77</v>
      </c>
      <c r="B12" s="5" t="s">
        <v>78</v>
      </c>
    </row>
    <row r="15" ht="21.75" customHeight="1">
      <c r="A15" s="13" t="s">
        <v>79</v>
      </c>
    </row>
    <row r="16" ht="25.5" customHeight="1">
      <c r="A16" s="4" t="s">
        <v>4</v>
      </c>
      <c r="B16" s="4" t="s">
        <v>80</v>
      </c>
      <c r="C16" s="4" t="s">
        <v>81</v>
      </c>
    </row>
    <row r="17" ht="42.0" customHeight="1">
      <c r="A17" s="5" t="s">
        <v>17</v>
      </c>
      <c r="B17" s="5" t="s">
        <v>82</v>
      </c>
      <c r="C17" s="5" t="s">
        <v>83</v>
      </c>
    </row>
    <row r="18" ht="42.0" customHeight="1">
      <c r="A18" s="5" t="s">
        <v>19</v>
      </c>
      <c r="B18" s="5" t="s">
        <v>84</v>
      </c>
      <c r="C18" s="5" t="s">
        <v>85</v>
      </c>
    </row>
    <row r="19" ht="42.0" customHeight="1">
      <c r="A19" s="5" t="s">
        <v>21</v>
      </c>
      <c r="B19" s="5" t="s">
        <v>86</v>
      </c>
      <c r="C19" s="5" t="s">
        <v>87</v>
      </c>
    </row>
    <row r="20" ht="42.0" customHeight="1">
      <c r="A20" s="5" t="s">
        <v>23</v>
      </c>
      <c r="B20" s="5" t="s">
        <v>88</v>
      </c>
      <c r="C20" s="5" t="s">
        <v>89</v>
      </c>
    </row>
    <row r="21" ht="42.0" customHeight="1">
      <c r="A21" s="5" t="s">
        <v>25</v>
      </c>
      <c r="B21" s="5" t="s">
        <v>90</v>
      </c>
      <c r="C21" s="5" t="s">
        <v>91</v>
      </c>
    </row>
    <row r="22" ht="42.0" customHeight="1">
      <c r="A22" s="5" t="s">
        <v>27</v>
      </c>
      <c r="B22" s="5" t="s">
        <v>92</v>
      </c>
      <c r="C22" s="5" t="s">
        <v>93</v>
      </c>
    </row>
    <row r="23" ht="42.0" customHeight="1">
      <c r="A23" s="5" t="s">
        <v>94</v>
      </c>
      <c r="B23" s="5" t="s">
        <v>95</v>
      </c>
      <c r="C23" s="5" t="s">
        <v>96</v>
      </c>
    </row>
    <row r="24" ht="42.0" customHeight="1">
      <c r="A24" s="5" t="s">
        <v>97</v>
      </c>
      <c r="B24" s="5" t="s">
        <v>98</v>
      </c>
      <c r="C24" s="5" t="s">
        <v>99</v>
      </c>
    </row>
    <row r="25" ht="42.0" customHeight="1">
      <c r="A25" s="5" t="s">
        <v>100</v>
      </c>
      <c r="B25" s="5" t="s">
        <v>101</v>
      </c>
      <c r="C25" s="5" t="s">
        <v>102</v>
      </c>
    </row>
    <row r="26" ht="42.0" customHeight="1">
      <c r="A26" s="5" t="s">
        <v>103</v>
      </c>
      <c r="B26" s="5" t="s">
        <v>104</v>
      </c>
      <c r="C26" s="5" t="s">
        <v>105</v>
      </c>
    </row>
    <row r="27" ht="15.75" customHeight="1"/>
    <row r="28" ht="15.75" customHeight="1"/>
    <row r="29" ht="24.0" customHeight="1">
      <c r="A29" s="2" t="s">
        <v>106</v>
      </c>
    </row>
    <row r="30" ht="15.75" customHeight="1"/>
    <row r="31" ht="19.5" customHeight="1">
      <c r="A31" s="8" t="s">
        <v>107</v>
      </c>
    </row>
    <row r="32" ht="25.5" customHeight="1">
      <c r="A32" s="4" t="s">
        <v>108</v>
      </c>
      <c r="B32" s="4" t="s">
        <v>109</v>
      </c>
      <c r="C32" s="4" t="s">
        <v>110</v>
      </c>
    </row>
    <row r="33" ht="42.0" customHeight="1">
      <c r="A33" s="5" t="s">
        <v>111</v>
      </c>
      <c r="B33" s="5" t="s">
        <v>112</v>
      </c>
      <c r="C33" s="5" t="s">
        <v>113</v>
      </c>
    </row>
    <row r="34" ht="42.0" customHeight="1">
      <c r="A34" s="5" t="s">
        <v>114</v>
      </c>
      <c r="B34" s="5" t="s">
        <v>115</v>
      </c>
      <c r="C34" s="5" t="s">
        <v>116</v>
      </c>
    </row>
    <row r="35" ht="42.0" customHeight="1">
      <c r="A35" s="5" t="s">
        <v>117</v>
      </c>
      <c r="B35" s="5" t="s">
        <v>118</v>
      </c>
      <c r="C35" s="5" t="s">
        <v>119</v>
      </c>
    </row>
    <row r="36" ht="42.0" customHeight="1">
      <c r="A36" s="5" t="s">
        <v>120</v>
      </c>
      <c r="B36" s="5" t="s">
        <v>121</v>
      </c>
      <c r="C36" s="5" t="s">
        <v>122</v>
      </c>
    </row>
    <row r="37" ht="42.0" customHeight="1">
      <c r="A37" s="5" t="s">
        <v>123</v>
      </c>
      <c r="B37" s="5" t="s">
        <v>124</v>
      </c>
      <c r="C37" s="5" t="s">
        <v>125</v>
      </c>
    </row>
    <row r="38" ht="42.0" customHeight="1">
      <c r="A38" s="5" t="s">
        <v>126</v>
      </c>
      <c r="B38" s="5" t="s">
        <v>127</v>
      </c>
      <c r="C38" s="5" t="s">
        <v>128</v>
      </c>
    </row>
    <row r="39" ht="42.0" customHeight="1">
      <c r="A39" s="5" t="s">
        <v>129</v>
      </c>
      <c r="B39" s="5" t="s">
        <v>130</v>
      </c>
      <c r="C39" s="5" t="s">
        <v>131</v>
      </c>
    </row>
    <row r="40" ht="42.0" customHeight="1">
      <c r="A40" s="5" t="s">
        <v>132</v>
      </c>
      <c r="B40" s="5" t="s">
        <v>133</v>
      </c>
      <c r="C40" s="5" t="s">
        <v>134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6">
    <mergeCell ref="A1:H1"/>
    <mergeCell ref="A3:H3"/>
    <mergeCell ref="A5:H5"/>
    <mergeCell ref="A15:H15"/>
    <mergeCell ref="A29:H29"/>
    <mergeCell ref="A31:H31"/>
  </mergeCells>
  <printOptions/>
  <pageMargins bottom="0.75" footer="0.0" header="0.0" left="0.7" right="0.7" top="0.75"/>
  <pageSetup orientation="landscape"/>
  <drawing r:id="rId1"/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135</v>
      </c>
    </row>
    <row r="3" ht="24.0" customHeight="1">
      <c r="A3" s="2" t="s">
        <v>136</v>
      </c>
    </row>
    <row r="5" ht="19.5" customHeight="1">
      <c r="A5" s="8" t="s">
        <v>137</v>
      </c>
    </row>
    <row r="6" ht="25.5" customHeight="1">
      <c r="A6" s="4" t="s">
        <v>138</v>
      </c>
      <c r="B6" s="4" t="s">
        <v>66</v>
      </c>
    </row>
    <row r="7" ht="42.0" customHeight="1">
      <c r="A7" s="5" t="s">
        <v>139</v>
      </c>
      <c r="B7" s="5" t="s">
        <v>140</v>
      </c>
    </row>
    <row r="8" ht="42.0" customHeight="1">
      <c r="A8" s="5" t="s">
        <v>141</v>
      </c>
      <c r="B8" s="5" t="s">
        <v>142</v>
      </c>
    </row>
    <row r="9" ht="42.0" customHeight="1">
      <c r="A9" s="5" t="s">
        <v>143</v>
      </c>
      <c r="B9" s="5" t="s">
        <v>144</v>
      </c>
    </row>
    <row r="10" ht="42.0" customHeight="1">
      <c r="A10" s="5" t="s">
        <v>145</v>
      </c>
      <c r="B10" s="5" t="s">
        <v>146</v>
      </c>
    </row>
    <row r="11" ht="42.0" customHeight="1">
      <c r="A11" s="5" t="s">
        <v>147</v>
      </c>
      <c r="B11" s="5" t="s">
        <v>148</v>
      </c>
    </row>
    <row r="12" ht="42.0" customHeight="1">
      <c r="A12" s="5" t="s">
        <v>149</v>
      </c>
      <c r="B12" s="5" t="s">
        <v>150</v>
      </c>
    </row>
    <row r="13" ht="42.0" customHeight="1">
      <c r="A13" s="5" t="s">
        <v>151</v>
      </c>
      <c r="B13" s="5" t="s">
        <v>152</v>
      </c>
    </row>
    <row r="16" ht="24.0" customHeight="1">
      <c r="A16" s="2" t="s">
        <v>153</v>
      </c>
    </row>
    <row r="18" ht="25.5" customHeight="1">
      <c r="A18" s="4" t="s">
        <v>154</v>
      </c>
      <c r="B18" s="4" t="s">
        <v>155</v>
      </c>
    </row>
    <row r="19" ht="42.0" customHeight="1">
      <c r="A19" s="5" t="s">
        <v>156</v>
      </c>
      <c r="B19" s="5" t="s">
        <v>157</v>
      </c>
    </row>
    <row r="20" ht="42.0" customHeight="1">
      <c r="A20" s="5" t="s">
        <v>158</v>
      </c>
      <c r="B20" s="5" t="s">
        <v>159</v>
      </c>
    </row>
    <row r="21" ht="42.0" customHeight="1">
      <c r="A21" s="5" t="s">
        <v>160</v>
      </c>
      <c r="B21" s="5" t="s">
        <v>161</v>
      </c>
    </row>
    <row r="22" ht="42.0" customHeight="1">
      <c r="A22" s="5" t="s">
        <v>162</v>
      </c>
      <c r="B22" s="5" t="s">
        <v>163</v>
      </c>
    </row>
    <row r="23" ht="42.0" customHeight="1">
      <c r="A23" s="5" t="s">
        <v>164</v>
      </c>
      <c r="B23" s="5" t="s">
        <v>165</v>
      </c>
    </row>
    <row r="24" ht="42.0" customHeight="1">
      <c r="A24" s="5" t="s">
        <v>126</v>
      </c>
      <c r="B24" s="5" t="s">
        <v>166</v>
      </c>
    </row>
    <row r="25" ht="42.0" customHeight="1">
      <c r="A25" s="5" t="s">
        <v>167</v>
      </c>
      <c r="B25" s="5" t="s">
        <v>168</v>
      </c>
    </row>
    <row r="26" ht="42.0" customHeight="1">
      <c r="A26" s="5" t="s">
        <v>169</v>
      </c>
      <c r="B26" s="5" t="s">
        <v>170</v>
      </c>
    </row>
    <row r="27" ht="15.75" customHeight="1"/>
    <row r="28" ht="15.75" customHeight="1"/>
    <row r="29" ht="24.0" customHeight="1">
      <c r="A29" s="2" t="s">
        <v>171</v>
      </c>
    </row>
    <row r="30" ht="15.75" customHeight="1"/>
    <row r="31" ht="25.5" customHeight="1">
      <c r="A31" s="4" t="s">
        <v>172</v>
      </c>
      <c r="B31" s="14" t="s">
        <v>173</v>
      </c>
      <c r="C31" s="14" t="s">
        <v>174</v>
      </c>
      <c r="D31" s="14" t="s">
        <v>175</v>
      </c>
      <c r="E31" s="4" t="s">
        <v>6</v>
      </c>
    </row>
    <row r="32" ht="42.0" customHeight="1">
      <c r="A32" s="5" t="s">
        <v>176</v>
      </c>
      <c r="B32" s="5" t="s">
        <v>177</v>
      </c>
      <c r="C32" s="5" t="s">
        <v>178</v>
      </c>
      <c r="D32" s="5" t="s">
        <v>178</v>
      </c>
      <c r="E32" s="5" t="s">
        <v>179</v>
      </c>
    </row>
    <row r="33" ht="42.0" customHeight="1">
      <c r="A33" s="5" t="s">
        <v>180</v>
      </c>
      <c r="B33" s="5" t="s">
        <v>181</v>
      </c>
      <c r="C33" s="5" t="s">
        <v>182</v>
      </c>
      <c r="D33" s="5" t="s">
        <v>182</v>
      </c>
      <c r="E33" s="5" t="s">
        <v>183</v>
      </c>
    </row>
    <row r="34" ht="42.0" customHeight="1">
      <c r="A34" s="5" t="s">
        <v>184</v>
      </c>
      <c r="B34" s="6" t="s">
        <v>185</v>
      </c>
      <c r="C34" s="6" t="s">
        <v>185</v>
      </c>
      <c r="D34" s="6" t="s">
        <v>186</v>
      </c>
      <c r="E34" s="5" t="s">
        <v>187</v>
      </c>
    </row>
    <row r="35" ht="42.0" customHeight="1">
      <c r="A35" s="5" t="s">
        <v>188</v>
      </c>
      <c r="B35" s="5" t="s">
        <v>189</v>
      </c>
      <c r="C35" s="5" t="s">
        <v>189</v>
      </c>
      <c r="D35" s="5" t="s">
        <v>189</v>
      </c>
      <c r="E35" s="5" t="s">
        <v>190</v>
      </c>
    </row>
    <row r="36" ht="42.0" customHeight="1">
      <c r="A36" s="5" t="s">
        <v>191</v>
      </c>
      <c r="B36" s="5" t="s">
        <v>8</v>
      </c>
      <c r="C36" s="5" t="s">
        <v>11</v>
      </c>
      <c r="D36" s="5" t="s">
        <v>14</v>
      </c>
      <c r="E36" s="5" t="s">
        <v>192</v>
      </c>
    </row>
    <row r="37" ht="42.0" customHeight="1">
      <c r="A37" s="5" t="s">
        <v>193</v>
      </c>
      <c r="B37" s="5" t="s">
        <v>194</v>
      </c>
      <c r="C37" s="5" t="s">
        <v>195</v>
      </c>
      <c r="D37" s="5" t="s">
        <v>196</v>
      </c>
      <c r="E37" s="5" t="s">
        <v>197</v>
      </c>
    </row>
    <row r="38" ht="42.0" customHeight="1">
      <c r="A38" s="5" t="s">
        <v>198</v>
      </c>
      <c r="B38" s="5" t="s">
        <v>199</v>
      </c>
      <c r="C38" s="5" t="s">
        <v>200</v>
      </c>
      <c r="D38" s="5" t="s">
        <v>201</v>
      </c>
      <c r="E38" s="5" t="s">
        <v>202</v>
      </c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5">
    <mergeCell ref="A1:H1"/>
    <mergeCell ref="A3:H3"/>
    <mergeCell ref="A5:H5"/>
    <mergeCell ref="A16:H16"/>
    <mergeCell ref="A29:H29"/>
  </mergeCells>
  <printOptions/>
  <pageMargins bottom="0.75" footer="0.0" header="0.0" left="0.7" right="0.7" top="0.75"/>
  <pageSetup orientation="landscape"/>
  <drawing r:id="rId1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203</v>
      </c>
    </row>
    <row r="3" ht="24.0" customHeight="1">
      <c r="A3" s="2" t="s">
        <v>203</v>
      </c>
    </row>
    <row r="5" ht="21.75" customHeight="1">
      <c r="A5" s="13" t="s">
        <v>204</v>
      </c>
    </row>
    <row r="6" ht="25.5" customHeight="1">
      <c r="A6" s="4" t="s">
        <v>205</v>
      </c>
      <c r="B6" s="4" t="s">
        <v>206</v>
      </c>
      <c r="C6" s="4" t="s">
        <v>207</v>
      </c>
      <c r="D6" s="4" t="s">
        <v>208</v>
      </c>
      <c r="E6" s="4" t="s">
        <v>209</v>
      </c>
    </row>
    <row r="7" ht="42.0" customHeight="1">
      <c r="A7" s="5" t="s">
        <v>210</v>
      </c>
      <c r="B7" s="5" t="s">
        <v>211</v>
      </c>
      <c r="C7" s="5" t="s">
        <v>212</v>
      </c>
      <c r="D7" s="6" t="s">
        <v>213</v>
      </c>
      <c r="E7" s="5" t="s">
        <v>214</v>
      </c>
    </row>
    <row r="8" ht="42.0" customHeight="1">
      <c r="A8" s="5" t="s">
        <v>215</v>
      </c>
      <c r="B8" s="5" t="s">
        <v>216</v>
      </c>
      <c r="C8" s="5" t="s">
        <v>217</v>
      </c>
      <c r="D8" s="6" t="s">
        <v>213</v>
      </c>
      <c r="E8" s="5" t="s">
        <v>218</v>
      </c>
    </row>
    <row r="9" ht="42.0" customHeight="1">
      <c r="A9" s="5" t="s">
        <v>219</v>
      </c>
      <c r="B9" s="5" t="s">
        <v>220</v>
      </c>
      <c r="C9" s="5" t="s">
        <v>221</v>
      </c>
      <c r="D9" s="6" t="s">
        <v>213</v>
      </c>
      <c r="E9" s="5" t="s">
        <v>222</v>
      </c>
    </row>
    <row r="10" ht="42.0" customHeight="1">
      <c r="A10" s="5" t="s">
        <v>223</v>
      </c>
      <c r="B10" s="5" t="s">
        <v>224</v>
      </c>
      <c r="C10" s="5" t="s">
        <v>225</v>
      </c>
      <c r="D10" s="6" t="s">
        <v>213</v>
      </c>
      <c r="E10" s="5" t="s">
        <v>117</v>
      </c>
    </row>
    <row r="11" ht="42.0" customHeight="1">
      <c r="A11" s="5" t="s">
        <v>226</v>
      </c>
      <c r="B11" s="5" t="s">
        <v>227</v>
      </c>
      <c r="C11" s="5" t="s">
        <v>228</v>
      </c>
      <c r="D11" s="6" t="s">
        <v>213</v>
      </c>
      <c r="E11" s="5" t="s">
        <v>229</v>
      </c>
    </row>
    <row r="12" ht="42.0" customHeight="1">
      <c r="A12" s="5" t="s">
        <v>230</v>
      </c>
      <c r="B12" s="5" t="s">
        <v>231</v>
      </c>
      <c r="C12" s="5" t="s">
        <v>232</v>
      </c>
      <c r="D12" s="6" t="s">
        <v>213</v>
      </c>
      <c r="E12" s="5" t="s">
        <v>233</v>
      </c>
    </row>
    <row r="13" ht="42.0" customHeight="1">
      <c r="A13" s="5" t="s">
        <v>234</v>
      </c>
      <c r="B13" s="5" t="s">
        <v>235</v>
      </c>
      <c r="C13" s="5" t="s">
        <v>236</v>
      </c>
      <c r="D13" s="6" t="s">
        <v>237</v>
      </c>
      <c r="E13" s="5" t="s">
        <v>238</v>
      </c>
    </row>
    <row r="14" ht="42.0" customHeight="1">
      <c r="A14" s="5" t="s">
        <v>239</v>
      </c>
      <c r="B14" s="5" t="s">
        <v>240</v>
      </c>
      <c r="C14" s="5" t="s">
        <v>241</v>
      </c>
      <c r="D14" s="6" t="s">
        <v>213</v>
      </c>
      <c r="E14" s="5" t="s">
        <v>242</v>
      </c>
    </row>
    <row r="17" ht="21.75" customHeight="1">
      <c r="A17" s="13" t="s">
        <v>243</v>
      </c>
    </row>
    <row r="18" ht="25.5" customHeight="1">
      <c r="A18" s="4" t="s">
        <v>244</v>
      </c>
      <c r="B18" s="4" t="s">
        <v>245</v>
      </c>
      <c r="C18" s="4" t="s">
        <v>246</v>
      </c>
    </row>
    <row r="19" ht="42.0" customHeight="1">
      <c r="A19" s="5" t="s">
        <v>247</v>
      </c>
      <c r="B19" s="5" t="s">
        <v>248</v>
      </c>
      <c r="C19" s="5" t="s">
        <v>249</v>
      </c>
    </row>
    <row r="20" ht="42.0" customHeight="1">
      <c r="A20" s="5" t="s">
        <v>250</v>
      </c>
      <c r="B20" s="5" t="s">
        <v>251</v>
      </c>
      <c r="C20" s="5" t="s">
        <v>252</v>
      </c>
    </row>
    <row r="21" ht="42.0" customHeight="1">
      <c r="A21" s="5" t="s">
        <v>253</v>
      </c>
      <c r="B21" s="5" t="s">
        <v>254</v>
      </c>
      <c r="C21" s="5" t="s">
        <v>255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4">
    <mergeCell ref="A1:H1"/>
    <mergeCell ref="A3:H3"/>
    <mergeCell ref="A5:H5"/>
    <mergeCell ref="A17:H17"/>
  </mergeCells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256</v>
      </c>
    </row>
    <row r="3" ht="24.0" customHeight="1">
      <c r="A3" s="2" t="s">
        <v>257</v>
      </c>
    </row>
    <row r="5" ht="21.75" customHeight="1">
      <c r="A5" s="13" t="s">
        <v>258</v>
      </c>
    </row>
    <row r="6" ht="25.5" customHeight="1">
      <c r="A6" s="4" t="s">
        <v>259</v>
      </c>
      <c r="B6" s="4" t="s">
        <v>260</v>
      </c>
    </row>
    <row r="7" ht="42.0" customHeight="1">
      <c r="A7" s="5" t="s">
        <v>261</v>
      </c>
      <c r="B7" s="5" t="s">
        <v>262</v>
      </c>
    </row>
    <row r="8" ht="42.0" customHeight="1">
      <c r="A8" s="5" t="s">
        <v>263</v>
      </c>
      <c r="B8" s="5" t="s">
        <v>264</v>
      </c>
    </row>
    <row r="9" ht="42.0" customHeight="1">
      <c r="A9" s="5" t="s">
        <v>265</v>
      </c>
      <c r="B9" s="5" t="s">
        <v>266</v>
      </c>
    </row>
    <row r="10" ht="42.0" customHeight="1">
      <c r="A10" s="5" t="s">
        <v>267</v>
      </c>
      <c r="B10" s="5" t="s">
        <v>268</v>
      </c>
    </row>
    <row r="11" ht="42.0" customHeight="1">
      <c r="A11" s="5" t="s">
        <v>269</v>
      </c>
      <c r="B11" s="5" t="s">
        <v>270</v>
      </c>
    </row>
    <row r="12" ht="42.0" customHeight="1">
      <c r="A12" s="5" t="s">
        <v>271</v>
      </c>
      <c r="B12" s="5" t="s">
        <v>272</v>
      </c>
    </row>
    <row r="13" ht="42.0" customHeight="1">
      <c r="A13" s="5" t="s">
        <v>273</v>
      </c>
      <c r="B13" s="5" t="s">
        <v>274</v>
      </c>
    </row>
    <row r="16" ht="21.75" customHeight="1">
      <c r="A16" s="13" t="s">
        <v>275</v>
      </c>
    </row>
    <row r="17" ht="25.5" customHeight="1">
      <c r="A17" s="4" t="s">
        <v>51</v>
      </c>
      <c r="B17" s="4" t="s">
        <v>276</v>
      </c>
    </row>
    <row r="18" ht="42.0" customHeight="1">
      <c r="A18" s="5" t="s">
        <v>277</v>
      </c>
      <c r="B18" s="5" t="s">
        <v>278</v>
      </c>
    </row>
    <row r="19" ht="42.0" customHeight="1">
      <c r="A19" s="5" t="s">
        <v>279</v>
      </c>
      <c r="B19" s="5" t="s">
        <v>280</v>
      </c>
    </row>
    <row r="20" ht="42.0" customHeight="1">
      <c r="A20" s="5" t="s">
        <v>281</v>
      </c>
      <c r="B20" s="5" t="s">
        <v>282</v>
      </c>
    </row>
    <row r="21" ht="42.0" customHeight="1">
      <c r="A21" s="5" t="s">
        <v>283</v>
      </c>
      <c r="B21" s="5" t="s">
        <v>284</v>
      </c>
    </row>
    <row r="22" ht="42.0" customHeight="1">
      <c r="A22" s="5" t="s">
        <v>285</v>
      </c>
      <c r="B22" s="5" t="s">
        <v>286</v>
      </c>
    </row>
    <row r="23" ht="15.75" customHeight="1"/>
    <row r="24" ht="15.75" customHeight="1"/>
    <row r="25" ht="24.0" customHeight="1">
      <c r="A25" s="2" t="s">
        <v>287</v>
      </c>
    </row>
    <row r="26" ht="15.75" customHeight="1"/>
    <row r="27" ht="21.75" customHeight="1">
      <c r="A27" s="13" t="s">
        <v>288</v>
      </c>
    </row>
    <row r="28" ht="25.5" customHeight="1">
      <c r="A28" s="4" t="s">
        <v>51</v>
      </c>
      <c r="B28" s="4" t="s">
        <v>66</v>
      </c>
    </row>
    <row r="29" ht="42.0" customHeight="1">
      <c r="A29" s="5" t="s">
        <v>289</v>
      </c>
      <c r="B29" s="5" t="s">
        <v>189</v>
      </c>
    </row>
    <row r="30" ht="42.0" customHeight="1">
      <c r="A30" s="5" t="s">
        <v>86</v>
      </c>
      <c r="B30" s="5" t="s">
        <v>189</v>
      </c>
    </row>
    <row r="31" ht="42.0" customHeight="1">
      <c r="A31" s="5" t="s">
        <v>290</v>
      </c>
      <c r="B31" s="5" t="s">
        <v>189</v>
      </c>
    </row>
    <row r="32" ht="42.0" customHeight="1">
      <c r="A32" s="5" t="s">
        <v>291</v>
      </c>
      <c r="B32" s="5" t="s">
        <v>292</v>
      </c>
    </row>
    <row r="33" ht="42.0" customHeight="1">
      <c r="A33" s="5" t="s">
        <v>293</v>
      </c>
      <c r="B33" s="5" t="s">
        <v>294</v>
      </c>
    </row>
    <row r="34" ht="42.0" customHeight="1">
      <c r="A34" s="5" t="s">
        <v>295</v>
      </c>
      <c r="B34" s="5" t="s">
        <v>294</v>
      </c>
    </row>
    <row r="35" ht="42.0" customHeight="1">
      <c r="A35" s="5" t="s">
        <v>296</v>
      </c>
      <c r="B35" s="5" t="s">
        <v>297</v>
      </c>
    </row>
    <row r="36" ht="42.0" customHeight="1">
      <c r="A36" s="5" t="s">
        <v>298</v>
      </c>
      <c r="B36" s="5" t="s">
        <v>299</v>
      </c>
    </row>
    <row r="37" ht="15.75" customHeight="1"/>
    <row r="38" ht="15.75" customHeight="1"/>
    <row r="39" ht="21.75" customHeight="1">
      <c r="A39" s="13" t="s">
        <v>300</v>
      </c>
    </row>
    <row r="40" ht="25.5" customHeight="1">
      <c r="A40" s="4" t="s">
        <v>301</v>
      </c>
      <c r="B40" s="4" t="s">
        <v>155</v>
      </c>
    </row>
    <row r="41" ht="42.0" customHeight="1">
      <c r="A41" s="5" t="s">
        <v>302</v>
      </c>
      <c r="B41" s="5" t="s">
        <v>303</v>
      </c>
    </row>
    <row r="42" ht="42.0" customHeight="1">
      <c r="A42" s="5" t="s">
        <v>304</v>
      </c>
      <c r="B42" s="5" t="s">
        <v>305</v>
      </c>
    </row>
    <row r="43" ht="42.0" customHeight="1">
      <c r="A43" s="5" t="s">
        <v>306</v>
      </c>
      <c r="B43" s="5" t="s">
        <v>307</v>
      </c>
    </row>
    <row r="44" ht="42.0" customHeight="1">
      <c r="A44" s="5" t="s">
        <v>308</v>
      </c>
      <c r="B44" s="5" t="s">
        <v>309</v>
      </c>
    </row>
    <row r="45" ht="42.0" customHeight="1">
      <c r="A45" s="5" t="s">
        <v>310</v>
      </c>
      <c r="B45" s="5" t="s">
        <v>311</v>
      </c>
    </row>
    <row r="46" ht="15.75" customHeight="1"/>
    <row r="47" ht="15.75" customHeight="1"/>
    <row r="48" ht="24.0" customHeight="1">
      <c r="A48" s="2" t="s">
        <v>312</v>
      </c>
    </row>
    <row r="49" ht="15.75" customHeight="1"/>
    <row r="50" ht="25.5" customHeight="1">
      <c r="A50" s="4" t="s">
        <v>313</v>
      </c>
      <c r="B50" s="4" t="s">
        <v>66</v>
      </c>
      <c r="C50" s="4" t="s">
        <v>314</v>
      </c>
    </row>
    <row r="51" ht="42.0" customHeight="1">
      <c r="A51" s="5" t="s">
        <v>315</v>
      </c>
      <c r="B51" s="5" t="s">
        <v>316</v>
      </c>
      <c r="C51" s="5" t="s">
        <v>317</v>
      </c>
    </row>
    <row r="52" ht="42.0" customHeight="1">
      <c r="A52" s="5" t="s">
        <v>318</v>
      </c>
      <c r="B52" s="5" t="s">
        <v>319</v>
      </c>
      <c r="C52" s="5" t="s">
        <v>320</v>
      </c>
    </row>
    <row r="53" ht="42.0" customHeight="1">
      <c r="A53" s="5" t="s">
        <v>231</v>
      </c>
      <c r="B53" s="5" t="s">
        <v>321</v>
      </c>
      <c r="C53" s="5" t="s">
        <v>322</v>
      </c>
    </row>
    <row r="54" ht="42.0" customHeight="1">
      <c r="A54" s="5" t="s">
        <v>323</v>
      </c>
      <c r="B54" s="5" t="s">
        <v>324</v>
      </c>
      <c r="C54" s="5" t="s">
        <v>325</v>
      </c>
    </row>
    <row r="55" ht="42.0" customHeight="1">
      <c r="A55" s="5" t="s">
        <v>326</v>
      </c>
      <c r="B55" s="5" t="s">
        <v>327</v>
      </c>
      <c r="C55" s="5" t="s">
        <v>328</v>
      </c>
    </row>
    <row r="56" ht="15.75" customHeight="1"/>
    <row r="57" ht="15.75" customHeight="1"/>
    <row r="58" ht="21.75" customHeight="1">
      <c r="A58" s="13" t="s">
        <v>329</v>
      </c>
    </row>
    <row r="59" ht="19.5" customHeight="1">
      <c r="A59" s="8" t="s">
        <v>330</v>
      </c>
    </row>
    <row r="60" ht="25.5" customHeight="1">
      <c r="A60" s="4" t="s">
        <v>331</v>
      </c>
      <c r="B60" s="4" t="s">
        <v>332</v>
      </c>
      <c r="C60" s="4" t="s">
        <v>5</v>
      </c>
    </row>
    <row r="61" ht="42.0" customHeight="1">
      <c r="A61" s="5" t="s">
        <v>333</v>
      </c>
      <c r="B61" s="5" t="s">
        <v>17</v>
      </c>
      <c r="C61" s="5" t="s">
        <v>334</v>
      </c>
    </row>
    <row r="62" ht="42.0" customHeight="1">
      <c r="A62" s="5" t="s">
        <v>250</v>
      </c>
      <c r="B62" s="5" t="s">
        <v>25</v>
      </c>
      <c r="C62" s="5" t="s">
        <v>335</v>
      </c>
    </row>
    <row r="63" ht="42.0" customHeight="1">
      <c r="A63" s="5" t="s">
        <v>336</v>
      </c>
      <c r="B63" s="5" t="s">
        <v>337</v>
      </c>
      <c r="C63" s="5" t="s">
        <v>338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0">
    <mergeCell ref="A39:H39"/>
    <mergeCell ref="A48:H48"/>
    <mergeCell ref="A58:H58"/>
    <mergeCell ref="A59:H59"/>
    <mergeCell ref="A1:H1"/>
    <mergeCell ref="A3:H3"/>
    <mergeCell ref="A5:H5"/>
    <mergeCell ref="A16:H16"/>
    <mergeCell ref="A25:H25"/>
    <mergeCell ref="A27:H27"/>
  </mergeCells>
  <printOptions/>
  <pageMargins bottom="0.75" footer="0.0" header="0.0" left="0.7" right="0.7" top="0.75"/>
  <pageSetup orientation="landscape"/>
  <drawing r:id="rId1"/>
  <tableParts count="6">
    <tablePart r:id="rId8"/>
    <tablePart r:id="rId9"/>
    <tablePart r:id="rId10"/>
    <tablePart r:id="rId11"/>
    <tablePart r:id="rId12"/>
    <tablePart r:id="rId1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339</v>
      </c>
    </row>
    <row r="3" ht="24.0" customHeight="1">
      <c r="A3" s="2" t="s">
        <v>340</v>
      </c>
    </row>
    <row r="5" ht="21.75" customHeight="1">
      <c r="A5" s="13" t="s">
        <v>341</v>
      </c>
    </row>
    <row r="6" ht="25.5" customHeight="1">
      <c r="A6" s="4" t="s">
        <v>259</v>
      </c>
      <c r="B6" s="4" t="s">
        <v>342</v>
      </c>
      <c r="C6" s="4" t="s">
        <v>343</v>
      </c>
    </row>
    <row r="7" ht="42.0" customHeight="1">
      <c r="A7" s="5" t="s">
        <v>344</v>
      </c>
      <c r="B7" s="5" t="s">
        <v>345</v>
      </c>
      <c r="C7" s="5" t="s">
        <v>346</v>
      </c>
    </row>
    <row r="8" ht="42.0" customHeight="1">
      <c r="A8" s="5" t="s">
        <v>347</v>
      </c>
      <c r="B8" s="5" t="s">
        <v>348</v>
      </c>
      <c r="C8" s="5" t="s">
        <v>349</v>
      </c>
    </row>
    <row r="9" ht="42.0" customHeight="1">
      <c r="A9" s="5" t="s">
        <v>350</v>
      </c>
      <c r="B9" s="5" t="s">
        <v>351</v>
      </c>
      <c r="C9" s="5" t="s">
        <v>352</v>
      </c>
    </row>
    <row r="10" ht="42.0" customHeight="1">
      <c r="A10" s="5" t="s">
        <v>353</v>
      </c>
      <c r="B10" s="5" t="s">
        <v>354</v>
      </c>
      <c r="C10" s="5" t="s">
        <v>355</v>
      </c>
    </row>
    <row r="11" ht="42.0" customHeight="1">
      <c r="A11" s="5" t="s">
        <v>356</v>
      </c>
      <c r="B11" s="5" t="s">
        <v>357</v>
      </c>
      <c r="C11" s="5" t="s">
        <v>358</v>
      </c>
    </row>
    <row r="12" ht="42.0" customHeight="1">
      <c r="A12" s="5" t="s">
        <v>162</v>
      </c>
      <c r="B12" s="5" t="s">
        <v>359</v>
      </c>
      <c r="C12" s="5" t="s">
        <v>360</v>
      </c>
    </row>
    <row r="13" ht="42.0" customHeight="1">
      <c r="A13" s="5" t="s">
        <v>361</v>
      </c>
      <c r="B13" s="5" t="s">
        <v>362</v>
      </c>
      <c r="C13" s="5" t="s">
        <v>363</v>
      </c>
    </row>
    <row r="14" ht="42.0" customHeight="1">
      <c r="A14" s="5" t="s">
        <v>364</v>
      </c>
      <c r="B14" s="5" t="s">
        <v>365</v>
      </c>
      <c r="C14" s="5" t="s">
        <v>366</v>
      </c>
    </row>
    <row r="17" ht="21.75" customHeight="1">
      <c r="A17" s="13" t="s">
        <v>367</v>
      </c>
    </row>
    <row r="18" ht="25.5" customHeight="1">
      <c r="A18" s="4" t="s">
        <v>108</v>
      </c>
      <c r="B18" s="4" t="s">
        <v>368</v>
      </c>
    </row>
    <row r="19" ht="42.0" customHeight="1">
      <c r="A19" s="5" t="s">
        <v>126</v>
      </c>
      <c r="B19" s="5" t="s">
        <v>369</v>
      </c>
    </row>
    <row r="20" ht="42.0" customHeight="1">
      <c r="A20" s="5" t="s">
        <v>156</v>
      </c>
      <c r="B20" s="5" t="s">
        <v>370</v>
      </c>
    </row>
    <row r="21" ht="42.0" customHeight="1">
      <c r="A21" s="5" t="s">
        <v>162</v>
      </c>
      <c r="B21" s="5" t="s">
        <v>371</v>
      </c>
    </row>
    <row r="22" ht="42.0" customHeight="1">
      <c r="A22" s="5" t="s">
        <v>164</v>
      </c>
      <c r="B22" s="5" t="s">
        <v>372</v>
      </c>
    </row>
    <row r="23" ht="42.0" customHeight="1">
      <c r="A23" s="5" t="s">
        <v>169</v>
      </c>
      <c r="B23" s="5" t="s">
        <v>373</v>
      </c>
    </row>
    <row r="24" ht="42.0" customHeight="1">
      <c r="A24" s="5" t="s">
        <v>374</v>
      </c>
      <c r="B24" s="5" t="s">
        <v>375</v>
      </c>
    </row>
    <row r="25" ht="15.75" customHeight="1"/>
    <row r="26" ht="15.75" customHeight="1"/>
    <row r="27" ht="24.0" customHeight="1">
      <c r="A27" s="2" t="s">
        <v>376</v>
      </c>
    </row>
    <row r="28" ht="15.75" customHeight="1"/>
    <row r="29" ht="25.5" customHeight="1">
      <c r="A29" s="4" t="s">
        <v>377</v>
      </c>
      <c r="B29" s="4" t="s">
        <v>378</v>
      </c>
      <c r="C29" s="4" t="s">
        <v>379</v>
      </c>
    </row>
    <row r="30" ht="42.0" customHeight="1">
      <c r="A30" s="5" t="s">
        <v>17</v>
      </c>
      <c r="B30" s="5" t="s">
        <v>380</v>
      </c>
      <c r="C30" s="5" t="s">
        <v>381</v>
      </c>
    </row>
    <row r="31" ht="42.0" customHeight="1">
      <c r="A31" s="5" t="s">
        <v>19</v>
      </c>
      <c r="B31" s="5" t="s">
        <v>382</v>
      </c>
      <c r="C31" s="5" t="s">
        <v>383</v>
      </c>
    </row>
    <row r="32" ht="42.0" customHeight="1">
      <c r="A32" s="5" t="s">
        <v>21</v>
      </c>
      <c r="B32" s="5" t="s">
        <v>384</v>
      </c>
      <c r="C32" s="5" t="s">
        <v>385</v>
      </c>
    </row>
    <row r="33" ht="42.0" customHeight="1">
      <c r="A33" s="5" t="s">
        <v>23</v>
      </c>
      <c r="B33" s="5" t="s">
        <v>386</v>
      </c>
      <c r="C33" s="5" t="s">
        <v>387</v>
      </c>
    </row>
    <row r="34" ht="42.0" customHeight="1">
      <c r="A34" s="5" t="s">
        <v>25</v>
      </c>
      <c r="B34" s="5" t="s">
        <v>388</v>
      </c>
      <c r="C34" s="5" t="s">
        <v>389</v>
      </c>
    </row>
    <row r="35" ht="42.0" customHeight="1">
      <c r="A35" s="5" t="s">
        <v>27</v>
      </c>
      <c r="B35" s="5" t="s">
        <v>390</v>
      </c>
      <c r="C35" s="5" t="s">
        <v>391</v>
      </c>
    </row>
    <row r="36" ht="42.0" customHeight="1">
      <c r="A36" s="5" t="s">
        <v>94</v>
      </c>
      <c r="B36" s="5" t="s">
        <v>392</v>
      </c>
      <c r="C36" s="5" t="s">
        <v>393</v>
      </c>
    </row>
    <row r="37" ht="42.0" customHeight="1">
      <c r="A37" s="5" t="s">
        <v>97</v>
      </c>
      <c r="B37" s="5" t="s">
        <v>394</v>
      </c>
      <c r="C37" s="5" t="s">
        <v>395</v>
      </c>
    </row>
    <row r="38" ht="42.0" customHeight="1">
      <c r="A38" s="5" t="s">
        <v>100</v>
      </c>
      <c r="B38" s="5" t="s">
        <v>396</v>
      </c>
      <c r="C38" s="5" t="s">
        <v>397</v>
      </c>
    </row>
    <row r="39" ht="42.0" customHeight="1">
      <c r="A39" s="5" t="s">
        <v>103</v>
      </c>
      <c r="B39" s="5" t="s">
        <v>398</v>
      </c>
      <c r="C39" s="5" t="s">
        <v>399</v>
      </c>
    </row>
    <row r="40" ht="42.0" customHeight="1">
      <c r="A40" s="5" t="s">
        <v>400</v>
      </c>
      <c r="B40" s="5" t="s">
        <v>401</v>
      </c>
      <c r="C40" s="5" t="s">
        <v>402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5">
    <mergeCell ref="A1:H1"/>
    <mergeCell ref="A3:H3"/>
    <mergeCell ref="A5:H5"/>
    <mergeCell ref="A17:H17"/>
    <mergeCell ref="A27:H27"/>
  </mergeCells>
  <printOptions/>
  <pageMargins bottom="0.75" footer="0.0" header="0.0" left="0.7" right="0.7" top="0.75"/>
  <pageSetup orientation="landscape"/>
  <drawing r:id="rId1"/>
  <tableParts count="3"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403</v>
      </c>
    </row>
    <row r="3" ht="24.0" customHeight="1">
      <c r="A3" s="2" t="s">
        <v>404</v>
      </c>
    </row>
    <row r="5" ht="25.5" customHeight="1">
      <c r="A5" s="4" t="s">
        <v>405</v>
      </c>
      <c r="B5" s="4" t="s">
        <v>406</v>
      </c>
    </row>
    <row r="6" ht="42.0" customHeight="1">
      <c r="A6" s="5" t="s">
        <v>407</v>
      </c>
      <c r="B6" s="5" t="s">
        <v>408</v>
      </c>
    </row>
    <row r="7" ht="42.0" customHeight="1">
      <c r="A7" s="5" t="s">
        <v>409</v>
      </c>
      <c r="B7" s="5" t="s">
        <v>410</v>
      </c>
    </row>
    <row r="8" ht="42.0" customHeight="1">
      <c r="A8" s="5" t="s">
        <v>411</v>
      </c>
      <c r="B8" s="5" t="s">
        <v>412</v>
      </c>
    </row>
    <row r="9" ht="42.0" customHeight="1">
      <c r="A9" s="5" t="s">
        <v>413</v>
      </c>
      <c r="B9" s="5" t="s">
        <v>414</v>
      </c>
    </row>
    <row r="10" ht="42.0" customHeight="1">
      <c r="A10" s="5" t="s">
        <v>415</v>
      </c>
      <c r="B10" s="5" t="s">
        <v>416</v>
      </c>
    </row>
    <row r="11" ht="42.0" customHeight="1">
      <c r="A11" s="5" t="s">
        <v>417</v>
      </c>
      <c r="B11" s="5" t="s">
        <v>418</v>
      </c>
    </row>
    <row r="14" ht="24.0" customHeight="1">
      <c r="A14" s="2" t="s">
        <v>419</v>
      </c>
    </row>
    <row r="16" ht="25.5" customHeight="1">
      <c r="A16" s="4" t="s">
        <v>420</v>
      </c>
      <c r="B16" s="4" t="s">
        <v>421</v>
      </c>
    </row>
    <row r="17" ht="42.0" customHeight="1">
      <c r="A17" s="5" t="s">
        <v>422</v>
      </c>
      <c r="B17" s="5" t="s">
        <v>423</v>
      </c>
    </row>
    <row r="18" ht="42.0" customHeight="1">
      <c r="A18" s="5" t="s">
        <v>424</v>
      </c>
      <c r="B18" s="5" t="s">
        <v>425</v>
      </c>
    </row>
    <row r="19" ht="42.0" customHeight="1">
      <c r="A19" s="5" t="s">
        <v>426</v>
      </c>
      <c r="B19" s="5" t="s">
        <v>427</v>
      </c>
    </row>
    <row r="20" ht="42.0" customHeight="1">
      <c r="A20" s="5" t="s">
        <v>428</v>
      </c>
      <c r="B20" s="5" t="s">
        <v>429</v>
      </c>
    </row>
    <row r="21" ht="42.0" customHeight="1">
      <c r="A21" s="5" t="s">
        <v>430</v>
      </c>
      <c r="B21" s="5" t="s">
        <v>431</v>
      </c>
    </row>
    <row r="22" ht="42.0" customHeight="1">
      <c r="A22" s="5" t="s">
        <v>432</v>
      </c>
      <c r="B22" s="5" t="s">
        <v>433</v>
      </c>
    </row>
    <row r="23" ht="15.75" customHeight="1"/>
    <row r="24" ht="15.75" customHeight="1"/>
    <row r="25" ht="24.0" customHeight="1">
      <c r="A25" s="2" t="s">
        <v>434</v>
      </c>
    </row>
    <row r="26" ht="15.75" customHeight="1"/>
    <row r="27" ht="25.5" customHeight="1">
      <c r="A27" s="4" t="s">
        <v>435</v>
      </c>
      <c r="B27" s="4" t="s">
        <v>378</v>
      </c>
      <c r="C27" s="4" t="s">
        <v>436</v>
      </c>
    </row>
    <row r="28" ht="42.0" customHeight="1">
      <c r="A28" s="5" t="s">
        <v>437</v>
      </c>
      <c r="B28" s="5" t="s">
        <v>438</v>
      </c>
      <c r="C28" s="5" t="s">
        <v>439</v>
      </c>
    </row>
    <row r="29" ht="42.0" customHeight="1">
      <c r="A29" s="5" t="s">
        <v>440</v>
      </c>
      <c r="B29" s="5" t="s">
        <v>441</v>
      </c>
      <c r="C29" s="5" t="s">
        <v>442</v>
      </c>
    </row>
    <row r="30" ht="42.0" customHeight="1">
      <c r="A30" s="5" t="s">
        <v>443</v>
      </c>
      <c r="B30" s="5" t="s">
        <v>444</v>
      </c>
      <c r="C30" s="5" t="s">
        <v>445</v>
      </c>
    </row>
    <row r="31" ht="42.0" customHeight="1">
      <c r="A31" s="5" t="s">
        <v>446</v>
      </c>
      <c r="B31" s="5" t="s">
        <v>447</v>
      </c>
      <c r="C31" s="5" t="s">
        <v>448</v>
      </c>
    </row>
    <row r="32" ht="42.0" customHeight="1">
      <c r="A32" s="5" t="s">
        <v>449</v>
      </c>
      <c r="B32" s="5" t="s">
        <v>450</v>
      </c>
      <c r="C32" s="5" t="s">
        <v>451</v>
      </c>
    </row>
    <row r="33" ht="42.0" customHeight="1">
      <c r="A33" s="5" t="s">
        <v>452</v>
      </c>
      <c r="B33" s="5" t="s">
        <v>453</v>
      </c>
      <c r="C33" s="5" t="s">
        <v>454</v>
      </c>
    </row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4">
    <mergeCell ref="A1:H1"/>
    <mergeCell ref="A3:H3"/>
    <mergeCell ref="A14:H14"/>
    <mergeCell ref="A25:H25"/>
  </mergeCells>
  <printOptions/>
  <pageMargins bottom="0.75" footer="0.0" header="0.0" left="0.7" right="0.7" top="0.75"/>
  <pageSetup orientation="landscape"/>
  <drawing r:id="rId1"/>
  <tableParts count="3"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0.0"/>
    <col customWidth="1" min="3" max="5" width="42.0"/>
    <col customWidth="1" min="6" max="8" width="28.0"/>
    <col customWidth="1" min="9" max="26" width="8.63"/>
  </cols>
  <sheetData>
    <row r="1" ht="27.75" customHeight="1">
      <c r="A1" s="10" t="s">
        <v>455</v>
      </c>
    </row>
    <row r="3" ht="24.0" customHeight="1">
      <c r="A3" s="2" t="s">
        <v>455</v>
      </c>
    </row>
    <row r="5" ht="21.75" customHeight="1">
      <c r="A5" s="13" t="s">
        <v>456</v>
      </c>
    </row>
    <row r="6" ht="25.5" customHeight="1">
      <c r="A6" s="4" t="s">
        <v>436</v>
      </c>
      <c r="B6" s="4" t="s">
        <v>66</v>
      </c>
    </row>
    <row r="7" ht="42.0" customHeight="1">
      <c r="A7" s="5" t="s">
        <v>439</v>
      </c>
      <c r="B7" s="5" t="s">
        <v>457</v>
      </c>
    </row>
    <row r="8" ht="42.0" customHeight="1">
      <c r="A8" s="5" t="s">
        <v>84</v>
      </c>
      <c r="B8" s="5" t="s">
        <v>458</v>
      </c>
    </row>
    <row r="9" ht="42.0" customHeight="1">
      <c r="A9" s="5" t="s">
        <v>459</v>
      </c>
      <c r="B9" s="5" t="s">
        <v>444</v>
      </c>
    </row>
    <row r="10" ht="42.0" customHeight="1">
      <c r="A10" s="5" t="s">
        <v>460</v>
      </c>
      <c r="B10" s="5" t="s">
        <v>461</v>
      </c>
    </row>
    <row r="11" ht="42.0" customHeight="1">
      <c r="A11" s="5" t="s">
        <v>462</v>
      </c>
      <c r="B11" s="5" t="s">
        <v>463</v>
      </c>
    </row>
    <row r="12" ht="42.0" customHeight="1">
      <c r="A12" s="5" t="s">
        <v>464</v>
      </c>
      <c r="B12" s="5" t="s">
        <v>465</v>
      </c>
    </row>
    <row r="13" ht="42.0" customHeight="1">
      <c r="A13" s="5" t="s">
        <v>466</v>
      </c>
      <c r="B13" s="5" t="s">
        <v>467</v>
      </c>
    </row>
    <row r="16" ht="21.75" customHeight="1">
      <c r="A16" s="13" t="s">
        <v>468</v>
      </c>
    </row>
    <row r="17" ht="25.5" customHeight="1">
      <c r="A17" s="4" t="s">
        <v>51</v>
      </c>
      <c r="B17" s="4" t="s">
        <v>276</v>
      </c>
    </row>
    <row r="18" ht="42.0" customHeight="1">
      <c r="A18" s="5" t="s">
        <v>469</v>
      </c>
      <c r="B18" s="5" t="s">
        <v>470</v>
      </c>
    </row>
    <row r="19" ht="42.0" customHeight="1">
      <c r="A19" s="5" t="s">
        <v>471</v>
      </c>
      <c r="B19" s="5" t="s">
        <v>472</v>
      </c>
    </row>
    <row r="20" ht="42.0" customHeight="1">
      <c r="A20" s="5" t="s">
        <v>473</v>
      </c>
      <c r="B20" s="5" t="s">
        <v>474</v>
      </c>
    </row>
    <row r="21" ht="42.0" customHeight="1">
      <c r="A21" s="5" t="s">
        <v>475</v>
      </c>
      <c r="B21" s="5" t="s">
        <v>476</v>
      </c>
    </row>
    <row r="22" ht="42.0" customHeight="1">
      <c r="A22" s="5" t="s">
        <v>477</v>
      </c>
      <c r="B22" s="5" t="s">
        <v>478</v>
      </c>
    </row>
    <row r="23" ht="42.0" customHeight="1">
      <c r="A23" s="5" t="s">
        <v>479</v>
      </c>
      <c r="B23" s="5" t="s">
        <v>480</v>
      </c>
    </row>
    <row r="24" ht="42.0" customHeight="1">
      <c r="A24" s="5" t="s">
        <v>481</v>
      </c>
      <c r="B24" s="5" t="s">
        <v>482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4">
    <mergeCell ref="A1:H1"/>
    <mergeCell ref="A3:H3"/>
    <mergeCell ref="A5:H5"/>
    <mergeCell ref="A16:H16"/>
  </mergeCells>
  <printOptions/>
  <pageMargins bottom="0.75" footer="0.0" header="0.0" left="0.7" right="0.7" top="0.75"/>
  <pageSetup orientation="landscape"/>
  <drawing r:id="rId1"/>
  <tableParts count="2"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34.0"/>
    <col customWidth="1" min="3" max="3" width="50.0"/>
    <col customWidth="1" min="4" max="4" width="14.0"/>
    <col customWidth="1" min="5" max="5" width="16.0"/>
    <col customWidth="1" min="6" max="6" width="42.0"/>
    <col customWidth="1" min="7" max="26" width="8.63"/>
  </cols>
  <sheetData>
    <row r="1" ht="27.75" customHeight="1">
      <c r="A1" s="10" t="s">
        <v>483</v>
      </c>
    </row>
    <row r="3" ht="25.5" customHeight="1">
      <c r="A3" s="4" t="s">
        <v>4</v>
      </c>
      <c r="B3" s="4" t="s">
        <v>80</v>
      </c>
      <c r="C3" s="4" t="s">
        <v>81</v>
      </c>
      <c r="D3" s="4" t="s">
        <v>484</v>
      </c>
      <c r="E3" s="4" t="s">
        <v>485</v>
      </c>
      <c r="F3" s="4" t="s">
        <v>486</v>
      </c>
    </row>
    <row r="4">
      <c r="A4" s="5" t="s">
        <v>17</v>
      </c>
      <c r="B4" s="5" t="s">
        <v>82</v>
      </c>
      <c r="C4" s="5" t="s">
        <v>83</v>
      </c>
      <c r="D4" s="5" t="s">
        <v>487</v>
      </c>
      <c r="E4" s="5"/>
      <c r="F4" s="5"/>
    </row>
    <row r="5">
      <c r="A5" s="5" t="s">
        <v>19</v>
      </c>
      <c r="B5" s="5" t="s">
        <v>84</v>
      </c>
      <c r="C5" s="5" t="s">
        <v>85</v>
      </c>
      <c r="D5" s="5" t="s">
        <v>487</v>
      </c>
      <c r="E5" s="5"/>
      <c r="F5" s="5"/>
    </row>
    <row r="6">
      <c r="A6" s="5" t="s">
        <v>21</v>
      </c>
      <c r="B6" s="5" t="s">
        <v>86</v>
      </c>
      <c r="C6" s="5" t="s">
        <v>87</v>
      </c>
      <c r="D6" s="5" t="s">
        <v>487</v>
      </c>
      <c r="E6" s="5"/>
      <c r="F6" s="5"/>
    </row>
    <row r="7">
      <c r="A7" s="5" t="s">
        <v>23</v>
      </c>
      <c r="B7" s="5" t="s">
        <v>88</v>
      </c>
      <c r="C7" s="5" t="s">
        <v>89</v>
      </c>
      <c r="D7" s="5" t="s">
        <v>487</v>
      </c>
      <c r="E7" s="5"/>
      <c r="F7" s="5"/>
    </row>
    <row r="8">
      <c r="A8" s="5" t="s">
        <v>25</v>
      </c>
      <c r="B8" s="5" t="s">
        <v>90</v>
      </c>
      <c r="C8" s="5" t="s">
        <v>91</v>
      </c>
      <c r="D8" s="5" t="s">
        <v>487</v>
      </c>
      <c r="E8" s="5"/>
      <c r="F8" s="5"/>
    </row>
    <row r="9">
      <c r="A9" s="5" t="s">
        <v>27</v>
      </c>
      <c r="B9" s="5" t="s">
        <v>92</v>
      </c>
      <c r="C9" s="5" t="s">
        <v>93</v>
      </c>
      <c r="D9" s="5" t="s">
        <v>487</v>
      </c>
      <c r="E9" s="5"/>
      <c r="F9" s="5"/>
    </row>
    <row r="10">
      <c r="A10" s="5" t="s">
        <v>94</v>
      </c>
      <c r="B10" s="5" t="s">
        <v>95</v>
      </c>
      <c r="C10" s="5" t="s">
        <v>96</v>
      </c>
      <c r="D10" s="5" t="s">
        <v>487</v>
      </c>
      <c r="E10" s="5"/>
      <c r="F10" s="5"/>
    </row>
    <row r="11">
      <c r="A11" s="5" t="s">
        <v>97</v>
      </c>
      <c r="B11" s="5" t="s">
        <v>98</v>
      </c>
      <c r="C11" s="5" t="s">
        <v>99</v>
      </c>
      <c r="D11" s="5" t="s">
        <v>487</v>
      </c>
      <c r="E11" s="5"/>
      <c r="F11" s="5"/>
    </row>
    <row r="12">
      <c r="A12" s="5" t="s">
        <v>100</v>
      </c>
      <c r="B12" s="5" t="s">
        <v>101</v>
      </c>
      <c r="C12" s="5" t="s">
        <v>102</v>
      </c>
      <c r="D12" s="5" t="s">
        <v>487</v>
      </c>
      <c r="E12" s="5"/>
      <c r="F12" s="5"/>
    </row>
    <row r="13">
      <c r="A13" s="5" t="s">
        <v>103</v>
      </c>
      <c r="B13" s="5" t="s">
        <v>104</v>
      </c>
      <c r="C13" s="5" t="s">
        <v>105</v>
      </c>
      <c r="D13" s="5" t="s">
        <v>487</v>
      </c>
      <c r="E13" s="5"/>
      <c r="F13" s="5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">
    <mergeCell ref="A1:F1"/>
  </mergeCells>
  <dataValidations>
    <dataValidation type="list" allowBlank="1" sqref="D4:D13">
      <formula1>"未確認,確認中,確認済,保留"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2.0"/>
    <col customWidth="1" min="2" max="2" width="11.0"/>
    <col customWidth="1" min="3" max="3" width="34.0"/>
    <col customWidth="1" min="4" max="5" width="40.0"/>
    <col customWidth="1" min="6" max="6" width="22.0"/>
    <col customWidth="1" min="7" max="7" width="20.0"/>
    <col customWidth="1" min="8" max="26" width="8.63"/>
  </cols>
  <sheetData>
    <row r="1" ht="31.5" customHeight="1">
      <c r="A1" s="15" t="s">
        <v>488</v>
      </c>
    </row>
    <row r="2">
      <c r="A2" s="16" t="s">
        <v>489</v>
      </c>
    </row>
    <row r="3">
      <c r="A3" s="17"/>
      <c r="B3" s="17"/>
      <c r="C3" s="17"/>
      <c r="D3" s="17"/>
      <c r="E3" s="17"/>
      <c r="F3" s="17"/>
      <c r="G3" s="17"/>
    </row>
    <row r="4">
      <c r="A4" s="18" t="s">
        <v>490</v>
      </c>
      <c r="B4" s="18" t="s">
        <v>491</v>
      </c>
      <c r="C4" s="18" t="s">
        <v>492</v>
      </c>
      <c r="D4" s="18" t="s">
        <v>493</v>
      </c>
      <c r="E4" s="18" t="s">
        <v>494</v>
      </c>
      <c r="F4" s="18" t="s">
        <v>495</v>
      </c>
      <c r="G4" s="18" t="s">
        <v>484</v>
      </c>
    </row>
    <row r="5" ht="43.5" customHeight="1">
      <c r="A5" s="19" t="s">
        <v>496</v>
      </c>
      <c r="B5" s="20" t="s">
        <v>497</v>
      </c>
      <c r="C5" s="19" t="s">
        <v>498</v>
      </c>
      <c r="D5" s="19" t="s">
        <v>499</v>
      </c>
      <c r="E5" s="19" t="s">
        <v>500</v>
      </c>
      <c r="F5" s="19" t="s">
        <v>501</v>
      </c>
      <c r="G5" s="19" t="s">
        <v>502</v>
      </c>
    </row>
    <row r="6" ht="43.5" customHeight="1">
      <c r="A6" s="19" t="s">
        <v>503</v>
      </c>
      <c r="B6" s="20" t="s">
        <v>497</v>
      </c>
      <c r="C6" s="19" t="s">
        <v>504</v>
      </c>
      <c r="D6" s="19" t="s">
        <v>505</v>
      </c>
      <c r="E6" s="19" t="s">
        <v>506</v>
      </c>
      <c r="F6" s="19" t="s">
        <v>507</v>
      </c>
      <c r="G6" s="19" t="s">
        <v>502</v>
      </c>
    </row>
    <row r="7" ht="43.5" customHeight="1">
      <c r="A7" s="19" t="s">
        <v>508</v>
      </c>
      <c r="B7" s="20" t="s">
        <v>497</v>
      </c>
      <c r="C7" s="19" t="s">
        <v>509</v>
      </c>
      <c r="D7" s="19" t="s">
        <v>510</v>
      </c>
      <c r="E7" s="19" t="s">
        <v>511</v>
      </c>
      <c r="F7" s="19" t="s">
        <v>512</v>
      </c>
      <c r="G7" s="19" t="s">
        <v>502</v>
      </c>
    </row>
    <row r="8" ht="43.5" customHeight="1">
      <c r="A8" s="19" t="s">
        <v>513</v>
      </c>
      <c r="B8" s="20" t="s">
        <v>497</v>
      </c>
      <c r="C8" s="19" t="s">
        <v>514</v>
      </c>
      <c r="D8" s="19" t="s">
        <v>515</v>
      </c>
      <c r="E8" s="19" t="s">
        <v>516</v>
      </c>
      <c r="F8" s="19" t="s">
        <v>517</v>
      </c>
      <c r="G8" s="19" t="s">
        <v>502</v>
      </c>
    </row>
    <row r="9" ht="43.5" customHeight="1">
      <c r="A9" s="19" t="s">
        <v>518</v>
      </c>
      <c r="B9" s="20" t="s">
        <v>497</v>
      </c>
      <c r="C9" s="19" t="s">
        <v>519</v>
      </c>
      <c r="D9" s="19" t="s">
        <v>520</v>
      </c>
      <c r="E9" s="19" t="s">
        <v>521</v>
      </c>
      <c r="F9" s="19" t="s">
        <v>522</v>
      </c>
      <c r="G9" s="19" t="s">
        <v>502</v>
      </c>
    </row>
    <row r="10" ht="43.5" customHeight="1">
      <c r="A10" s="19" t="s">
        <v>523</v>
      </c>
      <c r="B10" s="20" t="s">
        <v>497</v>
      </c>
      <c r="C10" s="19" t="s">
        <v>524</v>
      </c>
      <c r="D10" s="19" t="s">
        <v>525</v>
      </c>
      <c r="E10" s="19" t="s">
        <v>526</v>
      </c>
      <c r="F10" s="19" t="s">
        <v>527</v>
      </c>
      <c r="G10" s="19" t="s">
        <v>502</v>
      </c>
    </row>
    <row r="11" ht="43.5" customHeight="1">
      <c r="A11" s="19" t="s">
        <v>528</v>
      </c>
      <c r="B11" s="21" t="s">
        <v>529</v>
      </c>
      <c r="C11" s="19" t="s">
        <v>530</v>
      </c>
      <c r="D11" s="19" t="s">
        <v>531</v>
      </c>
      <c r="E11" s="19" t="s">
        <v>532</v>
      </c>
      <c r="F11" s="19" t="s">
        <v>533</v>
      </c>
      <c r="G11" s="19" t="s">
        <v>502</v>
      </c>
    </row>
    <row r="12" ht="43.5" customHeight="1">
      <c r="A12" s="19" t="s">
        <v>534</v>
      </c>
      <c r="B12" s="21" t="s">
        <v>529</v>
      </c>
      <c r="C12" s="19" t="s">
        <v>535</v>
      </c>
      <c r="D12" s="19" t="s">
        <v>536</v>
      </c>
      <c r="E12" s="19" t="s">
        <v>537</v>
      </c>
      <c r="F12" s="19" t="s">
        <v>538</v>
      </c>
      <c r="G12" s="19" t="s">
        <v>502</v>
      </c>
    </row>
    <row r="13" ht="43.5" customHeight="1">
      <c r="A13" s="19" t="s">
        <v>539</v>
      </c>
      <c r="B13" s="21" t="s">
        <v>529</v>
      </c>
      <c r="C13" s="19" t="s">
        <v>540</v>
      </c>
      <c r="D13" s="19" t="s">
        <v>541</v>
      </c>
      <c r="E13" s="19" t="s">
        <v>542</v>
      </c>
      <c r="F13" s="19" t="s">
        <v>543</v>
      </c>
      <c r="G13" s="19" t="s">
        <v>502</v>
      </c>
    </row>
    <row r="14" ht="43.5" customHeight="1">
      <c r="A14" s="19" t="s">
        <v>544</v>
      </c>
      <c r="B14" s="21" t="s">
        <v>529</v>
      </c>
      <c r="C14" s="19" t="s">
        <v>545</v>
      </c>
      <c r="D14" s="19" t="s">
        <v>546</v>
      </c>
      <c r="E14" s="19" t="s">
        <v>547</v>
      </c>
      <c r="F14" s="19" t="s">
        <v>548</v>
      </c>
      <c r="G14" s="19" t="s">
        <v>502</v>
      </c>
    </row>
    <row r="15" ht="43.5" customHeight="1">
      <c r="A15" s="19" t="s">
        <v>549</v>
      </c>
      <c r="B15" s="21" t="s">
        <v>529</v>
      </c>
      <c r="C15" s="19" t="s">
        <v>550</v>
      </c>
      <c r="D15" s="19" t="s">
        <v>551</v>
      </c>
      <c r="E15" s="19" t="s">
        <v>552</v>
      </c>
      <c r="F15" s="19" t="s">
        <v>553</v>
      </c>
      <c r="G15" s="19" t="s">
        <v>502</v>
      </c>
    </row>
    <row r="16" ht="43.5" customHeight="1">
      <c r="A16" s="17"/>
      <c r="B16" s="17"/>
      <c r="C16" s="17"/>
      <c r="D16" s="17"/>
      <c r="E16" s="17"/>
      <c r="F16" s="17"/>
      <c r="G16" s="17"/>
    </row>
    <row r="17" ht="43.5" customHeight="1">
      <c r="A17" s="22" t="s">
        <v>554</v>
      </c>
    </row>
    <row r="18" ht="43.5" customHeight="1">
      <c r="A18" s="18" t="s">
        <v>555</v>
      </c>
      <c r="B18" s="18" t="s">
        <v>471</v>
      </c>
      <c r="C18" s="18" t="s">
        <v>556</v>
      </c>
      <c r="D18" s="17"/>
      <c r="E18" s="17"/>
      <c r="F18" s="17"/>
      <c r="G18" s="17"/>
    </row>
    <row r="19" ht="43.5" customHeight="1">
      <c r="A19" s="23" t="s">
        <v>557</v>
      </c>
      <c r="B19" s="23" t="s">
        <v>558</v>
      </c>
      <c r="C19" s="23" t="s">
        <v>559</v>
      </c>
      <c r="D19" s="17"/>
      <c r="E19" s="17"/>
      <c r="F19" s="17"/>
      <c r="G19" s="17"/>
    </row>
    <row r="20" ht="43.5" customHeight="1">
      <c r="A20" s="23" t="s">
        <v>560</v>
      </c>
      <c r="B20" s="23" t="s">
        <v>561</v>
      </c>
      <c r="C20" s="23" t="s">
        <v>562</v>
      </c>
      <c r="D20" s="17"/>
      <c r="E20" s="17"/>
      <c r="F20" s="17"/>
      <c r="G20" s="17"/>
    </row>
    <row r="21" ht="43.5" customHeight="1">
      <c r="A21" s="23" t="s">
        <v>563</v>
      </c>
      <c r="B21" s="23" t="s">
        <v>564</v>
      </c>
      <c r="C21" s="23" t="s">
        <v>565</v>
      </c>
      <c r="D21" s="17"/>
      <c r="E21" s="17"/>
      <c r="F21" s="17"/>
      <c r="G21" s="17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G1"/>
    <mergeCell ref="A2:G2"/>
    <mergeCell ref="A17:G17"/>
  </mergeCells>
  <dataValidations>
    <dataValidation type="list" allowBlank="1" sqref="G5:G15">
      <formula1>"未対応,対応中,対応済,対象外（承認済）"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7.0"/>
    <col customWidth="1" min="2" max="2" width="15.0"/>
    <col customWidth="1" min="3" max="3" width="48.0"/>
    <col customWidth="1" min="4" max="4" width="44.0"/>
    <col customWidth="1" min="5" max="5" width="14.0"/>
    <col customWidth="1" min="6" max="7" width="20.0"/>
    <col customWidth="1" min="8" max="26" width="8.63"/>
  </cols>
  <sheetData>
    <row r="1" ht="31.5" customHeight="1">
      <c r="A1" s="24" t="s">
        <v>566</v>
      </c>
    </row>
    <row r="2">
      <c r="A2" s="25" t="s">
        <v>567</v>
      </c>
    </row>
    <row r="4">
      <c r="A4" s="26" t="s">
        <v>4</v>
      </c>
      <c r="B4" s="26" t="s">
        <v>259</v>
      </c>
      <c r="C4" s="26" t="s">
        <v>568</v>
      </c>
      <c r="D4" s="26" t="s">
        <v>569</v>
      </c>
      <c r="E4" s="26" t="s">
        <v>570</v>
      </c>
      <c r="F4" s="26" t="s">
        <v>485</v>
      </c>
      <c r="G4" s="26" t="s">
        <v>484</v>
      </c>
    </row>
    <row r="5" ht="39.75" customHeight="1">
      <c r="A5" s="27">
        <v>1.0</v>
      </c>
      <c r="B5" s="27" t="s">
        <v>571</v>
      </c>
      <c r="C5" s="27" t="s">
        <v>572</v>
      </c>
      <c r="D5" s="28"/>
      <c r="E5" s="27" t="s">
        <v>573</v>
      </c>
      <c r="F5" s="28" t="s">
        <v>422</v>
      </c>
      <c r="G5" s="28" t="s">
        <v>487</v>
      </c>
    </row>
    <row r="6" ht="39.75" customHeight="1">
      <c r="A6" s="27">
        <v>2.0</v>
      </c>
      <c r="B6" s="27" t="s">
        <v>574</v>
      </c>
      <c r="C6" s="27" t="s">
        <v>575</v>
      </c>
      <c r="D6" s="28"/>
      <c r="E6" s="27" t="s">
        <v>573</v>
      </c>
      <c r="F6" s="28" t="s">
        <v>576</v>
      </c>
      <c r="G6" s="28" t="s">
        <v>487</v>
      </c>
    </row>
    <row r="7" ht="39.75" customHeight="1">
      <c r="A7" s="27">
        <v>3.0</v>
      </c>
      <c r="B7" s="27" t="s">
        <v>577</v>
      </c>
      <c r="C7" s="27" t="s">
        <v>578</v>
      </c>
      <c r="D7" s="28"/>
      <c r="E7" s="27" t="s">
        <v>573</v>
      </c>
      <c r="F7" s="28" t="s">
        <v>538</v>
      </c>
      <c r="G7" s="28" t="s">
        <v>487</v>
      </c>
    </row>
    <row r="8" ht="39.75" customHeight="1">
      <c r="A8" s="27">
        <v>4.0</v>
      </c>
      <c r="B8" s="27" t="s">
        <v>579</v>
      </c>
      <c r="C8" s="27" t="s">
        <v>580</v>
      </c>
      <c r="D8" s="28"/>
      <c r="E8" s="27" t="s">
        <v>573</v>
      </c>
      <c r="F8" s="28" t="s">
        <v>581</v>
      </c>
      <c r="G8" s="28" t="s">
        <v>487</v>
      </c>
    </row>
    <row r="9" ht="39.75" customHeight="1">
      <c r="A9" s="27">
        <v>5.0</v>
      </c>
      <c r="B9" s="27" t="s">
        <v>582</v>
      </c>
      <c r="C9" s="27" t="s">
        <v>583</v>
      </c>
      <c r="D9" s="28"/>
      <c r="E9" s="27" t="s">
        <v>573</v>
      </c>
      <c r="F9" s="28" t="s">
        <v>507</v>
      </c>
      <c r="G9" s="28" t="s">
        <v>487</v>
      </c>
    </row>
    <row r="10" ht="39.75" customHeight="1">
      <c r="A10" s="27">
        <v>6.0</v>
      </c>
      <c r="B10" s="27" t="s">
        <v>584</v>
      </c>
      <c r="C10" s="27" t="s">
        <v>585</v>
      </c>
      <c r="D10" s="28"/>
      <c r="E10" s="27" t="s">
        <v>573</v>
      </c>
      <c r="F10" s="28" t="s">
        <v>507</v>
      </c>
      <c r="G10" s="28" t="s">
        <v>487</v>
      </c>
    </row>
    <row r="11" ht="39.75" customHeight="1">
      <c r="A11" s="27">
        <v>7.0</v>
      </c>
      <c r="B11" s="27" t="s">
        <v>586</v>
      </c>
      <c r="C11" s="27" t="s">
        <v>587</v>
      </c>
      <c r="D11" s="28"/>
      <c r="E11" s="27" t="s">
        <v>573</v>
      </c>
      <c r="F11" s="28" t="s">
        <v>512</v>
      </c>
      <c r="G11" s="28" t="s">
        <v>487</v>
      </c>
    </row>
    <row r="12" ht="39.75" customHeight="1">
      <c r="A12" s="27">
        <v>8.0</v>
      </c>
      <c r="B12" s="27" t="s">
        <v>588</v>
      </c>
      <c r="C12" s="27" t="s">
        <v>589</v>
      </c>
      <c r="D12" s="28"/>
      <c r="E12" s="27" t="s">
        <v>573</v>
      </c>
      <c r="F12" s="28" t="s">
        <v>527</v>
      </c>
      <c r="G12" s="28" t="s">
        <v>487</v>
      </c>
    </row>
    <row r="13" ht="39.75" customHeight="1">
      <c r="A13" s="27">
        <v>9.0</v>
      </c>
      <c r="B13" s="27" t="s">
        <v>178</v>
      </c>
      <c r="C13" s="27" t="s">
        <v>590</v>
      </c>
      <c r="D13" s="28"/>
      <c r="E13" s="27" t="s">
        <v>573</v>
      </c>
      <c r="F13" s="28" t="s">
        <v>591</v>
      </c>
      <c r="G13" s="28" t="s">
        <v>487</v>
      </c>
    </row>
    <row r="14" ht="39.75" customHeight="1">
      <c r="A14" s="27">
        <v>10.0</v>
      </c>
      <c r="B14" s="27" t="s">
        <v>592</v>
      </c>
      <c r="C14" s="27" t="s">
        <v>593</v>
      </c>
      <c r="D14" s="28"/>
      <c r="E14" s="27" t="s">
        <v>573</v>
      </c>
      <c r="F14" s="28" t="s">
        <v>594</v>
      </c>
      <c r="G14" s="28" t="s">
        <v>487</v>
      </c>
    </row>
    <row r="15" ht="39.75" customHeight="1">
      <c r="A15" s="27">
        <v>11.0</v>
      </c>
      <c r="B15" s="27" t="s">
        <v>595</v>
      </c>
      <c r="C15" s="27" t="s">
        <v>596</v>
      </c>
      <c r="D15" s="28"/>
      <c r="E15" s="27" t="s">
        <v>573</v>
      </c>
      <c r="F15" s="28" t="s">
        <v>597</v>
      </c>
      <c r="G15" s="28" t="s">
        <v>487</v>
      </c>
    </row>
    <row r="16" ht="39.75" customHeight="1">
      <c r="A16" s="27">
        <v>12.0</v>
      </c>
      <c r="B16" s="27" t="s">
        <v>598</v>
      </c>
      <c r="C16" s="27" t="s">
        <v>599</v>
      </c>
      <c r="D16" s="28"/>
      <c r="E16" s="27" t="s">
        <v>573</v>
      </c>
      <c r="F16" s="28" t="s">
        <v>533</v>
      </c>
      <c r="G16" s="28" t="s">
        <v>487</v>
      </c>
    </row>
    <row r="17" ht="39.75" customHeight="1">
      <c r="A17" s="27">
        <v>13.0</v>
      </c>
      <c r="B17" s="27" t="s">
        <v>364</v>
      </c>
      <c r="C17" s="27" t="s">
        <v>600</v>
      </c>
      <c r="D17" s="28"/>
      <c r="E17" s="27" t="s">
        <v>601</v>
      </c>
      <c r="F17" s="28" t="s">
        <v>538</v>
      </c>
      <c r="G17" s="28" t="s">
        <v>487</v>
      </c>
    </row>
    <row r="18" ht="39.75" customHeight="1">
      <c r="A18" s="27">
        <v>14.0</v>
      </c>
      <c r="B18" s="27" t="s">
        <v>602</v>
      </c>
      <c r="C18" s="27" t="s">
        <v>603</v>
      </c>
      <c r="D18" s="28"/>
      <c r="E18" s="27" t="s">
        <v>573</v>
      </c>
      <c r="F18" s="28" t="s">
        <v>548</v>
      </c>
      <c r="G18" s="28" t="s">
        <v>487</v>
      </c>
    </row>
    <row r="19" ht="39.75" customHeight="1">
      <c r="A19" s="27">
        <v>15.0</v>
      </c>
      <c r="B19" s="27" t="s">
        <v>604</v>
      </c>
      <c r="C19" s="27" t="s">
        <v>605</v>
      </c>
      <c r="D19" s="28"/>
      <c r="E19" s="27" t="s">
        <v>573</v>
      </c>
      <c r="F19" s="28" t="s">
        <v>553</v>
      </c>
      <c r="G19" s="28" t="s">
        <v>487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G1"/>
    <mergeCell ref="A2:G2"/>
  </mergeCells>
  <dataValidations>
    <dataValidation type="list" allowBlank="1" sqref="G5:G19">
      <formula1>"未確認,確認中,確定済,対象外（承認済）"</formula1>
    </dataValidation>
    <dataValidation type="list" allowBlank="1" sqref="E5:E19">
      <formula1>"必須,条件付き,推奨"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8.0"/>
    <col customWidth="1" min="2" max="2" width="48.0"/>
    <col customWidth="1" min="3" max="3" width="50.0"/>
    <col customWidth="1" min="4" max="4" width="21.0"/>
    <col customWidth="1" min="5" max="5" width="20.0"/>
    <col customWidth="1" min="6" max="6" width="38.0"/>
    <col customWidth="1" min="7" max="26" width="8.63"/>
  </cols>
  <sheetData>
    <row r="1" ht="31.5" customHeight="1">
      <c r="A1" s="29" t="s">
        <v>606</v>
      </c>
    </row>
    <row r="3">
      <c r="A3" s="26" t="s">
        <v>607</v>
      </c>
      <c r="B3" s="26" t="s">
        <v>51</v>
      </c>
      <c r="C3" s="26" t="s">
        <v>608</v>
      </c>
      <c r="D3" s="26" t="s">
        <v>609</v>
      </c>
      <c r="E3" s="26" t="s">
        <v>484</v>
      </c>
      <c r="F3" s="26" t="s">
        <v>610</v>
      </c>
    </row>
    <row r="4" ht="37.5" customHeight="1">
      <c r="A4" s="27" t="s">
        <v>611</v>
      </c>
      <c r="B4" s="27" t="s">
        <v>612</v>
      </c>
      <c r="C4" s="28"/>
      <c r="D4" s="28" t="s">
        <v>422</v>
      </c>
      <c r="E4" s="28" t="s">
        <v>487</v>
      </c>
      <c r="F4" s="27"/>
    </row>
    <row r="5" ht="37.5" customHeight="1">
      <c r="A5" s="27" t="s">
        <v>579</v>
      </c>
      <c r="B5" s="27" t="s">
        <v>613</v>
      </c>
      <c r="C5" s="28"/>
      <c r="D5" s="28" t="s">
        <v>581</v>
      </c>
      <c r="E5" s="28" t="s">
        <v>487</v>
      </c>
      <c r="F5" s="27" t="s">
        <v>614</v>
      </c>
    </row>
    <row r="6" ht="37.5" customHeight="1">
      <c r="A6" s="27" t="s">
        <v>615</v>
      </c>
      <c r="B6" s="27" t="s">
        <v>616</v>
      </c>
      <c r="C6" s="28"/>
      <c r="D6" s="28" t="s">
        <v>591</v>
      </c>
      <c r="E6" s="28" t="s">
        <v>487</v>
      </c>
      <c r="F6" s="27" t="s">
        <v>617</v>
      </c>
    </row>
    <row r="7" ht="37.5" customHeight="1">
      <c r="A7" s="27" t="s">
        <v>598</v>
      </c>
      <c r="B7" s="27" t="s">
        <v>618</v>
      </c>
      <c r="C7" s="28"/>
      <c r="D7" s="28" t="s">
        <v>533</v>
      </c>
      <c r="E7" s="28" t="s">
        <v>487</v>
      </c>
      <c r="F7" s="27" t="s">
        <v>619</v>
      </c>
    </row>
    <row r="8" ht="37.5" customHeight="1">
      <c r="A8" s="27" t="s">
        <v>353</v>
      </c>
      <c r="B8" s="27" t="s">
        <v>620</v>
      </c>
      <c r="C8" s="28"/>
      <c r="D8" s="28" t="s">
        <v>353</v>
      </c>
      <c r="E8" s="28" t="s">
        <v>487</v>
      </c>
      <c r="F8" s="27" t="s">
        <v>621</v>
      </c>
    </row>
    <row r="9" ht="37.5" customHeight="1">
      <c r="A9" s="27" t="s">
        <v>178</v>
      </c>
      <c r="B9" s="27" t="s">
        <v>622</v>
      </c>
      <c r="C9" s="28"/>
      <c r="D9" s="28" t="s">
        <v>591</v>
      </c>
      <c r="E9" s="28" t="s">
        <v>487</v>
      </c>
      <c r="F9" s="27" t="s">
        <v>623</v>
      </c>
    </row>
    <row r="10" ht="37.5" customHeight="1">
      <c r="A10" s="27" t="s">
        <v>588</v>
      </c>
      <c r="B10" s="27" t="s">
        <v>624</v>
      </c>
      <c r="C10" s="28"/>
      <c r="D10" s="28" t="s">
        <v>527</v>
      </c>
      <c r="E10" s="28" t="s">
        <v>487</v>
      </c>
      <c r="F10" s="27" t="s">
        <v>625</v>
      </c>
    </row>
    <row r="11" ht="37.5" customHeight="1">
      <c r="A11" s="27" t="s">
        <v>586</v>
      </c>
      <c r="B11" s="27" t="s">
        <v>626</v>
      </c>
      <c r="C11" s="28"/>
      <c r="D11" s="28" t="s">
        <v>512</v>
      </c>
      <c r="E11" s="28" t="s">
        <v>487</v>
      </c>
      <c r="F11" s="27" t="s">
        <v>627</v>
      </c>
    </row>
    <row r="12" ht="37.5" customHeight="1">
      <c r="A12" s="27" t="s">
        <v>628</v>
      </c>
      <c r="B12" s="27" t="s">
        <v>629</v>
      </c>
      <c r="C12" s="28"/>
      <c r="D12" s="28" t="s">
        <v>548</v>
      </c>
      <c r="E12" s="28" t="s">
        <v>487</v>
      </c>
      <c r="F12" s="27" t="s">
        <v>630</v>
      </c>
    </row>
    <row r="13" ht="37.5" customHeight="1">
      <c r="A13" s="27" t="s">
        <v>592</v>
      </c>
      <c r="B13" s="27" t="s">
        <v>631</v>
      </c>
      <c r="C13" s="28"/>
      <c r="D13" s="28" t="s">
        <v>597</v>
      </c>
      <c r="E13" s="28" t="s">
        <v>487</v>
      </c>
      <c r="F13" s="27" t="s">
        <v>632</v>
      </c>
    </row>
    <row r="14" ht="37.5" customHeight="1">
      <c r="A14" s="27" t="s">
        <v>582</v>
      </c>
      <c r="B14" s="27" t="s">
        <v>633</v>
      </c>
      <c r="C14" s="28"/>
      <c r="D14" s="28" t="s">
        <v>507</v>
      </c>
      <c r="E14" s="28" t="s">
        <v>487</v>
      </c>
      <c r="F14" s="27" t="s">
        <v>634</v>
      </c>
    </row>
    <row r="15" ht="37.5" customHeight="1"/>
    <row r="16" ht="37.5" customHeight="1">
      <c r="A16" s="30" t="s">
        <v>635</v>
      </c>
    </row>
    <row r="17" ht="37.5" customHeight="1">
      <c r="A17" s="26" t="s">
        <v>636</v>
      </c>
      <c r="B17" s="26" t="s">
        <v>637</v>
      </c>
    </row>
    <row r="18" ht="37.5" customHeight="1">
      <c r="A18" s="27" t="s">
        <v>638</v>
      </c>
      <c r="B18" s="31" t="str">
        <f>IF(COUNTIF($E$4:$E$14,"確定済")+COUNTIF($E$4:$E$14,"スモークOK")=11,"通過","未達")</f>
        <v>未達</v>
      </c>
    </row>
    <row r="19" ht="37.5" customHeight="1">
      <c r="A19" s="27" t="s">
        <v>639</v>
      </c>
      <c r="B19" s="31" t="str">
        <f>IF(OR($E$7="確定済",$E$7="スモークOK"),"通過","未達")</f>
        <v>未達</v>
      </c>
    </row>
    <row r="20" ht="37.5" customHeight="1">
      <c r="A20" s="27" t="s">
        <v>640</v>
      </c>
      <c r="B20" s="31" t="str">
        <f>IF(OR($E$13="確定済",$E$13="スモークOK"),"通過","未達")</f>
        <v>未達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16:F16"/>
  </mergeCells>
  <conditionalFormatting sqref="B18:B20">
    <cfRule type="containsText" dxfId="4" priority="1" operator="containsText" text="通過">
      <formula>NOT(ISERROR(SEARCH(("通過"),(B18))))</formula>
    </cfRule>
  </conditionalFormatting>
  <dataValidations>
    <dataValidation type="list" allowBlank="1" sqref="E4:E14">
      <formula1>"未確認,確認中,確定済,スモークOK,対象外（承認済）"</formula1>
    </dataValidation>
  </dataValidations>
  <printOptions/>
  <pageMargins bottom="0.75" footer="0.0" header="0.0" left="0.7" right="0.7" top="0.75"/>
  <pageSetup orientation="landscape"/>
  <drawing r:id="rId1"/>
</worksheet>
</file>